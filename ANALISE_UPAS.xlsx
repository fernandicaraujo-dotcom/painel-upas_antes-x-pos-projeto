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9" autoFilterDateGrouping="1"/>
  </bookViews>
  <sheets>
    <sheet xmlns:r="http://schemas.openxmlformats.org/officeDocument/2006/relationships" name="JANEIRO-26" sheetId="1" state="visible" r:id="rId1"/>
    <sheet xmlns:r="http://schemas.openxmlformats.org/officeDocument/2006/relationships" name="FEVEREIRO-26" sheetId="2" state="visible" r:id="rId2"/>
    <sheet xmlns:r="http://schemas.openxmlformats.org/officeDocument/2006/relationships" name="MARÇO-26" sheetId="3" state="visible" r:id="rId3"/>
    <sheet xmlns:r="http://schemas.openxmlformats.org/officeDocument/2006/relationships" name="ABRIL-26" sheetId="4" state="visible" r:id="rId4"/>
    <sheet xmlns:r="http://schemas.openxmlformats.org/officeDocument/2006/relationships" name="MAIO-26" sheetId="5" state="visible" r:id="rId5"/>
    <sheet xmlns:r="http://schemas.openxmlformats.org/officeDocument/2006/relationships" name="JUNHO-26" sheetId="6" state="visible" r:id="rId6"/>
    <sheet xmlns:r="http://schemas.openxmlformats.org/officeDocument/2006/relationships" name="JULHO-26 " sheetId="7" state="visible" r:id="rId7"/>
    <sheet xmlns:r="http://schemas.openxmlformats.org/officeDocument/2006/relationships" name="AGOSTO-26" sheetId="8" state="visible" r:id="rId8"/>
    <sheet xmlns:r="http://schemas.openxmlformats.org/officeDocument/2006/relationships" name="SETEMBRO-26" sheetId="9" state="visible" r:id="rId9"/>
    <sheet xmlns:r="http://schemas.openxmlformats.org/officeDocument/2006/relationships" name="OUTUBRO-26" sheetId="10" state="visible" r:id="rId10"/>
  </sheets>
  <definedNames>
    <definedName name="_xlnm._FilterDatabase" localSheetId="0" hidden="1">'JANEIRO-26'!$A$3:$P$406</definedName>
    <definedName name="_xlnm._FilterDatabase" localSheetId="1" hidden="1">'FEVEREIRO-26'!$A$3:$P$367</definedName>
    <definedName name="_xlnm._FilterDatabase" localSheetId="2" hidden="1">'MARÇO-26'!$A$3:$P$406</definedName>
    <definedName name="_xlnm._FilterDatabase" localSheetId="3" hidden="1">'ABRIL-26'!$A$3:$P$393</definedName>
    <definedName name="_xlnm._FilterDatabase" localSheetId="4" hidden="1">'MAIO-26'!$A$3:$P$406</definedName>
    <definedName name="_xlnm._FilterDatabase" localSheetId="5" hidden="1">'JUNHO-26'!$A$3:$P$393</definedName>
    <definedName name="_xlnm._FilterDatabase" localSheetId="6" hidden="1">'JULHO-26 '!$A$3:$P$406</definedName>
    <definedName name="_xlnm._FilterDatabase" localSheetId="7" hidden="1">'AGOSTO-26'!$A$3:$P$406</definedName>
    <definedName name="_xlnm._FilterDatabase" localSheetId="8" hidden="1">'SETEMBRO-26'!$A$3:$P$393</definedName>
    <definedName name="_xlnm._FilterDatabase" localSheetId="9" hidden="1">'OUTUBRO-26'!$A$3:$P$250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color rgb="FFFFFFFF"/>
      <sz val="9"/>
    </font>
    <font>
      <name val="Arial"/>
      <charset val="1"/>
      <family val="0"/>
      <b val="1"/>
      <color rgb="FFFFFFFF"/>
      <sz val="7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595959"/>
      <sz val="9"/>
    </font>
    <font>
      <name val="Arial"/>
      <charset val="1"/>
      <family val="0"/>
      <i val="1"/>
      <color rgb="FF2E5DA8"/>
      <sz val="8"/>
    </font>
    <font>
      <name val="Arial"/>
      <charset val="1"/>
      <family val="0"/>
      <b val="1"/>
      <color rgb="FF1F3864"/>
      <sz val="9"/>
    </font>
    <font>
      <name val="Arial"/>
      <charset val="1"/>
      <family val="0"/>
      <color rgb="FF333333"/>
      <sz val="9"/>
    </font>
    <font>
      <name val="Arial"/>
      <charset val="1"/>
      <family val="0"/>
      <color rgb="FF1F3864"/>
      <sz val="9"/>
    </font>
    <font>
      <name val="Arial"/>
      <charset val="1"/>
      <family val="0"/>
      <color rgb="FF7F6000"/>
      <sz val="9"/>
    </font>
    <font>
      <name val="Arial"/>
      <charset val="1"/>
      <family val="0"/>
      <color rgb="FFC55A11"/>
      <sz val="9"/>
    </font>
    <font>
      <name val="Arial"/>
      <charset val="1"/>
      <family val="0"/>
      <color rgb="FF375623"/>
      <sz val="9"/>
    </font>
    <font>
      <name val="Arial"/>
      <b val="1"/>
      <color rgb="FF595959"/>
      <sz val="9"/>
    </font>
    <font>
      <name val="Arial"/>
      <i val="1"/>
      <color rgb="FF2E5DA8"/>
      <sz val="8"/>
    </font>
    <font>
      <name val="Arial"/>
      <b val="1"/>
      <color rgb="FF1F3864"/>
      <sz val="9"/>
    </font>
    <font>
      <name val="Arial"/>
      <color rgb="FF333333"/>
      <sz val="9"/>
    </font>
    <font>
      <name val="Arial"/>
      <color rgb="FF1F3864"/>
      <sz val="9"/>
    </font>
    <font>
      <name val="Arial"/>
      <color rgb="FF7F6000"/>
      <sz val="9"/>
    </font>
    <font>
      <name val="Arial"/>
      <color rgb="FFC55A11"/>
      <sz val="9"/>
    </font>
    <font>
      <name val="Arial"/>
      <color rgb="FF375623"/>
      <sz val="9"/>
    </font>
  </fonts>
  <fills count="2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2" tint="-0.5"/>
        <bgColor rgb="FF969696"/>
      </patternFill>
    </fill>
    <fill>
      <patternFill patternType="solid">
        <fgColor rgb="FF2E5DA8"/>
        <bgColor rgb="FF3366FF"/>
      </patternFill>
    </fill>
    <fill>
      <patternFill patternType="solid">
        <fgColor rgb="FFB8540A"/>
        <bgColor rgb="FFC55A11"/>
      </patternFill>
    </fill>
    <fill>
      <patternFill patternType="solid">
        <fgColor rgb="FFEBF3FB"/>
        <bgColor rgb="FFE2EFDA"/>
      </patternFill>
    </fill>
    <fill>
      <patternFill patternType="solid">
        <fgColor rgb="FFD9E1F2"/>
        <bgColor rgb="FFDCE6F1"/>
      </patternFill>
    </fill>
    <fill>
      <patternFill patternType="solid">
        <fgColor rgb="FFFFFFFF"/>
        <bgColor rgb="FFEBF3FB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CE6F1"/>
      </patternFill>
    </fill>
    <fill>
      <patternFill patternType="solid">
        <fgColor rgb="FFEBF3FB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F00"/>
      </patternFill>
    </fill>
  </fills>
  <borders count="25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 style="thin">
        <color rgb="FF2E5DA8"/>
      </right>
      <top style="medium">
        <color rgb="FF1F3864"/>
      </top>
      <bottom style="medium">
        <color rgb="FF1F3864"/>
      </bottom>
      <diagonal/>
    </border>
    <border>
      <left style="thin">
        <color rgb="FF2E5DA8"/>
      </left>
      <right style="thin">
        <color rgb="FF2E5DA8"/>
      </right>
      <top style="medium">
        <color rgb="FF1F3864"/>
      </top>
      <bottom style="medium">
        <color rgb="FF1F3864"/>
      </bottom>
      <diagonal/>
    </border>
    <border>
      <left style="thin">
        <color rgb="FF2E5DA8"/>
      </left>
      <right style="thin">
        <color rgb="FFB8540A"/>
      </right>
      <top style="medium">
        <color rgb="FF1F3864"/>
      </top>
      <bottom style="medium">
        <color rgb="FF1F3864"/>
      </bottom>
      <diagonal/>
    </border>
    <border>
      <left/>
      <right/>
      <top style="medium">
        <color rgb="FF1F3864"/>
      </top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/>
      <diagonal/>
    </border>
    <border>
      <left style="thin">
        <color rgb="FFCCCCCC"/>
      </left>
      <right style="thin">
        <color rgb="FFCCCCCC"/>
      </right>
      <top style="thick"/>
      <bottom style="thin">
        <color rgb="FFCCCCCC"/>
      </bottom>
      <diagonal/>
    </border>
    <border>
      <left/>
      <right style="thin">
        <color rgb="FFCCCCCC"/>
      </right>
      <top style="thick"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medium">
        <color rgb="FF1F3864"/>
      </right>
      <top style="medium">
        <color rgb="FF1F3864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 style="thin">
        <color rgb="FF2E5DA8"/>
      </right>
      <top style="medium">
        <color rgb="FF1F3864"/>
      </top>
      <bottom/>
      <diagonal/>
    </border>
    <border>
      <left/>
      <right style="thin">
        <color rgb="FFB8540A"/>
      </right>
      <top style="medium">
        <color rgb="FF1F3864"/>
      </top>
      <bottom/>
      <diagonal/>
    </border>
    <border>
      <left/>
      <right style="thin">
        <color rgb="FFB8540A"/>
      </right>
      <top style="medium">
        <color rgb="FF1F3864"/>
      </top>
      <bottom style="medium">
        <color rgb="FF1F3864"/>
      </bottom>
      <diagonal/>
    </border>
    <border>
      <left style="thin">
        <color rgb="FFCCCCCC"/>
      </left>
      <right style="thin">
        <color rgb="FFCCCCCC"/>
      </right>
      <top style="thick">
        <color rgb="FF000000"/>
      </top>
      <bottom style="thin">
        <color rgb="FFCCCCCC"/>
      </bottom>
    </border>
    <border>
      <left/>
      <right style="thin">
        <color rgb="FFCCCCCC"/>
      </right>
      <top style="thick">
        <color rgb="FF00000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/>
    </border>
    <border>
      <left/>
      <right style="thin">
        <color rgb="FFCCCCCC"/>
      </right>
      <top style="thin">
        <color rgb="FFCCCCCC"/>
      </top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indent="1"/>
    </xf>
    <xf numFmtId="0" fontId="5" fillId="3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5" borderId="6" applyAlignment="1" pivotButton="0" quotePrefix="0" xfId="0">
      <alignment horizontal="center" vertical="center" wrapText="1"/>
    </xf>
    <xf numFmtId="164" fontId="8" fillId="6" borderId="7" applyAlignment="1" pivotButton="0" quotePrefix="0" xfId="0">
      <alignment horizontal="center" vertical="center"/>
    </xf>
    <xf numFmtId="0" fontId="9" fillId="6" borderId="8" applyAlignment="1" pivotButton="0" quotePrefix="0" xfId="0">
      <alignment horizontal="center" vertical="center"/>
    </xf>
    <xf numFmtId="0" fontId="10" fillId="7" borderId="7" applyAlignment="1" pivotButton="0" quotePrefix="0" xfId="0">
      <alignment horizontal="left" vertical="center"/>
    </xf>
    <xf numFmtId="3" fontId="11" fillId="7" borderId="7" applyAlignment="1" pivotButton="0" quotePrefix="0" xfId="0">
      <alignment horizontal="center" vertical="center"/>
    </xf>
    <xf numFmtId="164" fontId="8" fillId="6" borderId="9" applyAlignment="1" pivotButton="0" quotePrefix="0" xfId="0">
      <alignment horizontal="center" vertical="center"/>
    </xf>
    <xf numFmtId="0" fontId="9" fillId="6" borderId="10" applyAlignment="1" pivotButton="0" quotePrefix="0" xfId="0">
      <alignment horizontal="center" vertical="center"/>
    </xf>
    <xf numFmtId="0" fontId="11" fillId="6" borderId="9" applyAlignment="1" pivotButton="0" quotePrefix="0" xfId="0">
      <alignment horizontal="left" vertical="center"/>
    </xf>
    <xf numFmtId="3" fontId="11" fillId="6" borderId="9" applyAlignment="1" pivotButton="0" quotePrefix="0" xfId="0">
      <alignment horizontal="center" vertical="center"/>
    </xf>
    <xf numFmtId="0" fontId="11" fillId="8" borderId="9" applyAlignment="1" pivotButton="0" quotePrefix="0" xfId="0">
      <alignment horizontal="left" vertical="center"/>
    </xf>
    <xf numFmtId="3" fontId="11" fillId="8" borderId="9" applyAlignment="1" pivotButton="0" quotePrefix="0" xfId="0">
      <alignment horizontal="center" vertical="center"/>
    </xf>
    <xf numFmtId="3" fontId="11" fillId="9" borderId="9" applyAlignment="1" pivotButton="0" quotePrefix="0" xfId="0">
      <alignment horizontal="center" vertical="center"/>
    </xf>
    <xf numFmtId="0" fontId="12" fillId="10" borderId="9" applyAlignment="1" pivotButton="0" quotePrefix="0" xfId="0">
      <alignment horizontal="left" vertical="center"/>
    </xf>
    <xf numFmtId="3" fontId="11" fillId="10" borderId="9" applyAlignment="1" pivotButton="0" quotePrefix="0" xfId="0">
      <alignment horizontal="center" vertical="center"/>
    </xf>
    <xf numFmtId="0" fontId="10" fillId="10" borderId="9" applyAlignment="1" pivotButton="0" quotePrefix="0" xfId="0">
      <alignment horizontal="left" vertical="center"/>
    </xf>
    <xf numFmtId="10" fontId="11" fillId="10" borderId="9" applyAlignment="1" pivotButton="0" quotePrefix="0" xfId="0">
      <alignment horizontal="center" vertical="center"/>
    </xf>
    <xf numFmtId="0" fontId="13" fillId="11" borderId="9" applyAlignment="1" pivotButton="0" quotePrefix="0" xfId="0">
      <alignment horizontal="left" vertical="center"/>
    </xf>
    <xf numFmtId="21" fontId="11" fillId="11" borderId="9" applyAlignment="1" pivotButton="0" quotePrefix="0" xfId="0">
      <alignment horizontal="center" vertical="center"/>
    </xf>
    <xf numFmtId="0" fontId="14" fillId="12" borderId="9" applyAlignment="1" pivotButton="0" quotePrefix="0" xfId="0">
      <alignment horizontal="left" vertical="center"/>
    </xf>
    <xf numFmtId="21" fontId="11" fillId="12" borderId="9" applyAlignment="1" pivotButton="0" quotePrefix="0" xfId="0">
      <alignment horizontal="center" vertical="center"/>
    </xf>
    <xf numFmtId="164" fontId="8" fillId="6" borderId="11" applyAlignment="1" pivotButton="0" quotePrefix="0" xfId="0">
      <alignment horizontal="center" vertical="center"/>
    </xf>
    <xf numFmtId="0" fontId="9" fillId="6" borderId="12" applyAlignment="1" pivotButton="0" quotePrefix="0" xfId="0">
      <alignment horizontal="center" vertical="center"/>
    </xf>
    <xf numFmtId="0" fontId="15" fillId="13" borderId="11" applyAlignment="1" pivotButton="0" quotePrefix="0" xfId="0">
      <alignment horizontal="left" vertical="center"/>
    </xf>
    <xf numFmtId="21" fontId="11" fillId="13" borderId="9" applyAlignment="1" pivotButton="0" quotePrefix="0" xfId="0">
      <alignment horizontal="center" vertical="center"/>
    </xf>
    <xf numFmtId="21" fontId="11" fillId="9" borderId="9" applyAlignment="1" pivotButton="0" quotePrefix="0" xfId="0">
      <alignment horizontal="center" vertical="center"/>
    </xf>
    <xf numFmtId="0" fontId="9" fillId="6" borderId="7" applyAlignment="1" pivotButton="0" quotePrefix="0" xfId="0">
      <alignment horizontal="center" vertical="center"/>
    </xf>
    <xf numFmtId="0" fontId="9" fillId="6" borderId="9" applyAlignment="1" pivotButton="0" quotePrefix="0" xfId="0">
      <alignment horizontal="center" vertical="center"/>
    </xf>
    <xf numFmtId="0" fontId="11" fillId="6" borderId="9" applyAlignment="1" pivotButton="0" quotePrefix="0" xfId="0">
      <alignment horizontal="left" vertical="center" indent="1"/>
    </xf>
    <xf numFmtId="0" fontId="11" fillId="8" borderId="9" applyAlignment="1" pivotButton="0" quotePrefix="0" xfId="0">
      <alignment horizontal="left" vertical="center" indent="1"/>
    </xf>
    <xf numFmtId="0" fontId="12" fillId="10" borderId="9" applyAlignment="1" pivotButton="0" quotePrefix="0" xfId="0">
      <alignment horizontal="left" vertical="center" indent="1"/>
    </xf>
    <xf numFmtId="0" fontId="10" fillId="10" borderId="9" applyAlignment="1" pivotButton="0" quotePrefix="0" xfId="0">
      <alignment horizontal="left" vertical="center" indent="1"/>
    </xf>
    <xf numFmtId="0" fontId="13" fillId="11" borderId="9" applyAlignment="1" pivotButton="0" quotePrefix="0" xfId="0">
      <alignment horizontal="left" vertical="center" indent="1"/>
    </xf>
    <xf numFmtId="0" fontId="14" fillId="12" borderId="9" applyAlignment="1" pivotButton="0" quotePrefix="0" xfId="0">
      <alignment horizontal="left" vertical="center" indent="1"/>
    </xf>
    <xf numFmtId="0" fontId="9" fillId="6" borderId="11" applyAlignment="1" pivotButton="0" quotePrefix="0" xfId="0">
      <alignment horizontal="center" vertical="center"/>
    </xf>
    <xf numFmtId="0" fontId="15" fillId="13" borderId="11" applyAlignment="1" pivotButton="0" quotePrefix="0" xfId="0">
      <alignment horizontal="left" vertical="center" indent="1"/>
    </xf>
    <xf numFmtId="0" fontId="15" fillId="13" borderId="9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indent="1"/>
    </xf>
    <xf numFmtId="0" fontId="0" fillId="0" borderId="14" pivotButton="0" quotePrefix="0" xfId="0"/>
    <xf numFmtId="0" fontId="0" fillId="0" borderId="15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6" fillId="4" borderId="3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0" fillId="0" borderId="18" pivotButton="0" quotePrefix="0" xfId="0"/>
    <xf numFmtId="0" fontId="7" fillId="2" borderId="5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5" borderId="6" applyAlignment="1" pivotButton="0" quotePrefix="0" xfId="0">
      <alignment horizontal="center" vertical="center" wrapText="1"/>
    </xf>
    <xf numFmtId="164" fontId="8" fillId="6" borderId="7" applyAlignment="1" pivotButton="0" quotePrefix="0" xfId="0">
      <alignment horizontal="center" vertical="center"/>
    </xf>
    <xf numFmtId="0" fontId="9" fillId="6" borderId="8" applyAlignment="1" pivotButton="0" quotePrefix="0" xfId="0">
      <alignment horizontal="center" vertical="center"/>
    </xf>
    <xf numFmtId="0" fontId="10" fillId="7" borderId="7" applyAlignment="1" pivotButton="0" quotePrefix="0" xfId="0">
      <alignment horizontal="left" vertical="center"/>
    </xf>
    <xf numFmtId="3" fontId="11" fillId="7" borderId="7" applyAlignment="1" pivotButton="0" quotePrefix="0" xfId="0">
      <alignment horizontal="center" vertical="center"/>
    </xf>
    <xf numFmtId="164" fontId="8" fillId="6" borderId="9" applyAlignment="1" pivotButton="0" quotePrefix="0" xfId="0">
      <alignment horizontal="center" vertical="center"/>
    </xf>
    <xf numFmtId="0" fontId="9" fillId="6" borderId="10" applyAlignment="1" pivotButton="0" quotePrefix="0" xfId="0">
      <alignment horizontal="center" vertical="center"/>
    </xf>
    <xf numFmtId="0" fontId="11" fillId="6" borderId="9" applyAlignment="1" pivotButton="0" quotePrefix="0" xfId="0">
      <alignment horizontal="left" vertical="center"/>
    </xf>
    <xf numFmtId="3" fontId="11" fillId="6" borderId="9" applyAlignment="1" pivotButton="0" quotePrefix="0" xfId="0">
      <alignment horizontal="center" vertical="center"/>
    </xf>
    <xf numFmtId="0" fontId="11" fillId="8" borderId="9" applyAlignment="1" pivotButton="0" quotePrefix="0" xfId="0">
      <alignment horizontal="left" vertical="center"/>
    </xf>
    <xf numFmtId="3" fontId="11" fillId="8" borderId="9" applyAlignment="1" pivotButton="0" quotePrefix="0" xfId="0">
      <alignment horizontal="center" vertical="center"/>
    </xf>
    <xf numFmtId="3" fontId="11" fillId="9" borderId="9" applyAlignment="1" pivotButton="0" quotePrefix="0" xfId="0">
      <alignment horizontal="center" vertical="center"/>
    </xf>
    <xf numFmtId="0" fontId="12" fillId="10" borderId="9" applyAlignment="1" pivotButton="0" quotePrefix="0" xfId="0">
      <alignment horizontal="left" vertical="center"/>
    </xf>
    <xf numFmtId="3" fontId="11" fillId="10" borderId="9" applyAlignment="1" pivotButton="0" quotePrefix="0" xfId="0">
      <alignment horizontal="center" vertical="center"/>
    </xf>
    <xf numFmtId="0" fontId="10" fillId="10" borderId="9" applyAlignment="1" pivotButton="0" quotePrefix="0" xfId="0">
      <alignment horizontal="left" vertical="center"/>
    </xf>
    <xf numFmtId="10" fontId="11" fillId="10" borderId="9" applyAlignment="1" pivotButton="0" quotePrefix="0" xfId="0">
      <alignment horizontal="center" vertical="center"/>
    </xf>
    <xf numFmtId="0" fontId="13" fillId="11" borderId="9" applyAlignment="1" pivotButton="0" quotePrefix="0" xfId="0">
      <alignment horizontal="left" vertical="center"/>
    </xf>
    <xf numFmtId="21" fontId="11" fillId="11" borderId="9" applyAlignment="1" pivotButton="0" quotePrefix="0" xfId="0">
      <alignment horizontal="center" vertical="center"/>
    </xf>
    <xf numFmtId="0" fontId="14" fillId="12" borderId="9" applyAlignment="1" pivotButton="0" quotePrefix="0" xfId="0">
      <alignment horizontal="left" vertical="center"/>
    </xf>
    <xf numFmtId="21" fontId="11" fillId="12" borderId="9" applyAlignment="1" pivotButton="0" quotePrefix="0" xfId="0">
      <alignment horizontal="center" vertical="center"/>
    </xf>
    <xf numFmtId="164" fontId="8" fillId="6" borderId="11" applyAlignment="1" pivotButton="0" quotePrefix="0" xfId="0">
      <alignment horizontal="center" vertical="center"/>
    </xf>
    <xf numFmtId="0" fontId="9" fillId="6" borderId="12" applyAlignment="1" pivotButton="0" quotePrefix="0" xfId="0">
      <alignment horizontal="center" vertical="center"/>
    </xf>
    <xf numFmtId="0" fontId="15" fillId="13" borderId="11" applyAlignment="1" pivotButton="0" quotePrefix="0" xfId="0">
      <alignment horizontal="left" vertical="center"/>
    </xf>
    <xf numFmtId="21" fontId="11" fillId="13" borderId="9" applyAlignment="1" pivotButton="0" quotePrefix="0" xfId="0">
      <alignment horizontal="center" vertical="center"/>
    </xf>
    <xf numFmtId="21" fontId="11" fillId="9" borderId="9" applyAlignment="1" pivotButton="0" quotePrefix="0" xfId="0">
      <alignment horizontal="center" vertical="center"/>
    </xf>
    <xf numFmtId="0" fontId="9" fillId="6" borderId="7" applyAlignment="1" pivotButton="0" quotePrefix="0" xfId="0">
      <alignment horizontal="center" vertical="center"/>
    </xf>
    <xf numFmtId="0" fontId="9" fillId="6" borderId="9" applyAlignment="1" pivotButton="0" quotePrefix="0" xfId="0">
      <alignment horizontal="center" vertical="center"/>
    </xf>
    <xf numFmtId="0" fontId="11" fillId="6" borderId="9" applyAlignment="1" pivotButton="0" quotePrefix="0" xfId="0">
      <alignment horizontal="left" vertical="center" indent="1"/>
    </xf>
    <xf numFmtId="0" fontId="11" fillId="8" borderId="9" applyAlignment="1" pivotButton="0" quotePrefix="0" xfId="0">
      <alignment horizontal="left" vertical="center" indent="1"/>
    </xf>
    <xf numFmtId="0" fontId="12" fillId="10" borderId="9" applyAlignment="1" pivotButton="0" quotePrefix="0" xfId="0">
      <alignment horizontal="left" vertical="center" indent="1"/>
    </xf>
    <xf numFmtId="0" fontId="10" fillId="10" borderId="9" applyAlignment="1" pivotButton="0" quotePrefix="0" xfId="0">
      <alignment horizontal="left" vertical="center" indent="1"/>
    </xf>
    <xf numFmtId="0" fontId="13" fillId="11" borderId="9" applyAlignment="1" pivotButton="0" quotePrefix="0" xfId="0">
      <alignment horizontal="left" vertical="center" indent="1"/>
    </xf>
    <xf numFmtId="0" fontId="14" fillId="12" borderId="9" applyAlignment="1" pivotButton="0" quotePrefix="0" xfId="0">
      <alignment horizontal="left" vertical="center" indent="1"/>
    </xf>
    <xf numFmtId="0" fontId="9" fillId="6" borderId="11" applyAlignment="1" pivotButton="0" quotePrefix="0" xfId="0">
      <alignment horizontal="center" vertical="center"/>
    </xf>
    <xf numFmtId="0" fontId="15" fillId="13" borderId="11" applyAlignment="1" pivotButton="0" quotePrefix="0" xfId="0">
      <alignment horizontal="left" vertical="center" indent="1"/>
    </xf>
    <xf numFmtId="0" fontId="15" fillId="13" borderId="9" applyAlignment="1" pivotButton="0" quotePrefix="0" xfId="0">
      <alignment horizontal="left" vertical="center" indent="1"/>
    </xf>
    <xf numFmtId="164" fontId="16" fillId="14" borderId="19" applyAlignment="1" pivotButton="0" quotePrefix="0" xfId="0">
      <alignment horizontal="center" vertical="center"/>
    </xf>
    <xf numFmtId="0" fontId="17" fillId="14" borderId="20" applyAlignment="1" pivotButton="0" quotePrefix="0" xfId="0">
      <alignment horizontal="center" vertical="center"/>
    </xf>
    <xf numFmtId="0" fontId="18" fillId="15" borderId="19" applyAlignment="1" pivotButton="0" quotePrefix="0" xfId="0">
      <alignment horizontal="left" vertical="center"/>
    </xf>
    <xf numFmtId="3" fontId="19" fillId="15" borderId="19" applyAlignment="1" pivotButton="0" quotePrefix="0" xfId="0">
      <alignment horizontal="center" vertical="center"/>
    </xf>
    <xf numFmtId="164" fontId="16" fillId="14" borderId="21" applyAlignment="1" pivotButton="0" quotePrefix="0" xfId="0">
      <alignment horizontal="center" vertical="center"/>
    </xf>
    <xf numFmtId="0" fontId="17" fillId="14" borderId="22" applyAlignment="1" pivotButton="0" quotePrefix="0" xfId="0">
      <alignment horizontal="center" vertical="center"/>
    </xf>
    <xf numFmtId="0" fontId="19" fillId="14" borderId="21" applyAlignment="1" pivotButton="0" quotePrefix="0" xfId="0">
      <alignment horizontal="left" vertical="center"/>
    </xf>
    <xf numFmtId="3" fontId="19" fillId="14" borderId="21" applyAlignment="1" pivotButton="0" quotePrefix="0" xfId="0">
      <alignment horizontal="center" vertical="center"/>
    </xf>
    <xf numFmtId="0" fontId="19" fillId="16" borderId="21" applyAlignment="1" pivotButton="0" quotePrefix="0" xfId="0">
      <alignment horizontal="left" vertical="center"/>
    </xf>
    <xf numFmtId="3" fontId="19" fillId="16" borderId="21" applyAlignment="1" pivotButton="0" quotePrefix="0" xfId="0">
      <alignment horizontal="center" vertical="center"/>
    </xf>
    <xf numFmtId="3" fontId="19" fillId="21" borderId="21" applyAlignment="1" pivotButton="0" quotePrefix="0" xfId="0">
      <alignment horizontal="center" vertical="center"/>
    </xf>
    <xf numFmtId="0" fontId="20" fillId="17" borderId="21" applyAlignment="1" pivotButton="0" quotePrefix="0" xfId="0">
      <alignment horizontal="left" vertical="center"/>
    </xf>
    <xf numFmtId="3" fontId="19" fillId="17" borderId="21" applyAlignment="1" pivotButton="0" quotePrefix="0" xfId="0">
      <alignment horizontal="center" vertical="center"/>
    </xf>
    <xf numFmtId="0" fontId="18" fillId="17" borderId="21" applyAlignment="1" pivotButton="0" quotePrefix="0" xfId="0">
      <alignment horizontal="left" vertical="center"/>
    </xf>
    <xf numFmtId="10" fontId="19" fillId="17" borderId="21" applyAlignment="1" pivotButton="0" quotePrefix="0" xfId="0">
      <alignment horizontal="center" vertical="center"/>
    </xf>
    <xf numFmtId="0" fontId="21" fillId="18" borderId="21" applyAlignment="1" pivotButton="0" quotePrefix="0" xfId="0">
      <alignment horizontal="left" vertical="center"/>
    </xf>
    <xf numFmtId="21" fontId="19" fillId="18" borderId="21" applyAlignment="1" pivotButton="0" quotePrefix="0" xfId="0">
      <alignment horizontal="center" vertical="center"/>
    </xf>
    <xf numFmtId="0" fontId="22" fillId="19" borderId="21" applyAlignment="1" pivotButton="0" quotePrefix="0" xfId="0">
      <alignment horizontal="left" vertical="center"/>
    </xf>
    <xf numFmtId="21" fontId="19" fillId="19" borderId="21" applyAlignment="1" pivotButton="0" quotePrefix="0" xfId="0">
      <alignment horizontal="center" vertical="center"/>
    </xf>
    <xf numFmtId="164" fontId="16" fillId="14" borderId="23" applyAlignment="1" pivotButton="0" quotePrefix="0" xfId="0">
      <alignment horizontal="center" vertical="center"/>
    </xf>
    <xf numFmtId="0" fontId="17" fillId="14" borderId="24" applyAlignment="1" pivotButton="0" quotePrefix="0" xfId="0">
      <alignment horizontal="center" vertical="center"/>
    </xf>
    <xf numFmtId="0" fontId="23" fillId="20" borderId="23" applyAlignment="1" pivotButton="0" quotePrefix="0" xfId="0">
      <alignment horizontal="left" vertical="center"/>
    </xf>
    <xf numFmtId="21" fontId="19" fillId="20" borderId="21" applyAlignment="1" pivotButton="0" quotePrefix="0" xfId="0">
      <alignment horizontal="center" vertical="center"/>
    </xf>
    <xf numFmtId="3" fontId="11" fillId="17" borderId="9" applyAlignment="1" pivotButton="0" quotePrefix="0" xfId="0">
      <alignment horizontal="center" vertical="center"/>
    </xf>
    <xf numFmtId="3" fontId="11" fillId="14" borderId="9" applyAlignment="1" pivotButton="0" quotePrefix="0" xfId="0">
      <alignment horizontal="center" vertical="center"/>
    </xf>
    <xf numFmtId="3" fontId="11" fillId="16" borderId="9" applyAlignment="1" pivotButton="0" quotePrefix="0" xfId="0">
      <alignment horizontal="center" vertical="center"/>
    </xf>
    <xf numFmtId="21" fontId="11" fillId="18" borderId="9" applyAlignment="1" pivotButton="0" quotePrefix="0" xfId="0">
      <alignment horizontal="center" vertical="center"/>
    </xf>
    <xf numFmtId="21" fontId="11" fillId="19" borderId="9" applyAlignment="1" pivotButton="0" quotePrefix="0" xfId="0">
      <alignment horizontal="center" vertical="center"/>
    </xf>
    <xf numFmtId="21" fontId="11" fillId="20" borderId="9" applyAlignment="1" pivotButton="0" quotePrefix="0" xfId="0">
      <alignment horizontal="center" vertical="center"/>
    </xf>
    <xf numFmtId="46" fontId="19" fillId="18" borderId="21" applyAlignment="1" pivotButton="0" quotePrefix="0" xfId="0">
      <alignment horizontal="center" vertical="center"/>
    </xf>
    <xf numFmtId="46" fontId="19" fillId="19" borderId="21" applyAlignment="1" pivotButton="0" quotePrefix="0" xfId="0">
      <alignment horizontal="center" vertical="center"/>
    </xf>
    <xf numFmtId="46" fontId="19" fillId="20" borderId="21" applyAlignment="1" pivotButton="0" quotePrefix="0" xfId="0">
      <alignment horizontal="center" vertical="center"/>
    </xf>
    <xf numFmtId="46" fontId="19" fillId="21" borderId="2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5DA8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B8540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948A54"/>
      <rgbColor rgb="FF9999FF"/>
      <rgbColor rgb="FF993366"/>
      <rgbColor rgb="FFFFF2CC"/>
      <rgbColor rgb="FFEBF3FB"/>
      <rgbColor rgb="FF660066"/>
      <rgbColor rgb="FFFF8080"/>
      <rgbColor rgb="FF2E5DA8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75623"/>
      <rgbColor rgb="FFB8540A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4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  <selection pane="bottomLeft" activeCell="E8" activeCellId="0" sqref="E8"/>
    </sheetView>
  </sheetViews>
  <sheetFormatPr baseColWidth="8" defaultColWidth="8.6796875" defaultRowHeight="15" zeroHeight="0" outlineLevelRow="0"/>
  <cols>
    <col width="13" customWidth="1" style="44" min="1" max="1"/>
    <col width="12" customWidth="1" style="44" min="2" max="2"/>
    <col width="36.71" customWidth="1" style="44" min="3" max="3"/>
    <col width="15" customWidth="1" style="44" min="4" max="16"/>
  </cols>
  <sheetData>
    <row r="1" ht="31.5" customHeight="1" s="45">
      <c r="A1" s="46" t="inlineStr">
        <is>
          <t>ANÁLISE COMPARATIVA DE INDICADORES — UPAs PORTE I e PORTE III — ANTES e APÓS O PROJETO</t>
        </is>
      </c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8" t="n"/>
    </row>
    <row r="2" ht="25.5" customHeight="1" s="45">
      <c r="A2" s="49" t="inlineStr">
        <is>
          <t>Obs.: O indicador TAXA DE MORTALIDADE é de responsabilidade da SUPPH.</t>
        </is>
      </c>
      <c r="B2" s="47" t="n"/>
      <c r="C2" s="50" t="n"/>
      <c r="D2" s="51" t="inlineStr">
        <is>
          <t>— PORTE I —</t>
        </is>
      </c>
      <c r="E2" s="47" t="n"/>
      <c r="F2" s="47" t="n"/>
      <c r="G2" s="47" t="n"/>
      <c r="H2" s="47" t="n"/>
      <c r="I2" s="47" t="n"/>
      <c r="J2" s="50" t="n"/>
      <c r="K2" s="52" t="inlineStr">
        <is>
          <t>— PORTE III —</t>
        </is>
      </c>
      <c r="L2" s="47" t="n"/>
      <c r="M2" s="47" t="n"/>
      <c r="N2" s="47" t="n"/>
      <c r="O2" s="47" t="n"/>
      <c r="P2" s="53" t="n"/>
    </row>
    <row r="3" ht="36" customHeight="1" s="45">
      <c r="A3" s="54" t="inlineStr">
        <is>
          <t>Data</t>
        </is>
      </c>
      <c r="B3" s="54" t="inlineStr">
        <is>
          <t>Fase</t>
        </is>
      </c>
      <c r="C3" s="54" t="inlineStr">
        <is>
          <t>Indicador</t>
        </is>
      </c>
      <c r="D3" s="55" t="inlineStr">
        <is>
          <t>UPA
CEILÂNDIA II</t>
        </is>
      </c>
      <c r="E3" s="55" t="inlineStr">
        <is>
          <t>UPA
PARANOÁ</t>
        </is>
      </c>
      <c r="F3" s="55" t="inlineStr">
        <is>
          <t>UPA
GAMA</t>
        </is>
      </c>
      <c r="G3" s="55" t="inlineStr">
        <is>
          <t>UPA
PLANALTINA</t>
        </is>
      </c>
      <c r="H3" s="55" t="inlineStr">
        <is>
          <t>UPA RIACHO FUNDO II</t>
        </is>
      </c>
      <c r="I3" s="55" t="inlineStr">
        <is>
          <t>UPA VICENTE PIRES</t>
        </is>
      </c>
      <c r="J3" s="55" t="inlineStr">
        <is>
          <t>UPA BRAZLÂNDIA</t>
        </is>
      </c>
      <c r="K3" s="56" t="inlineStr">
        <is>
          <t>UPA
CEILÂNDIA</t>
        </is>
      </c>
      <c r="L3" s="56" t="inlineStr">
        <is>
          <t>UPA NÚCLEO BANDEIRANTE</t>
        </is>
      </c>
      <c r="M3" s="56" t="inlineStr">
        <is>
          <t>UPA RECANTO DAS EMAS</t>
        </is>
      </c>
      <c r="N3" s="56" t="inlineStr">
        <is>
          <t>UPA SAMAMBAIA</t>
        </is>
      </c>
      <c r="O3" s="56" t="inlineStr">
        <is>
          <t>UPA
SÃO SEBASTIÃO</t>
        </is>
      </c>
      <c r="P3" s="56" t="inlineStr">
        <is>
          <t>UPA SOBRADINHO</t>
        </is>
      </c>
    </row>
    <row r="4" ht="15.75" customHeight="1" s="45">
      <c r="A4" s="57" t="n">
        <v>46023</v>
      </c>
      <c r="B4" s="58" t="inlineStr">
        <is>
          <t>Antes-Projeto</t>
        </is>
      </c>
      <c r="C4" s="59" t="inlineStr">
        <is>
          <t>Acolhim. + Atend. Urgência + Atend. UPA</t>
        </is>
      </c>
      <c r="D4" s="60">
        <f>SUM(D5:D7)</f>
        <v/>
      </c>
      <c r="E4" s="60">
        <f>SUM(E5:E7)</f>
        <v/>
      </c>
      <c r="F4" s="60">
        <f>SUM(F5:F7)</f>
        <v/>
      </c>
      <c r="G4" s="60">
        <f>SUM(G5:G7)</f>
        <v/>
      </c>
      <c r="H4" s="60">
        <f>SUM(H5:H7)</f>
        <v/>
      </c>
      <c r="I4" s="60">
        <f>SUM(I5:I7)</f>
        <v/>
      </c>
      <c r="J4" s="60">
        <f>SUM(J5:J7)</f>
        <v/>
      </c>
      <c r="K4" s="60">
        <f>SUM(K5:K7)</f>
        <v/>
      </c>
      <c r="L4" s="60">
        <f>SUM(L5:L7)</f>
        <v/>
      </c>
      <c r="M4" s="60">
        <f>SUM(M5:M7)</f>
        <v/>
      </c>
      <c r="N4" s="60">
        <f>SUM(N5:N7)</f>
        <v/>
      </c>
      <c r="O4" s="60">
        <f>SUM(O5:O7)</f>
        <v/>
      </c>
      <c r="P4" s="60">
        <f>SUM(P5:P7)</f>
        <v/>
      </c>
    </row>
    <row r="5" ht="15.75" customHeight="1" s="45">
      <c r="A5" s="61" t="n">
        <v>46023</v>
      </c>
      <c r="B5" s="62" t="inlineStr">
        <is>
          <t>Antes-Projeto</t>
        </is>
      </c>
      <c r="C5" s="63" t="inlineStr">
        <is>
          <t>Acolhimento c/ Classif. de Risco</t>
        </is>
      </c>
      <c r="D5" s="64" t="n">
        <v>179</v>
      </c>
      <c r="E5" s="64" t="n">
        <v>136</v>
      </c>
      <c r="F5" s="64" t="n">
        <v>153</v>
      </c>
      <c r="G5" s="64" t="n">
        <v>113</v>
      </c>
      <c r="H5" s="64" t="n">
        <v>105</v>
      </c>
      <c r="I5" s="64" t="n">
        <v>142</v>
      </c>
      <c r="J5" s="64" t="n">
        <v>57</v>
      </c>
      <c r="K5" s="64" t="n">
        <v>240</v>
      </c>
      <c r="L5" s="64" t="n">
        <v>120</v>
      </c>
      <c r="M5" s="64" t="n">
        <v>147</v>
      </c>
      <c r="N5" s="64" t="n">
        <v>186</v>
      </c>
      <c r="O5" s="64" t="n">
        <v>210</v>
      </c>
      <c r="P5" s="64" t="n">
        <v>178</v>
      </c>
    </row>
    <row r="6" ht="15.75" customHeight="1" s="45">
      <c r="A6" s="61" t="n">
        <v>46023</v>
      </c>
      <c r="B6" s="62" t="inlineStr">
        <is>
          <t>Antes-Projeto</t>
        </is>
      </c>
      <c r="C6" s="65" t="inlineStr">
        <is>
          <t>Atend. Urgência Obs. ≤ 24h</t>
        </is>
      </c>
      <c r="D6" s="66" t="n">
        <v>18</v>
      </c>
      <c r="E6" s="66" t="n">
        <v>10</v>
      </c>
      <c r="F6" s="66" t="n">
        <v>3</v>
      </c>
      <c r="G6" s="66" t="n">
        <v>47</v>
      </c>
      <c r="H6" s="66" t="n">
        <v>20</v>
      </c>
      <c r="I6" s="66" t="n">
        <v>43</v>
      </c>
      <c r="J6" s="66" t="n">
        <v>35</v>
      </c>
      <c r="K6" s="66" t="n">
        <v>265</v>
      </c>
      <c r="L6" s="66" t="n">
        <v>23</v>
      </c>
      <c r="M6" s="66" t="n">
        <v>20</v>
      </c>
      <c r="N6" s="66" t="n">
        <v>125</v>
      </c>
      <c r="O6" s="67" t="n">
        <v>0</v>
      </c>
      <c r="P6" s="66" t="n">
        <v>18</v>
      </c>
    </row>
    <row r="7" ht="15.75" customHeight="1" s="45">
      <c r="A7" s="61" t="n">
        <v>46023</v>
      </c>
      <c r="B7" s="62" t="inlineStr">
        <is>
          <t>Antes-Projeto</t>
        </is>
      </c>
      <c r="C7" s="63" t="inlineStr">
        <is>
          <t>Atend. Médico em UPA</t>
        </is>
      </c>
      <c r="D7" s="64" t="n">
        <v>95</v>
      </c>
      <c r="E7" s="64" t="n">
        <v>80</v>
      </c>
      <c r="F7" s="64" t="n">
        <v>116</v>
      </c>
      <c r="G7" s="64" t="n">
        <v>59</v>
      </c>
      <c r="H7" s="64" t="n">
        <v>66</v>
      </c>
      <c r="I7" s="64" t="n">
        <v>107</v>
      </c>
      <c r="J7" s="64" t="n">
        <v>9</v>
      </c>
      <c r="K7" s="64" t="n">
        <v>113</v>
      </c>
      <c r="L7" s="64" t="n">
        <v>76</v>
      </c>
      <c r="M7" s="64" t="n">
        <v>107</v>
      </c>
      <c r="N7" s="64" t="n">
        <v>188</v>
      </c>
      <c r="O7" s="64" t="n">
        <v>145</v>
      </c>
      <c r="P7" s="64" t="n">
        <v>126</v>
      </c>
    </row>
    <row r="8" ht="15.75" customHeight="1" s="45">
      <c r="A8" s="61" t="n">
        <v>46023</v>
      </c>
      <c r="B8" s="62" t="inlineStr">
        <is>
          <t>Antes-Projeto</t>
        </is>
      </c>
      <c r="C8" s="65" t="inlineStr">
        <is>
          <t>Exames Laboratoriais</t>
        </is>
      </c>
      <c r="D8" s="66" t="n">
        <v>458</v>
      </c>
      <c r="E8" s="66" t="n">
        <v>250</v>
      </c>
      <c r="F8" s="66" t="n">
        <v>363</v>
      </c>
      <c r="G8" s="66" t="n">
        <v>199</v>
      </c>
      <c r="H8" s="66" t="n">
        <v>290</v>
      </c>
      <c r="I8" s="66" t="n">
        <v>483</v>
      </c>
      <c r="J8" s="66" t="n">
        <v>99</v>
      </c>
      <c r="K8" s="66" t="n">
        <v>666</v>
      </c>
      <c r="L8" s="66" t="n">
        <v>631</v>
      </c>
      <c r="M8" s="66" t="n">
        <v>724</v>
      </c>
      <c r="N8" s="66" t="n">
        <v>450</v>
      </c>
      <c r="O8" s="66" t="n">
        <v>353</v>
      </c>
      <c r="P8" s="66" t="n">
        <v>406</v>
      </c>
    </row>
    <row r="9" ht="15.75" customHeight="1" s="45">
      <c r="A9" s="61" t="n">
        <v>46023</v>
      </c>
      <c r="B9" s="62" t="inlineStr">
        <is>
          <t>Antes-Projeto</t>
        </is>
      </c>
      <c r="C9" s="63" t="inlineStr">
        <is>
          <t>Radiografias</t>
        </is>
      </c>
      <c r="D9" s="64" t="n">
        <v>17</v>
      </c>
      <c r="E9" s="64" t="n">
        <v>20</v>
      </c>
      <c r="F9" s="64" t="n">
        <v>26</v>
      </c>
      <c r="G9" s="64" t="n">
        <v>11</v>
      </c>
      <c r="H9" s="64" t="n">
        <v>9</v>
      </c>
      <c r="I9" s="64" t="n">
        <v>14</v>
      </c>
      <c r="J9" s="64" t="n">
        <v>2</v>
      </c>
      <c r="K9" s="64" t="n">
        <v>3</v>
      </c>
      <c r="L9" s="64" t="n">
        <v>18</v>
      </c>
      <c r="M9" s="64" t="n">
        <v>40</v>
      </c>
      <c r="N9" s="64" t="n">
        <v>14</v>
      </c>
      <c r="O9" s="64" t="n">
        <v>47</v>
      </c>
      <c r="P9" s="64" t="n">
        <v>43</v>
      </c>
    </row>
    <row r="10" ht="15.75" customHeight="1" s="45">
      <c r="A10" s="61" t="n">
        <v>46023</v>
      </c>
      <c r="B10" s="62" t="inlineStr">
        <is>
          <t>Antes-Projeto</t>
        </is>
      </c>
      <c r="C10" s="65" t="inlineStr">
        <is>
          <t>Eletrocardiogramas</t>
        </is>
      </c>
      <c r="D10" s="66" t="n">
        <v>10</v>
      </c>
      <c r="E10" s="66" t="n">
        <v>7</v>
      </c>
      <c r="F10" s="66" t="n">
        <v>9</v>
      </c>
      <c r="G10" s="66" t="n">
        <v>10</v>
      </c>
      <c r="H10" s="66" t="n">
        <v>4</v>
      </c>
      <c r="I10" s="66" t="n">
        <v>12</v>
      </c>
      <c r="J10" s="66" t="n">
        <v>1</v>
      </c>
      <c r="K10" s="66" t="n">
        <v>18</v>
      </c>
      <c r="L10" s="66" t="n">
        <v>15</v>
      </c>
      <c r="M10" s="66" t="n">
        <v>25</v>
      </c>
      <c r="N10" s="66" t="n">
        <v>11</v>
      </c>
      <c r="O10" s="66" t="n">
        <v>19</v>
      </c>
      <c r="P10" s="66" t="n">
        <v>18</v>
      </c>
    </row>
    <row r="11" ht="15.75" customHeight="1" s="45">
      <c r="A11" s="61" t="n">
        <v>46023</v>
      </c>
      <c r="B11" s="62" t="inlineStr">
        <is>
          <t>Antes-Projeto</t>
        </is>
      </c>
      <c r="C11" s="68" t="inlineStr">
        <is>
          <t>GAEs Abertas</t>
        </is>
      </c>
      <c r="D11" s="69" t="n">
        <v>186</v>
      </c>
      <c r="E11" s="69" t="n">
        <v>144</v>
      </c>
      <c r="F11" s="69" t="n">
        <v>156</v>
      </c>
      <c r="G11" s="69" t="n">
        <v>117</v>
      </c>
      <c r="H11" s="69" t="n">
        <v>105</v>
      </c>
      <c r="I11" s="69" t="n">
        <v>148</v>
      </c>
      <c r="J11" s="69" t="n">
        <v>57</v>
      </c>
      <c r="K11" s="69" t="n">
        <v>262</v>
      </c>
      <c r="L11" s="69" t="n">
        <v>127</v>
      </c>
      <c r="M11" s="69" t="n">
        <v>155</v>
      </c>
      <c r="N11" s="69" t="n">
        <v>186</v>
      </c>
      <c r="O11" s="69" t="n">
        <v>212</v>
      </c>
      <c r="P11" s="69" t="n">
        <v>188</v>
      </c>
    </row>
    <row r="12" ht="15.75" customHeight="1" s="45">
      <c r="A12" s="61" t="n">
        <v>46023</v>
      </c>
      <c r="B12" s="62" t="inlineStr">
        <is>
          <t>Antes-Projeto</t>
        </is>
      </c>
      <c r="C12" s="68" t="inlineStr">
        <is>
          <t>GAEs Classificadas</t>
        </is>
      </c>
      <c r="D12" s="69" t="n">
        <v>179</v>
      </c>
      <c r="E12" s="69" t="n">
        <v>136</v>
      </c>
      <c r="F12" s="69" t="n">
        <v>152</v>
      </c>
      <c r="G12" s="69" t="n">
        <v>113</v>
      </c>
      <c r="H12" s="69" t="n">
        <v>105</v>
      </c>
      <c r="I12" s="69" t="n">
        <v>143</v>
      </c>
      <c r="J12" s="69" t="n">
        <v>57</v>
      </c>
      <c r="K12" s="69" t="n">
        <v>238</v>
      </c>
      <c r="L12" s="69" t="n">
        <v>120</v>
      </c>
      <c r="M12" s="69" t="n">
        <v>146</v>
      </c>
      <c r="N12" s="69" t="n">
        <v>168</v>
      </c>
      <c r="O12" s="69" t="n">
        <v>199</v>
      </c>
      <c r="P12" s="69" t="n">
        <v>184</v>
      </c>
    </row>
    <row r="13" ht="15.75" customHeight="1" s="45">
      <c r="A13" s="61" t="n">
        <v>46023</v>
      </c>
      <c r="B13" s="62" t="inlineStr">
        <is>
          <t>Antes-Projeto</t>
        </is>
      </c>
      <c r="C13" s="70" t="inlineStr">
        <is>
          <t>Percentual de GAEs abertas classificadas</t>
        </is>
      </c>
      <c r="D13" s="71">
        <f>IFERROR(D12/D11,"-")</f>
        <v/>
      </c>
      <c r="E13" s="71">
        <f>IFERROR(E12/E11,"-")</f>
        <v/>
      </c>
      <c r="F13" s="71">
        <f>IFERROR(F12/F11,"-")</f>
        <v/>
      </c>
      <c r="G13" s="71">
        <f>IFERROR(G12/G11,"-")</f>
        <v/>
      </c>
      <c r="H13" s="71">
        <f>IFERROR(H12/H11,"-")</f>
        <v/>
      </c>
      <c r="I13" s="71">
        <f>IFERROR(I12/I11,"-")</f>
        <v/>
      </c>
      <c r="J13" s="71">
        <f>IFERROR(J12/J11,"-")</f>
        <v/>
      </c>
      <c r="K13" s="71">
        <f>IFERROR(K12/K11,"-")</f>
        <v/>
      </c>
      <c r="L13" s="71">
        <f>IFERROR(L12/L11,"-")</f>
        <v/>
      </c>
      <c r="M13" s="71">
        <f>IFERROR(M12/M11,"-")</f>
        <v/>
      </c>
      <c r="N13" s="71">
        <f>IFERROR(N12/N11,"-")</f>
        <v/>
      </c>
      <c r="O13" s="71">
        <f>IFERROR(O12/O11,"-")</f>
        <v/>
      </c>
      <c r="P13" s="71">
        <f>IFERROR(P12/P11,"-")</f>
        <v/>
      </c>
    </row>
    <row r="14" ht="15.75" customHeight="1" s="45">
      <c r="A14" s="61" t="n">
        <v>46023</v>
      </c>
      <c r="B14" s="62" t="inlineStr">
        <is>
          <t>Antes-Projeto</t>
        </is>
      </c>
      <c r="C14" s="72" t="inlineStr">
        <is>
          <t>Tempo Médio — 🟡 Amarelo (hh:mm)</t>
        </is>
      </c>
      <c r="D14" s="121" t="n">
        <v>0.08290509259259259</v>
      </c>
      <c r="E14" s="121" t="n">
        <v>0.04350694444444445</v>
      </c>
      <c r="F14" s="121" t="n">
        <v>0.04083333333333333</v>
      </c>
      <c r="G14" s="121" t="n">
        <v>0.03633101851851852</v>
      </c>
      <c r="H14" s="121" t="n">
        <v>0.05244212962962963</v>
      </c>
      <c r="I14" s="121" t="n">
        <v>0.05273148148148148</v>
      </c>
      <c r="J14" s="121" t="n">
        <v>0.1716087962962963</v>
      </c>
      <c r="K14" s="121" t="n">
        <v>0.03261574074074074</v>
      </c>
      <c r="L14" s="121" t="n">
        <v>0.2046064814814815</v>
      </c>
      <c r="M14" s="121" t="n">
        <v>0.008761574074074074</v>
      </c>
      <c r="N14" s="121" t="n">
        <v>0.07524305555555555</v>
      </c>
      <c r="O14" s="121" t="n">
        <v>0.04606481481481482</v>
      </c>
      <c r="P14" s="121" t="n">
        <v>0.025625</v>
      </c>
    </row>
    <row r="15" ht="15.75" customHeight="1" s="45">
      <c r="A15" s="61" t="n">
        <v>46023</v>
      </c>
      <c r="B15" s="62" t="inlineStr">
        <is>
          <t>Antes-Projeto</t>
        </is>
      </c>
      <c r="C15" s="74" t="inlineStr">
        <is>
          <t>Tempo Médio — 🟠 Laranja (hh:mm)</t>
        </is>
      </c>
      <c r="D15" s="122" t="n">
        <v>0.007835648148148149</v>
      </c>
      <c r="E15" s="122" t="n">
        <v>0.02244212962962963</v>
      </c>
      <c r="F15" s="122" t="n">
        <v>0.007141203703703703</v>
      </c>
      <c r="G15" s="122" t="n">
        <v>0.004895833333333334</v>
      </c>
      <c r="H15" s="122" t="n">
        <v>0.01053240740740741</v>
      </c>
      <c r="I15" s="122" t="n">
        <v>0.005891203703703704</v>
      </c>
      <c r="J15" s="122" t="n">
        <v>0.0650462962962963</v>
      </c>
      <c r="K15" s="122" t="n">
        <v>0.01556712962962963</v>
      </c>
      <c r="L15" s="122" t="n">
        <v>0.01547453703703704</v>
      </c>
      <c r="M15" s="122" t="n">
        <v>0.00525462962962963</v>
      </c>
      <c r="N15" s="122" t="n">
        <v>0.0187962962962963</v>
      </c>
      <c r="O15" s="122" t="n">
        <v>0.009016203703703703</v>
      </c>
      <c r="P15" s="122" t="n">
        <v>0.005914351851851852</v>
      </c>
    </row>
    <row r="16" ht="15.75" customHeight="1" s="45">
      <c r="A16" s="76" t="n">
        <v>46023</v>
      </c>
      <c r="B16" s="77" t="inlineStr">
        <is>
          <t>Antes-Projeto</t>
        </is>
      </c>
      <c r="C16" s="78" t="inlineStr">
        <is>
          <t>Tempo Médio — 🟢 Verde   (hh:mm)</t>
        </is>
      </c>
      <c r="D16" s="123" t="n">
        <v>0.1117939814814815</v>
      </c>
      <c r="E16" s="123" t="n">
        <v>0.1242476851851852</v>
      </c>
      <c r="F16" s="123" t="n">
        <v>0.04979166666666666</v>
      </c>
      <c r="G16" s="123" t="n">
        <v>0.100162037037037</v>
      </c>
      <c r="H16" s="123" t="n">
        <v>0.07623842592592593</v>
      </c>
      <c r="I16" s="123" t="n">
        <v>0.09925925925925926</v>
      </c>
      <c r="J16" s="123" t="n">
        <v>0.2102662037037037</v>
      </c>
      <c r="K16" s="123" t="n">
        <v>0.08190972222222222</v>
      </c>
      <c r="L16" s="123" t="n">
        <v>0.3030092592592593</v>
      </c>
      <c r="M16" s="123" t="n">
        <v>0.01333333333333333</v>
      </c>
      <c r="N16" s="123" t="n">
        <v>0.2430555555555556</v>
      </c>
      <c r="O16" s="123" t="n">
        <v>0.1059837962962963</v>
      </c>
      <c r="P16" s="123" t="n">
        <v>0.05319444444444445</v>
      </c>
    </row>
    <row r="17" ht="15.75" customHeight="1" s="45">
      <c r="A17" s="57" t="n">
        <v>46024</v>
      </c>
      <c r="B17" s="58" t="inlineStr">
        <is>
          <t>Antes-Projeto</t>
        </is>
      </c>
      <c r="C17" s="59" t="inlineStr">
        <is>
          <t>Acolhim. + Atend. Urgência + Atend. UPA</t>
        </is>
      </c>
      <c r="D17" s="60">
        <f>SUM(D18:D20)</f>
        <v/>
      </c>
      <c r="E17" s="60">
        <f>SUM(E18:E20)</f>
        <v/>
      </c>
      <c r="F17" s="60">
        <f>SUM(F18:F20)</f>
        <v/>
      </c>
      <c r="G17" s="60">
        <f>SUM(G18:G20)</f>
        <v/>
      </c>
      <c r="H17" s="60">
        <f>SUM(H18:H20)</f>
        <v/>
      </c>
      <c r="I17" s="60">
        <f>SUM(I18:I20)</f>
        <v/>
      </c>
      <c r="J17" s="60">
        <f>SUM(J18:J20)</f>
        <v/>
      </c>
      <c r="K17" s="60">
        <f>SUM(K18:K20)</f>
        <v/>
      </c>
      <c r="L17" s="60">
        <f>SUM(L18:L20)</f>
        <v/>
      </c>
      <c r="M17" s="60">
        <f>SUM(M18:M20)</f>
        <v/>
      </c>
      <c r="N17" s="60">
        <f>SUM(N18:N20)</f>
        <v/>
      </c>
      <c r="O17" s="60">
        <f>SUM(O18:O20)</f>
        <v/>
      </c>
      <c r="P17" s="60">
        <f>SUM(P18:P20)</f>
        <v/>
      </c>
    </row>
    <row r="18" ht="15.75" customHeight="1" s="45">
      <c r="A18" s="61" t="n">
        <v>46024</v>
      </c>
      <c r="B18" s="62" t="inlineStr">
        <is>
          <t>Antes-Projeto</t>
        </is>
      </c>
      <c r="C18" s="65" t="inlineStr">
        <is>
          <t>Acolhimento c/ Classif. de Risco</t>
        </is>
      </c>
      <c r="D18" s="66" t="n">
        <v>280</v>
      </c>
      <c r="E18" s="66" t="n">
        <v>91</v>
      </c>
      <c r="F18" s="66" t="n">
        <v>205</v>
      </c>
      <c r="G18" s="66" t="n">
        <v>178</v>
      </c>
      <c r="H18" s="66" t="n">
        <v>161</v>
      </c>
      <c r="I18" s="66" t="n">
        <v>202</v>
      </c>
      <c r="J18" s="66" t="n">
        <v>113</v>
      </c>
      <c r="K18" s="66" t="n">
        <v>272</v>
      </c>
      <c r="L18" s="66" t="n">
        <v>150</v>
      </c>
      <c r="M18" s="66" t="n">
        <v>285</v>
      </c>
      <c r="N18" s="66" t="n">
        <v>242</v>
      </c>
      <c r="O18" s="66" t="n">
        <v>276</v>
      </c>
      <c r="P18" s="66" t="n">
        <v>249</v>
      </c>
    </row>
    <row r="19" ht="15.75" customHeight="1" s="45">
      <c r="A19" s="61" t="n">
        <v>46024</v>
      </c>
      <c r="B19" s="62" t="inlineStr">
        <is>
          <t>Antes-Projeto</t>
        </is>
      </c>
      <c r="C19" s="63" t="inlineStr">
        <is>
          <t>Atend. Urgência Obs. ≤ 24h</t>
        </is>
      </c>
      <c r="D19" s="64" t="n">
        <v>19</v>
      </c>
      <c r="E19" s="64" t="n">
        <v>16</v>
      </c>
      <c r="F19" s="64" t="n">
        <v>21</v>
      </c>
      <c r="G19" s="64" t="n">
        <v>21</v>
      </c>
      <c r="H19" s="64" t="n">
        <v>15</v>
      </c>
      <c r="I19" s="64" t="n">
        <v>23</v>
      </c>
      <c r="J19" s="64" t="n">
        <v>40</v>
      </c>
      <c r="K19" s="64" t="n">
        <v>101</v>
      </c>
      <c r="L19" s="64" t="n">
        <v>33</v>
      </c>
      <c r="M19" s="64" t="n">
        <v>50</v>
      </c>
      <c r="N19" s="64" t="n">
        <v>39</v>
      </c>
      <c r="O19" s="64" t="n">
        <v>2</v>
      </c>
      <c r="P19" s="64" t="n">
        <v>5</v>
      </c>
    </row>
    <row r="20" ht="15.75" customHeight="1" s="45">
      <c r="A20" s="61" t="n">
        <v>46024</v>
      </c>
      <c r="B20" s="62" t="inlineStr">
        <is>
          <t>Antes-Projeto</t>
        </is>
      </c>
      <c r="C20" s="65" t="inlineStr">
        <is>
          <t>Atend. Médico em UPA</t>
        </is>
      </c>
      <c r="D20" s="66" t="n">
        <v>230</v>
      </c>
      <c r="E20" s="66" t="n">
        <v>60</v>
      </c>
      <c r="F20" s="66" t="n">
        <v>81</v>
      </c>
      <c r="G20" s="66" t="n">
        <v>91</v>
      </c>
      <c r="H20" s="66" t="n">
        <v>118</v>
      </c>
      <c r="I20" s="66" t="n">
        <v>129</v>
      </c>
      <c r="J20" s="66" t="n">
        <v>67</v>
      </c>
      <c r="K20" s="66" t="n">
        <v>164</v>
      </c>
      <c r="L20" s="66" t="n">
        <v>79</v>
      </c>
      <c r="M20" s="66" t="n">
        <v>157</v>
      </c>
      <c r="N20" s="66" t="n">
        <v>231</v>
      </c>
      <c r="O20" s="66" t="n">
        <v>274</v>
      </c>
      <c r="P20" s="66" t="n">
        <v>133</v>
      </c>
    </row>
    <row r="21" ht="15.75" customHeight="1" s="45">
      <c r="A21" s="61" t="n">
        <v>46024</v>
      </c>
      <c r="B21" s="62" t="inlineStr">
        <is>
          <t>Antes-Projeto</t>
        </is>
      </c>
      <c r="C21" s="63" t="inlineStr">
        <is>
          <t>Exames Laboratoriais</t>
        </is>
      </c>
      <c r="D21" s="64" t="n">
        <v>844</v>
      </c>
      <c r="E21" s="64" t="n">
        <v>267</v>
      </c>
      <c r="F21" s="64" t="n">
        <v>421</v>
      </c>
      <c r="G21" s="64" t="n">
        <v>304</v>
      </c>
      <c r="H21" s="64" t="n">
        <v>327</v>
      </c>
      <c r="I21" s="64" t="n">
        <v>464</v>
      </c>
      <c r="J21" s="64" t="n">
        <v>201</v>
      </c>
      <c r="K21" s="64" t="n">
        <v>732</v>
      </c>
      <c r="L21" s="64" t="n">
        <v>613</v>
      </c>
      <c r="M21" s="64" t="n">
        <v>647</v>
      </c>
      <c r="N21" s="64" t="n">
        <v>650</v>
      </c>
      <c r="O21" s="64" t="n">
        <v>457</v>
      </c>
      <c r="P21" s="64" t="n">
        <v>499</v>
      </c>
    </row>
    <row r="22" ht="15.75" customHeight="1" s="45">
      <c r="A22" s="61" t="n">
        <v>46024</v>
      </c>
      <c r="B22" s="62" t="inlineStr">
        <is>
          <t>Antes-Projeto</t>
        </is>
      </c>
      <c r="C22" s="65" t="inlineStr">
        <is>
          <t>Radiografias</t>
        </is>
      </c>
      <c r="D22" s="66" t="n">
        <v>45</v>
      </c>
      <c r="E22" s="66" t="n">
        <v>6</v>
      </c>
      <c r="F22" s="66" t="n">
        <v>19</v>
      </c>
      <c r="G22" s="66" t="n">
        <v>25</v>
      </c>
      <c r="H22" s="66" t="n">
        <v>15</v>
      </c>
      <c r="I22" s="66" t="n">
        <v>24</v>
      </c>
      <c r="J22" s="66" t="n">
        <v>17</v>
      </c>
      <c r="K22" s="66" t="n">
        <v>11</v>
      </c>
      <c r="L22" s="66" t="n">
        <v>30</v>
      </c>
      <c r="M22" s="66" t="n">
        <v>61</v>
      </c>
      <c r="N22" s="66" t="n">
        <v>43</v>
      </c>
      <c r="O22" s="66" t="n">
        <v>58</v>
      </c>
      <c r="P22" s="66" t="n">
        <v>50</v>
      </c>
    </row>
    <row r="23" ht="15.75" customHeight="1" s="45">
      <c r="A23" s="61" t="n">
        <v>46024</v>
      </c>
      <c r="B23" s="62" t="inlineStr">
        <is>
          <t>Antes-Projeto</t>
        </is>
      </c>
      <c r="C23" s="63" t="inlineStr">
        <is>
          <t>Eletrocardiogramas</t>
        </is>
      </c>
      <c r="D23" s="64" t="n">
        <v>17</v>
      </c>
      <c r="E23" s="64" t="n">
        <v>5</v>
      </c>
      <c r="F23" s="64" t="n">
        <v>10</v>
      </c>
      <c r="G23" s="64" t="n">
        <v>11</v>
      </c>
      <c r="H23" s="64" t="n">
        <v>14</v>
      </c>
      <c r="I23" s="64" t="n">
        <v>8</v>
      </c>
      <c r="J23" s="64" t="n">
        <v>7</v>
      </c>
      <c r="K23" s="64" t="n">
        <v>22</v>
      </c>
      <c r="L23" s="64" t="n">
        <v>23</v>
      </c>
      <c r="M23" s="64" t="n">
        <v>23</v>
      </c>
      <c r="N23" s="64" t="n">
        <v>21</v>
      </c>
      <c r="O23" s="64" t="n">
        <v>16</v>
      </c>
      <c r="P23" s="64" t="n">
        <v>27</v>
      </c>
    </row>
    <row r="24" ht="15.75" customHeight="1" s="45">
      <c r="A24" s="61" t="n">
        <v>46024</v>
      </c>
      <c r="B24" s="62" t="inlineStr">
        <is>
          <t>Antes-Projeto</t>
        </is>
      </c>
      <c r="C24" s="68" t="inlineStr">
        <is>
          <t>GAEs Abertas</t>
        </is>
      </c>
      <c r="D24" s="69" t="n">
        <v>314</v>
      </c>
      <c r="E24" s="69" t="n">
        <v>95</v>
      </c>
      <c r="F24" s="69" t="n">
        <v>217</v>
      </c>
      <c r="G24" s="69" t="n">
        <v>193</v>
      </c>
      <c r="H24" s="69" t="n">
        <v>163</v>
      </c>
      <c r="I24" s="69" t="n">
        <v>208</v>
      </c>
      <c r="J24" s="69" t="n">
        <v>115</v>
      </c>
      <c r="K24" s="69" t="n">
        <v>330</v>
      </c>
      <c r="L24" s="69" t="n">
        <v>170</v>
      </c>
      <c r="M24" s="69" t="n">
        <v>294</v>
      </c>
      <c r="N24" s="69" t="n">
        <v>242</v>
      </c>
      <c r="O24" s="69" t="n">
        <v>280</v>
      </c>
      <c r="P24" s="69" t="n">
        <v>262</v>
      </c>
    </row>
    <row r="25" ht="15.75" customHeight="1" s="45">
      <c r="A25" s="61" t="n">
        <v>46024</v>
      </c>
      <c r="B25" s="62" t="inlineStr">
        <is>
          <t>Antes-Projeto</t>
        </is>
      </c>
      <c r="C25" s="68" t="inlineStr">
        <is>
          <t>GAEs Classificadas</t>
        </is>
      </c>
      <c r="D25" s="69" t="n">
        <v>279</v>
      </c>
      <c r="E25" s="69" t="n">
        <v>92</v>
      </c>
      <c r="F25" s="69" t="n">
        <v>205</v>
      </c>
      <c r="G25" s="69" t="n">
        <v>178</v>
      </c>
      <c r="H25" s="69" t="n">
        <v>160</v>
      </c>
      <c r="I25" s="69" t="n">
        <v>188</v>
      </c>
      <c r="J25" s="69" t="n">
        <v>113</v>
      </c>
      <c r="K25" s="69" t="n">
        <v>270</v>
      </c>
      <c r="L25" s="69" t="n">
        <v>150</v>
      </c>
      <c r="M25" s="69" t="n">
        <v>285</v>
      </c>
      <c r="N25" s="69" t="n">
        <v>237</v>
      </c>
      <c r="O25" s="69" t="n">
        <v>266</v>
      </c>
      <c r="P25" s="69" t="n">
        <v>252</v>
      </c>
    </row>
    <row r="26" ht="15.75" customHeight="1" s="45">
      <c r="A26" s="61" t="n">
        <v>46024</v>
      </c>
      <c r="B26" s="62" t="inlineStr">
        <is>
          <t>Antes-Projeto</t>
        </is>
      </c>
      <c r="C26" s="70" t="inlineStr">
        <is>
          <t>Percentual de GAEs abertas classificadas</t>
        </is>
      </c>
      <c r="D26" s="71">
        <f>IFERROR(D25/D24,"-")</f>
        <v/>
      </c>
      <c r="E26" s="71">
        <f>IFERROR(E25/E24,"-")</f>
        <v/>
      </c>
      <c r="F26" s="71">
        <f>IFERROR(F25/F24,"-")</f>
        <v/>
      </c>
      <c r="G26" s="71">
        <f>IFERROR(G25/G24,"-")</f>
        <v/>
      </c>
      <c r="H26" s="71">
        <f>IFERROR(H25/H24,"-")</f>
        <v/>
      </c>
      <c r="I26" s="71">
        <f>IFERROR(I25/I24,"-")</f>
        <v/>
      </c>
      <c r="J26" s="71">
        <f>IFERROR(J25/J24,"-")</f>
        <v/>
      </c>
      <c r="K26" s="71">
        <f>IFERROR(K25/K24,"-")</f>
        <v/>
      </c>
      <c r="L26" s="71">
        <f>IFERROR(L25/L24,"-")</f>
        <v/>
      </c>
      <c r="M26" s="71">
        <f>IFERROR(M25/M24,"-")</f>
        <v/>
      </c>
      <c r="N26" s="71">
        <f>IFERROR(N25/N24,"-")</f>
        <v/>
      </c>
      <c r="O26" s="71">
        <f>IFERROR(O25/O24,"-")</f>
        <v/>
      </c>
      <c r="P26" s="71">
        <f>IFERROR(P25/P24,"-")</f>
        <v/>
      </c>
    </row>
    <row r="27" ht="15.75" customHeight="1" s="45">
      <c r="A27" s="61" t="n">
        <v>46024</v>
      </c>
      <c r="B27" s="62" t="inlineStr">
        <is>
          <t>Antes-Projeto</t>
        </is>
      </c>
      <c r="C27" s="72" t="inlineStr">
        <is>
          <t>Tempo Médio — 🟡 Amarelo (hh:mm)</t>
        </is>
      </c>
      <c r="D27" s="121" t="n">
        <v>0.03099537037037037</v>
      </c>
      <c r="E27" s="121" t="n">
        <v>0.05373842592592593</v>
      </c>
      <c r="F27" s="121" t="n">
        <v>0.07890046296296296</v>
      </c>
      <c r="G27" s="121" t="n">
        <v>0.02888888888888889</v>
      </c>
      <c r="H27" s="121" t="n">
        <v>0.08549768518518519</v>
      </c>
      <c r="I27" s="121" t="n">
        <v>0.10375</v>
      </c>
      <c r="J27" s="121" t="n">
        <v>0.1140046296296296</v>
      </c>
      <c r="K27" s="121" t="n">
        <v>0.1924074074074074</v>
      </c>
      <c r="L27" s="121" t="n">
        <v>0.2026273148148148</v>
      </c>
      <c r="M27" s="121" t="n">
        <v>0.06101851851851852</v>
      </c>
      <c r="N27" s="121" t="n">
        <v>0.1060532407407407</v>
      </c>
      <c r="O27" s="121" t="n">
        <v>0.03195601851851852</v>
      </c>
      <c r="P27" s="121" t="n">
        <v>0.05643518518518519</v>
      </c>
    </row>
    <row r="28" ht="15.75" customHeight="1" s="45">
      <c r="A28" s="61" t="n">
        <v>46024</v>
      </c>
      <c r="B28" s="62" t="inlineStr">
        <is>
          <t>Antes-Projeto</t>
        </is>
      </c>
      <c r="C28" s="74" t="inlineStr">
        <is>
          <t>Tempo Médio — 🟠 Laranja (hh:mm)</t>
        </is>
      </c>
      <c r="D28" s="122" t="n">
        <v>0.004340277777777778</v>
      </c>
      <c r="E28" s="122" t="n">
        <v>0.01216435185185185</v>
      </c>
      <c r="F28" s="122" t="n">
        <v>0.01097222222222222</v>
      </c>
      <c r="G28" s="122" t="n">
        <v>0.004560185185185185</v>
      </c>
      <c r="H28" s="122" t="n">
        <v>0.003819444444444444</v>
      </c>
      <c r="I28" s="122" t="n">
        <v>0.006539351851851852</v>
      </c>
      <c r="J28" s="122" t="n">
        <v>0.06788194444444444</v>
      </c>
      <c r="K28" s="122" t="n">
        <v>0.01935185185185185</v>
      </c>
      <c r="L28" s="122" t="n">
        <v>0.03431712962962963</v>
      </c>
      <c r="M28" s="122" t="n">
        <v>0.01278935185185185</v>
      </c>
      <c r="N28" s="122" t="n">
        <v>0.003148148148148148</v>
      </c>
      <c r="O28" s="122" t="n">
        <v>0.009560185185185185</v>
      </c>
      <c r="P28" s="122" t="n">
        <v>0.008645833333333333</v>
      </c>
    </row>
    <row r="29" ht="15.75" customHeight="1" s="45">
      <c r="A29" s="76" t="n">
        <v>46024</v>
      </c>
      <c r="B29" s="77" t="inlineStr">
        <is>
          <t>Antes-Projeto</t>
        </is>
      </c>
      <c r="C29" s="78" t="inlineStr">
        <is>
          <t>Tempo Médio — 🟢 Verde   (hh:mm)</t>
        </is>
      </c>
      <c r="D29" s="123" t="n">
        <v>0.1365046296296296</v>
      </c>
      <c r="E29" s="123" t="n">
        <v>0.08474537037037037</v>
      </c>
      <c r="F29" s="123" t="n">
        <v>0.0875925925925926</v>
      </c>
      <c r="G29" s="123" t="n">
        <v>0.1456134259259259</v>
      </c>
      <c r="H29" s="123" t="n">
        <v>0.1414814814814815</v>
      </c>
      <c r="I29" s="123" t="n">
        <v>0.1482638888888889</v>
      </c>
      <c r="J29" s="123" t="n">
        <v>0.2271412037037037</v>
      </c>
      <c r="K29" s="123" t="n">
        <v>0.1443865740740741</v>
      </c>
      <c r="L29" s="123" t="n">
        <v>0.2279166666666667</v>
      </c>
      <c r="M29" s="123" t="n">
        <v>0.09946759259259259</v>
      </c>
      <c r="N29" s="123" t="n">
        <v>0.1367939814814815</v>
      </c>
      <c r="O29" s="123" t="n">
        <v>0.09606481481481481</v>
      </c>
      <c r="P29" s="123" t="n">
        <v>0.1269212962962963</v>
      </c>
    </row>
    <row r="30" ht="15.75" customHeight="1" s="45">
      <c r="A30" s="57" t="n">
        <v>46025</v>
      </c>
      <c r="B30" s="58" t="inlineStr">
        <is>
          <t>Antes-Projeto</t>
        </is>
      </c>
      <c r="C30" s="59" t="inlineStr">
        <is>
          <t>Acolhim. + Atend. Urgência + Atend. UPA</t>
        </is>
      </c>
      <c r="D30" s="60">
        <f>SUM(D31:D33)</f>
        <v/>
      </c>
      <c r="E30" s="60">
        <f>SUM(E31:E33)</f>
        <v/>
      </c>
      <c r="F30" s="60">
        <f>SUM(F31:F33)</f>
        <v/>
      </c>
      <c r="G30" s="60">
        <f>SUM(G31:G33)</f>
        <v/>
      </c>
      <c r="H30" s="60">
        <f>SUM(H31:H33)</f>
        <v/>
      </c>
      <c r="I30" s="60">
        <f>SUM(I31:I33)</f>
        <v/>
      </c>
      <c r="J30" s="60">
        <f>SUM(J31:J33)</f>
        <v/>
      </c>
      <c r="K30" s="60">
        <f>SUM(K31:K33)</f>
        <v/>
      </c>
      <c r="L30" s="60">
        <f>SUM(L31:L33)</f>
        <v/>
      </c>
      <c r="M30" s="60">
        <f>SUM(M31:M33)</f>
        <v/>
      </c>
      <c r="N30" s="60">
        <f>SUM(N31:N33)</f>
        <v/>
      </c>
      <c r="O30" s="60">
        <f>SUM(O31:O33)</f>
        <v/>
      </c>
      <c r="P30" s="60">
        <f>SUM(P31:P33)</f>
        <v/>
      </c>
    </row>
    <row r="31" ht="15.75" customHeight="1" s="45">
      <c r="A31" s="61" t="n">
        <v>46025</v>
      </c>
      <c r="B31" s="62" t="inlineStr">
        <is>
          <t>Antes-Projeto</t>
        </is>
      </c>
      <c r="C31" s="63" t="inlineStr">
        <is>
          <t>Acolhimento c/ Classif. de Risco</t>
        </is>
      </c>
      <c r="D31" s="64" t="n">
        <v>190</v>
      </c>
      <c r="E31" s="64" t="n">
        <v>179</v>
      </c>
      <c r="F31" s="64" t="n">
        <v>144</v>
      </c>
      <c r="G31" s="64" t="n">
        <v>149</v>
      </c>
      <c r="H31" s="64" t="n">
        <v>123</v>
      </c>
      <c r="I31" s="64" t="n">
        <v>190</v>
      </c>
      <c r="J31" s="64" t="n">
        <v>41</v>
      </c>
      <c r="K31" s="64" t="n">
        <v>265</v>
      </c>
      <c r="L31" s="64" t="n">
        <v>89</v>
      </c>
      <c r="M31" s="64" t="n">
        <v>209</v>
      </c>
      <c r="N31" s="64" t="n">
        <v>199</v>
      </c>
      <c r="O31" s="64" t="n">
        <v>224</v>
      </c>
      <c r="P31" s="64" t="n">
        <v>227</v>
      </c>
    </row>
    <row r="32" ht="15.75" customHeight="1" s="45">
      <c r="A32" s="61" t="n">
        <v>46025</v>
      </c>
      <c r="B32" s="62" t="inlineStr">
        <is>
          <t>Antes-Projeto</t>
        </is>
      </c>
      <c r="C32" s="65" t="inlineStr">
        <is>
          <t>Atend. Urgência Obs. ≤ 24h</t>
        </is>
      </c>
      <c r="D32" s="66" t="n">
        <v>24</v>
      </c>
      <c r="E32" s="66" t="n">
        <v>29</v>
      </c>
      <c r="F32" s="66" t="n">
        <v>19</v>
      </c>
      <c r="G32" s="66" t="n">
        <v>18</v>
      </c>
      <c r="H32" s="66" t="n">
        <v>33</v>
      </c>
      <c r="I32" s="66" t="n">
        <v>18</v>
      </c>
      <c r="J32" s="66" t="n">
        <v>16</v>
      </c>
      <c r="K32" s="66" t="n">
        <v>90</v>
      </c>
      <c r="L32" s="66" t="n">
        <v>39</v>
      </c>
      <c r="M32" s="66" t="n">
        <v>98</v>
      </c>
      <c r="N32" s="66" t="n">
        <v>73</v>
      </c>
      <c r="O32" s="66" t="n">
        <v>5</v>
      </c>
      <c r="P32" s="66" t="n">
        <v>51</v>
      </c>
    </row>
    <row r="33" ht="15.75" customHeight="1" s="45">
      <c r="A33" s="61" t="n">
        <v>46025</v>
      </c>
      <c r="B33" s="62" t="inlineStr">
        <is>
          <t>Antes-Projeto</t>
        </is>
      </c>
      <c r="C33" s="63" t="inlineStr">
        <is>
          <t>Atend. Médico em UPA</t>
        </is>
      </c>
      <c r="D33" s="64" t="n">
        <v>124</v>
      </c>
      <c r="E33" s="64" t="n">
        <v>138</v>
      </c>
      <c r="F33" s="64" t="n">
        <v>95</v>
      </c>
      <c r="G33" s="64" t="n">
        <v>90</v>
      </c>
      <c r="H33" s="64" t="n">
        <v>91</v>
      </c>
      <c r="I33" s="64" t="n">
        <v>168</v>
      </c>
      <c r="J33" s="64" t="n">
        <v>3</v>
      </c>
      <c r="K33" s="64" t="n">
        <v>165</v>
      </c>
      <c r="L33" s="64" t="n">
        <v>72</v>
      </c>
      <c r="M33" s="64" t="n">
        <v>144</v>
      </c>
      <c r="N33" s="64" t="n">
        <v>211</v>
      </c>
      <c r="O33" s="64" t="n">
        <v>154</v>
      </c>
      <c r="P33" s="64" t="n">
        <v>146</v>
      </c>
    </row>
    <row r="34" ht="15.75" customHeight="1" s="45">
      <c r="A34" s="61" t="n">
        <v>46025</v>
      </c>
      <c r="B34" s="62" t="inlineStr">
        <is>
          <t>Antes-Projeto</t>
        </is>
      </c>
      <c r="C34" s="65" t="inlineStr">
        <is>
          <t>Exames Laboratoriais</t>
        </is>
      </c>
      <c r="D34" s="66" t="n">
        <v>411</v>
      </c>
      <c r="E34" s="66" t="n">
        <v>341</v>
      </c>
      <c r="F34" s="66" t="n">
        <v>448</v>
      </c>
      <c r="G34" s="66" t="n">
        <v>277</v>
      </c>
      <c r="H34" s="66" t="n">
        <v>413</v>
      </c>
      <c r="I34" s="66" t="n">
        <v>501</v>
      </c>
      <c r="J34" s="66" t="n">
        <v>95</v>
      </c>
      <c r="K34" s="66" t="n">
        <v>983</v>
      </c>
      <c r="L34" s="66" t="n">
        <v>337</v>
      </c>
      <c r="M34" s="66" t="n">
        <v>603</v>
      </c>
      <c r="N34" s="66" t="n">
        <v>660</v>
      </c>
      <c r="O34" s="66" t="n">
        <v>195</v>
      </c>
      <c r="P34" s="66" t="n">
        <v>418</v>
      </c>
    </row>
    <row r="35" ht="15.75" customHeight="1" s="45">
      <c r="A35" s="61" t="n">
        <v>46025</v>
      </c>
      <c r="B35" s="62" t="inlineStr">
        <is>
          <t>Antes-Projeto</t>
        </is>
      </c>
      <c r="C35" s="63" t="inlineStr">
        <is>
          <t>Radiografias</t>
        </is>
      </c>
      <c r="D35" s="64" t="n">
        <v>24</v>
      </c>
      <c r="E35" s="64" t="n">
        <v>23</v>
      </c>
      <c r="F35" s="64" t="n">
        <v>28</v>
      </c>
      <c r="G35" s="64" t="n">
        <v>13</v>
      </c>
      <c r="H35" s="64" t="n">
        <v>24</v>
      </c>
      <c r="I35" s="64" t="n">
        <v>24</v>
      </c>
      <c r="J35" s="67" t="n">
        <v>0</v>
      </c>
      <c r="K35" s="64" t="n">
        <v>7</v>
      </c>
      <c r="L35" s="64" t="n">
        <v>21</v>
      </c>
      <c r="M35" s="64" t="n">
        <v>54</v>
      </c>
      <c r="N35" s="64" t="n">
        <v>38</v>
      </c>
      <c r="O35" s="64" t="n">
        <v>26</v>
      </c>
      <c r="P35" s="64" t="n">
        <v>33</v>
      </c>
    </row>
    <row r="36" ht="15.75" customHeight="1" s="45">
      <c r="A36" s="61" t="n">
        <v>46025</v>
      </c>
      <c r="B36" s="62" t="inlineStr">
        <is>
          <t>Antes-Projeto</t>
        </is>
      </c>
      <c r="C36" s="65" t="inlineStr">
        <is>
          <t>Eletrocardiogramas</t>
        </is>
      </c>
      <c r="D36" s="66" t="n">
        <v>9</v>
      </c>
      <c r="E36" s="66" t="n">
        <v>13</v>
      </c>
      <c r="F36" s="66" t="n">
        <v>22</v>
      </c>
      <c r="G36" s="66" t="n">
        <v>16</v>
      </c>
      <c r="H36" s="66" t="n">
        <v>8</v>
      </c>
      <c r="I36" s="66" t="n">
        <v>5</v>
      </c>
      <c r="J36" s="67" t="n">
        <v>0</v>
      </c>
      <c r="K36" s="66" t="n">
        <v>20</v>
      </c>
      <c r="L36" s="66" t="n">
        <v>19</v>
      </c>
      <c r="M36" s="66" t="n">
        <v>19</v>
      </c>
      <c r="N36" s="66" t="n">
        <v>23</v>
      </c>
      <c r="O36" s="66" t="n">
        <v>10</v>
      </c>
      <c r="P36" s="66" t="n">
        <v>27</v>
      </c>
    </row>
    <row r="37" ht="15.75" customHeight="1" s="45">
      <c r="A37" s="61" t="n">
        <v>46025</v>
      </c>
      <c r="B37" s="62" t="inlineStr">
        <is>
          <t>Antes-Projeto</t>
        </is>
      </c>
      <c r="C37" s="68" t="inlineStr">
        <is>
          <t>GAEs Abertas</t>
        </is>
      </c>
      <c r="D37" s="69" t="n">
        <v>208</v>
      </c>
      <c r="E37" s="69" t="n">
        <v>192</v>
      </c>
      <c r="F37" s="69" t="n">
        <v>151</v>
      </c>
      <c r="G37" s="69" t="n">
        <v>150</v>
      </c>
      <c r="H37" s="69" t="n">
        <v>127</v>
      </c>
      <c r="I37" s="69" t="n">
        <v>190</v>
      </c>
      <c r="J37" s="69" t="n">
        <v>44</v>
      </c>
      <c r="K37" s="69" t="n">
        <v>279</v>
      </c>
      <c r="L37" s="69" t="n">
        <v>98</v>
      </c>
      <c r="M37" s="69" t="n">
        <v>211</v>
      </c>
      <c r="N37" s="69" t="n">
        <v>199</v>
      </c>
      <c r="O37" s="69" t="n">
        <v>235</v>
      </c>
      <c r="P37" s="69" t="n">
        <v>230</v>
      </c>
    </row>
    <row r="38" ht="15.75" customHeight="1" s="45">
      <c r="A38" s="61" t="n">
        <v>46025</v>
      </c>
      <c r="B38" s="62" t="inlineStr">
        <is>
          <t>Antes-Projeto</t>
        </is>
      </c>
      <c r="C38" s="68" t="inlineStr">
        <is>
          <t>GAEs Classificadas</t>
        </is>
      </c>
      <c r="D38" s="69" t="n">
        <v>190</v>
      </c>
      <c r="E38" s="69" t="n">
        <v>177</v>
      </c>
      <c r="F38" s="69" t="n">
        <v>144</v>
      </c>
      <c r="G38" s="69" t="n">
        <v>149</v>
      </c>
      <c r="H38" s="69" t="n">
        <v>120</v>
      </c>
      <c r="I38" s="69" t="n">
        <v>173</v>
      </c>
      <c r="J38" s="69" t="n">
        <v>41</v>
      </c>
      <c r="K38" s="69" t="n">
        <v>265</v>
      </c>
      <c r="L38" s="69" t="n">
        <v>89</v>
      </c>
      <c r="M38" s="69" t="n">
        <v>210</v>
      </c>
      <c r="N38" s="69" t="n">
        <v>188</v>
      </c>
      <c r="O38" s="69" t="n">
        <v>223</v>
      </c>
      <c r="P38" s="69" t="n">
        <v>225</v>
      </c>
    </row>
    <row r="39" ht="15.75" customHeight="1" s="45">
      <c r="A39" s="61" t="n">
        <v>46025</v>
      </c>
      <c r="B39" s="62" t="inlineStr">
        <is>
          <t>Antes-Projeto</t>
        </is>
      </c>
      <c r="C39" s="70" t="inlineStr">
        <is>
          <t>Percentual de GAEs abertas classificadas</t>
        </is>
      </c>
      <c r="D39" s="71">
        <f>IFERROR(D38/D37,"-")</f>
        <v/>
      </c>
      <c r="E39" s="71">
        <f>IFERROR(E38/E37,"-")</f>
        <v/>
      </c>
      <c r="F39" s="71">
        <f>IFERROR(F38/F37,"-")</f>
        <v/>
      </c>
      <c r="G39" s="71">
        <f>IFERROR(G38/G37,"-")</f>
        <v/>
      </c>
      <c r="H39" s="71">
        <f>IFERROR(H38/H37,"-")</f>
        <v/>
      </c>
      <c r="I39" s="71">
        <f>IFERROR(I38/I37,"-")</f>
        <v/>
      </c>
      <c r="J39" s="71">
        <f>IFERROR(J38/J37,"-")</f>
        <v/>
      </c>
      <c r="K39" s="71">
        <f>IFERROR(K38/K37,"-")</f>
        <v/>
      </c>
      <c r="L39" s="71">
        <f>IFERROR(L38/L37,"-")</f>
        <v/>
      </c>
      <c r="M39" s="71">
        <f>IFERROR(M38/M37,"-")</f>
        <v/>
      </c>
      <c r="N39" s="71">
        <f>IFERROR(N38/N37,"-")</f>
        <v/>
      </c>
      <c r="O39" s="71">
        <f>IFERROR(O38/O37,"-")</f>
        <v/>
      </c>
      <c r="P39" s="71">
        <f>IFERROR(P38/P37,"-")</f>
        <v/>
      </c>
    </row>
    <row r="40" ht="15.75" customHeight="1" s="45">
      <c r="A40" s="61" t="n">
        <v>46025</v>
      </c>
      <c r="B40" s="62" t="inlineStr">
        <is>
          <t>Antes-Projeto</t>
        </is>
      </c>
      <c r="C40" s="72" t="inlineStr">
        <is>
          <t>Tempo Médio — 🟡 Amarelo (hh:mm)</t>
        </is>
      </c>
      <c r="D40" s="121" t="n">
        <v>0.1291203703703704</v>
      </c>
      <c r="E40" s="121" t="n">
        <v>0.03261574074074074</v>
      </c>
      <c r="F40" s="121" t="n">
        <v>0.04255787037037037</v>
      </c>
      <c r="G40" s="121" t="n">
        <v>0.0581712962962963</v>
      </c>
      <c r="H40" s="121" t="n">
        <v>0.03555555555555556</v>
      </c>
      <c r="I40" s="121" t="n">
        <v>0.05489583333333333</v>
      </c>
      <c r="J40" s="121" t="n">
        <v>0.5452662037037037</v>
      </c>
      <c r="K40" s="121" t="n">
        <v>0.08737268518518519</v>
      </c>
      <c r="L40" s="121" t="n">
        <v>0.2950694444444444</v>
      </c>
      <c r="M40" s="121" t="n">
        <v>0.02133101851851852</v>
      </c>
      <c r="N40" s="121" t="n">
        <v>0.07357638888888889</v>
      </c>
      <c r="O40" s="121" t="n">
        <v>0.04521990740740741</v>
      </c>
      <c r="P40" s="121" t="n">
        <v>0.09010416666666667</v>
      </c>
    </row>
    <row r="41" ht="15.75" customHeight="1" s="45">
      <c r="A41" s="61" t="n">
        <v>46025</v>
      </c>
      <c r="B41" s="62" t="inlineStr">
        <is>
          <t>Antes-Projeto</t>
        </is>
      </c>
      <c r="C41" s="74" t="inlineStr">
        <is>
          <t>Tempo Médio — 🟠 Laranja (hh:mm)</t>
        </is>
      </c>
      <c r="D41" s="122" t="n">
        <v>0.01104166666666667</v>
      </c>
      <c r="E41" s="122" t="n">
        <v>0.008796296296296297</v>
      </c>
      <c r="F41" s="122" t="n">
        <v>0.008645833333333333</v>
      </c>
      <c r="G41" s="122" t="n">
        <v>0.004733796296296297</v>
      </c>
      <c r="H41" s="122" t="n">
        <v>0.004733796296296297</v>
      </c>
      <c r="I41" s="122" t="n">
        <v>0.006168981481481482</v>
      </c>
      <c r="J41" s="122" t="n">
        <v>0.7093634259259259</v>
      </c>
      <c r="K41" s="122" t="n">
        <v>0.02923611111111111</v>
      </c>
      <c r="L41" s="122" t="n">
        <v>0.02166666666666667</v>
      </c>
      <c r="M41" s="122" t="n">
        <v>0.005763888888888889</v>
      </c>
      <c r="N41" s="122" t="n">
        <v>0.01221064814814815</v>
      </c>
      <c r="O41" s="122" t="n">
        <v>0.009398148148148149</v>
      </c>
      <c r="P41" s="122" t="n">
        <v>0.006597222222222222</v>
      </c>
    </row>
    <row r="42" ht="15.75" customHeight="1" s="45">
      <c r="A42" s="76" t="n">
        <v>46025</v>
      </c>
      <c r="B42" s="77" t="inlineStr">
        <is>
          <t>Antes-Projeto</t>
        </is>
      </c>
      <c r="C42" s="78" t="inlineStr">
        <is>
          <t>Tempo Médio — 🟢 Verde   (hh:mm)</t>
        </is>
      </c>
      <c r="D42" s="123" t="n">
        <v>0.2217013888888889</v>
      </c>
      <c r="E42" s="123" t="n">
        <v>0.1284143518518518</v>
      </c>
      <c r="F42" s="123" t="n">
        <v>0.1515972222222222</v>
      </c>
      <c r="G42" s="123" t="n">
        <v>0.1042592592592593</v>
      </c>
      <c r="H42" s="123" t="n">
        <v>0.09854166666666667</v>
      </c>
      <c r="I42" s="123" t="n">
        <v>0.2491203703703704</v>
      </c>
      <c r="J42" s="123" t="n">
        <v>0.8117361111111111</v>
      </c>
      <c r="K42" s="123" t="n">
        <v>0.09</v>
      </c>
      <c r="L42" s="123" t="n">
        <v>0.2109722222222222</v>
      </c>
      <c r="M42" s="123" t="n">
        <v>0.05662037037037037</v>
      </c>
      <c r="N42" s="123" t="n">
        <v>0.1573032407407407</v>
      </c>
      <c r="O42" s="123" t="n">
        <v>0.1547222222222222</v>
      </c>
      <c r="P42" s="123" t="n">
        <v>0.0365162037037037</v>
      </c>
    </row>
    <row r="43" ht="15.75" customHeight="1" s="45">
      <c r="A43" s="57" t="n">
        <v>46026</v>
      </c>
      <c r="B43" s="58" t="inlineStr">
        <is>
          <t>Antes-Projeto</t>
        </is>
      </c>
      <c r="C43" s="59" t="inlineStr">
        <is>
          <t>Acolhim. + Atend. Urgência + Atend. UPA</t>
        </is>
      </c>
      <c r="D43" s="60">
        <f>SUM(D44:D46)</f>
        <v/>
      </c>
      <c r="E43" s="60">
        <f>SUM(E44:E46)</f>
        <v/>
      </c>
      <c r="F43" s="60">
        <f>SUM(F44:F46)</f>
        <v/>
      </c>
      <c r="G43" s="60">
        <f>SUM(G44:G46)</f>
        <v/>
      </c>
      <c r="H43" s="60">
        <f>SUM(H44:H46)</f>
        <v/>
      </c>
      <c r="I43" s="60">
        <f>SUM(I44:I46)</f>
        <v/>
      </c>
      <c r="J43" s="60">
        <f>SUM(J44:J46)</f>
        <v/>
      </c>
      <c r="K43" s="60">
        <f>SUM(K44:K46)</f>
        <v/>
      </c>
      <c r="L43" s="60">
        <f>SUM(L44:L46)</f>
        <v/>
      </c>
      <c r="M43" s="60">
        <f>SUM(M44:M46)</f>
        <v/>
      </c>
      <c r="N43" s="60">
        <f>SUM(N44:N46)</f>
        <v/>
      </c>
      <c r="O43" s="60">
        <f>SUM(O44:O46)</f>
        <v/>
      </c>
      <c r="P43" s="60">
        <f>SUM(P44:P46)</f>
        <v/>
      </c>
    </row>
    <row r="44" ht="15.75" customHeight="1" s="45">
      <c r="A44" s="61" t="n">
        <v>46026</v>
      </c>
      <c r="B44" s="62" t="inlineStr">
        <is>
          <t>Antes-Projeto</t>
        </is>
      </c>
      <c r="C44" s="65" t="inlineStr">
        <is>
          <t>Acolhimento c/ Classif. de Risco</t>
        </is>
      </c>
      <c r="D44" s="66" t="n">
        <v>185</v>
      </c>
      <c r="E44" s="66" t="n">
        <v>149</v>
      </c>
      <c r="F44" s="66" t="n">
        <v>119</v>
      </c>
      <c r="G44" s="66" t="n">
        <v>103</v>
      </c>
      <c r="H44" s="66" t="n">
        <v>127</v>
      </c>
      <c r="I44" s="66" t="n">
        <v>161</v>
      </c>
      <c r="J44" s="66" t="n">
        <v>40</v>
      </c>
      <c r="K44" s="66" t="n">
        <v>219</v>
      </c>
      <c r="L44" s="66" t="n">
        <v>56</v>
      </c>
      <c r="M44" s="66" t="n">
        <v>184</v>
      </c>
      <c r="N44" s="66" t="n">
        <v>157</v>
      </c>
      <c r="O44" s="66" t="n">
        <v>205</v>
      </c>
      <c r="P44" s="66" t="n">
        <v>191</v>
      </c>
    </row>
    <row r="45" ht="15.75" customHeight="1" s="45">
      <c r="A45" s="61" t="n">
        <v>46026</v>
      </c>
      <c r="B45" s="62" t="inlineStr">
        <is>
          <t>Antes-Projeto</t>
        </is>
      </c>
      <c r="C45" s="63" t="inlineStr">
        <is>
          <t>Atend. Urgência Obs. ≤ 24h</t>
        </is>
      </c>
      <c r="D45" s="64" t="n">
        <v>11</v>
      </c>
      <c r="E45" s="64" t="n">
        <v>23</v>
      </c>
      <c r="F45" s="64" t="n">
        <v>22</v>
      </c>
      <c r="G45" s="64" t="n">
        <v>21</v>
      </c>
      <c r="H45" s="64" t="n">
        <v>16</v>
      </c>
      <c r="I45" s="64" t="n">
        <v>25</v>
      </c>
      <c r="J45" s="64" t="n">
        <v>20</v>
      </c>
      <c r="K45" s="64" t="n">
        <v>59</v>
      </c>
      <c r="L45" s="64" t="n">
        <v>40</v>
      </c>
      <c r="M45" s="64" t="n">
        <v>33</v>
      </c>
      <c r="N45" s="64" t="n">
        <v>178</v>
      </c>
      <c r="O45" s="64" t="n">
        <v>8</v>
      </c>
      <c r="P45" s="64" t="n">
        <v>28</v>
      </c>
    </row>
    <row r="46" ht="15.75" customHeight="1" s="45">
      <c r="A46" s="61" t="n">
        <v>46026</v>
      </c>
      <c r="B46" s="62" t="inlineStr">
        <is>
          <t>Antes-Projeto</t>
        </is>
      </c>
      <c r="C46" s="65" t="inlineStr">
        <is>
          <t>Atend. Médico em UPA</t>
        </is>
      </c>
      <c r="D46" s="66" t="n">
        <v>102</v>
      </c>
      <c r="E46" s="66" t="n">
        <v>102</v>
      </c>
      <c r="F46" s="66" t="n">
        <v>98</v>
      </c>
      <c r="G46" s="66" t="n">
        <v>91</v>
      </c>
      <c r="H46" s="66" t="n">
        <v>98</v>
      </c>
      <c r="I46" s="66" t="n">
        <v>118</v>
      </c>
      <c r="J46" s="66" t="n">
        <v>43</v>
      </c>
      <c r="K46" s="66" t="n">
        <v>97</v>
      </c>
      <c r="L46" s="66" t="n">
        <v>48</v>
      </c>
      <c r="M46" s="66" t="n">
        <v>125</v>
      </c>
      <c r="N46" s="66" t="n">
        <v>166</v>
      </c>
      <c r="O46" s="66" t="n">
        <v>150</v>
      </c>
      <c r="P46" s="66" t="n">
        <v>105</v>
      </c>
    </row>
    <row r="47" ht="15.75" customHeight="1" s="45">
      <c r="A47" s="61" t="n">
        <v>46026</v>
      </c>
      <c r="B47" s="62" t="inlineStr">
        <is>
          <t>Antes-Projeto</t>
        </is>
      </c>
      <c r="C47" s="63" t="inlineStr">
        <is>
          <t>Exames Laboratoriais</t>
        </is>
      </c>
      <c r="D47" s="64" t="n">
        <v>917</v>
      </c>
      <c r="E47" s="64" t="n">
        <v>376</v>
      </c>
      <c r="F47" s="64" t="n">
        <v>340</v>
      </c>
      <c r="G47" s="64" t="n">
        <v>203</v>
      </c>
      <c r="H47" s="64" t="n">
        <v>417</v>
      </c>
      <c r="I47" s="64" t="n">
        <v>230</v>
      </c>
      <c r="J47" s="64" t="n">
        <v>52</v>
      </c>
      <c r="K47" s="64" t="n">
        <v>860</v>
      </c>
      <c r="L47" s="64" t="n">
        <v>299</v>
      </c>
      <c r="M47" s="64" t="n">
        <v>506</v>
      </c>
      <c r="N47" s="64" t="n">
        <v>761</v>
      </c>
      <c r="O47" s="64" t="n">
        <v>335</v>
      </c>
      <c r="P47" s="64" t="n">
        <v>579</v>
      </c>
    </row>
    <row r="48" ht="15.75" customHeight="1" s="45">
      <c r="A48" s="61" t="n">
        <v>46026</v>
      </c>
      <c r="B48" s="62" t="inlineStr">
        <is>
          <t>Antes-Projeto</t>
        </is>
      </c>
      <c r="C48" s="65" t="inlineStr">
        <is>
          <t>Radiografias</t>
        </is>
      </c>
      <c r="D48" s="66" t="n">
        <v>36</v>
      </c>
      <c r="E48" s="66" t="n">
        <v>21</v>
      </c>
      <c r="F48" s="66" t="n">
        <v>22</v>
      </c>
      <c r="G48" s="66" t="n">
        <v>11</v>
      </c>
      <c r="H48" s="66" t="n">
        <v>7</v>
      </c>
      <c r="I48" s="66" t="n">
        <v>17</v>
      </c>
      <c r="J48" s="66" t="n">
        <v>2</v>
      </c>
      <c r="K48" s="66" t="n">
        <v>5</v>
      </c>
      <c r="L48" s="66" t="n">
        <v>3</v>
      </c>
      <c r="M48" s="66" t="n">
        <v>42</v>
      </c>
      <c r="N48" s="66" t="n">
        <v>35</v>
      </c>
      <c r="O48" s="66" t="n">
        <v>32</v>
      </c>
      <c r="P48" s="66" t="n">
        <v>46</v>
      </c>
    </row>
    <row r="49" ht="15.75" customHeight="1" s="45">
      <c r="A49" s="61" t="n">
        <v>46026</v>
      </c>
      <c r="B49" s="62" t="inlineStr">
        <is>
          <t>Antes-Projeto</t>
        </is>
      </c>
      <c r="C49" s="63" t="inlineStr">
        <is>
          <t>Eletrocardiogramas</t>
        </is>
      </c>
      <c r="D49" s="64" t="n">
        <v>14</v>
      </c>
      <c r="E49" s="64" t="n">
        <v>19</v>
      </c>
      <c r="F49" s="64" t="n">
        <v>15</v>
      </c>
      <c r="G49" s="64" t="n">
        <v>6</v>
      </c>
      <c r="H49" s="64" t="n">
        <v>14</v>
      </c>
      <c r="I49" s="64" t="n">
        <v>10</v>
      </c>
      <c r="J49" s="64" t="n">
        <v>2</v>
      </c>
      <c r="K49" s="64" t="n">
        <v>13</v>
      </c>
      <c r="L49" s="64" t="n">
        <v>12</v>
      </c>
      <c r="M49" s="64" t="n">
        <v>19</v>
      </c>
      <c r="N49" s="64" t="n">
        <v>15</v>
      </c>
      <c r="O49" s="64" t="n">
        <v>9</v>
      </c>
      <c r="P49" s="64" t="n">
        <v>37</v>
      </c>
    </row>
    <row r="50" ht="15.75" customHeight="1" s="45">
      <c r="A50" s="61" t="n">
        <v>46026</v>
      </c>
      <c r="B50" s="62" t="inlineStr">
        <is>
          <t>Antes-Projeto</t>
        </is>
      </c>
      <c r="C50" s="68" t="inlineStr">
        <is>
          <t>GAEs Abertas</t>
        </is>
      </c>
      <c r="D50" s="69" t="n">
        <v>206</v>
      </c>
      <c r="E50" s="69" t="n">
        <v>149</v>
      </c>
      <c r="F50" s="69" t="n">
        <v>119</v>
      </c>
      <c r="G50" s="69" t="n">
        <v>109</v>
      </c>
      <c r="H50" s="69" t="n">
        <v>127</v>
      </c>
      <c r="I50" s="69" t="n">
        <v>169</v>
      </c>
      <c r="J50" s="69" t="n">
        <v>46</v>
      </c>
      <c r="K50" s="69" t="n">
        <v>244</v>
      </c>
      <c r="L50" s="69" t="n">
        <v>63</v>
      </c>
      <c r="M50" s="69" t="n">
        <v>198</v>
      </c>
      <c r="N50" s="69" t="n">
        <v>157</v>
      </c>
      <c r="O50" s="69" t="n">
        <v>213</v>
      </c>
      <c r="P50" s="69" t="n">
        <v>195</v>
      </c>
    </row>
    <row r="51" ht="15.75" customHeight="1" s="45">
      <c r="A51" s="61" t="n">
        <v>46026</v>
      </c>
      <c r="B51" s="62" t="inlineStr">
        <is>
          <t>Antes-Projeto</t>
        </is>
      </c>
      <c r="C51" s="68" t="inlineStr">
        <is>
          <t>GAEs Classificadas</t>
        </is>
      </c>
      <c r="D51" s="69" t="n">
        <v>185</v>
      </c>
      <c r="E51" s="69" t="n">
        <v>147</v>
      </c>
      <c r="F51" s="69" t="n">
        <v>119</v>
      </c>
      <c r="G51" s="69" t="n">
        <v>103</v>
      </c>
      <c r="H51" s="69" t="n">
        <v>127</v>
      </c>
      <c r="I51" s="69" t="n">
        <v>159</v>
      </c>
      <c r="J51" s="69" t="n">
        <v>40</v>
      </c>
      <c r="K51" s="69" t="n">
        <v>219</v>
      </c>
      <c r="L51" s="69" t="n">
        <v>55</v>
      </c>
      <c r="M51" s="69" t="n">
        <v>180</v>
      </c>
      <c r="N51" s="69" t="n">
        <v>143</v>
      </c>
      <c r="O51" s="69" t="n">
        <v>205</v>
      </c>
      <c r="P51" s="69" t="n">
        <v>191</v>
      </c>
    </row>
    <row r="52" ht="15.75" customHeight="1" s="45">
      <c r="A52" s="61" t="n">
        <v>46026</v>
      </c>
      <c r="B52" s="62" t="inlineStr">
        <is>
          <t>Antes-Projeto</t>
        </is>
      </c>
      <c r="C52" s="70" t="inlineStr">
        <is>
          <t>Percentual de GAEs abertas classificadas</t>
        </is>
      </c>
      <c r="D52" s="71">
        <f>IFERROR(D51/D50,"-")</f>
        <v/>
      </c>
      <c r="E52" s="71">
        <f>IFERROR(E51/E50,"-")</f>
        <v/>
      </c>
      <c r="F52" s="71">
        <f>IFERROR(F51/F50,"-")</f>
        <v/>
      </c>
      <c r="G52" s="71">
        <f>IFERROR(G51/G50,"-")</f>
        <v/>
      </c>
      <c r="H52" s="71">
        <f>IFERROR(H51/H50,"-")</f>
        <v/>
      </c>
      <c r="I52" s="71">
        <f>IFERROR(I51/I50,"-")</f>
        <v/>
      </c>
      <c r="J52" s="71">
        <f>IFERROR(J51/J50,"-")</f>
        <v/>
      </c>
      <c r="K52" s="71">
        <f>IFERROR(K51/K50,"-")</f>
        <v/>
      </c>
      <c r="L52" s="71">
        <f>IFERROR(L51/L50,"-")</f>
        <v/>
      </c>
      <c r="M52" s="71">
        <f>IFERROR(M51/M50,"-")</f>
        <v/>
      </c>
      <c r="N52" s="71">
        <f>IFERROR(N51/N50,"-")</f>
        <v/>
      </c>
      <c r="O52" s="71">
        <f>IFERROR(O51/O50,"-")</f>
        <v/>
      </c>
      <c r="P52" s="71">
        <f>IFERROR(P51/P50,"-")</f>
        <v/>
      </c>
    </row>
    <row r="53" ht="15.75" customHeight="1" s="45">
      <c r="A53" s="61" t="n">
        <v>46026</v>
      </c>
      <c r="B53" s="62" t="inlineStr">
        <is>
          <t>Antes-Projeto</t>
        </is>
      </c>
      <c r="C53" s="72" t="inlineStr">
        <is>
          <t>Tempo Médio — 🟡 Amarelo (hh:mm)</t>
        </is>
      </c>
      <c r="D53" s="121" t="n">
        <v>0.08043981481481481</v>
      </c>
      <c r="E53" s="121" t="n">
        <v>0.02385416666666667</v>
      </c>
      <c r="F53" s="121" t="n">
        <v>0.02204861111111111</v>
      </c>
      <c r="G53" s="121" t="n">
        <v>0.05623842592592593</v>
      </c>
      <c r="H53" s="121" t="n">
        <v>0.05853009259259259</v>
      </c>
      <c r="I53" s="121" t="n">
        <v>0.1165740740740741</v>
      </c>
      <c r="J53" s="121" t="n">
        <v>0.06299768518518518</v>
      </c>
      <c r="K53" s="121" t="n">
        <v>0.09585648148148149</v>
      </c>
      <c r="L53" s="121" t="n">
        <v>0.1427777777777778</v>
      </c>
      <c r="M53" s="121" t="n">
        <v>0.02435185185185185</v>
      </c>
      <c r="N53" s="121" t="n">
        <v>0.0778587962962963</v>
      </c>
      <c r="O53" s="121" t="n">
        <v>0.06679398148148148</v>
      </c>
      <c r="P53" s="121" t="n">
        <v>0.09186342592592593</v>
      </c>
    </row>
    <row r="54" ht="15.75" customHeight="1" s="45">
      <c r="A54" s="61" t="n">
        <v>46026</v>
      </c>
      <c r="B54" s="62" t="inlineStr">
        <is>
          <t>Antes-Projeto</t>
        </is>
      </c>
      <c r="C54" s="74" t="inlineStr">
        <is>
          <t>Tempo Médio — 🟠 Laranja (hh:mm)</t>
        </is>
      </c>
      <c r="D54" s="122" t="n">
        <v>0.007858796296296296</v>
      </c>
      <c r="E54" s="122" t="n">
        <v>0.006122685185185185</v>
      </c>
      <c r="F54" s="122" t="n">
        <v>0.007731481481481482</v>
      </c>
      <c r="G54" s="122" t="n">
        <v>0.008784722222222222</v>
      </c>
      <c r="H54" s="122" t="n">
        <v>0.008379629629629629</v>
      </c>
      <c r="I54" s="122" t="n">
        <v>0.008622685185185185</v>
      </c>
      <c r="J54" s="122" t="n">
        <v>0.0686574074074074</v>
      </c>
      <c r="K54" s="122" t="n">
        <v>0.0128587962962963</v>
      </c>
      <c r="L54" s="122" t="n">
        <v>0.04966435185185185</v>
      </c>
      <c r="M54" s="122" t="n">
        <v>0.007858796296296296</v>
      </c>
      <c r="N54" s="122" t="n">
        <v>0.009560185185185185</v>
      </c>
      <c r="O54" s="122" t="n">
        <v>0.0112962962962963</v>
      </c>
      <c r="P54" s="122" t="n">
        <v>0.01554398148148148</v>
      </c>
    </row>
    <row r="55" ht="15.75" customHeight="1" s="45">
      <c r="A55" s="76" t="n">
        <v>46026</v>
      </c>
      <c r="B55" s="77" t="inlineStr">
        <is>
          <t>Antes-Projeto</t>
        </is>
      </c>
      <c r="C55" s="78" t="inlineStr">
        <is>
          <t>Tempo Médio — 🟢 Verde   (hh:mm)</t>
        </is>
      </c>
      <c r="D55" s="123" t="n">
        <v>0.1735416666666667</v>
      </c>
      <c r="E55" s="123" t="n">
        <v>0.07980324074074074</v>
      </c>
      <c r="F55" s="123" t="n">
        <v>0.06229166666666667</v>
      </c>
      <c r="G55" s="123" t="n">
        <v>0.0965625</v>
      </c>
      <c r="H55" s="123" t="n">
        <v>0.1517361111111111</v>
      </c>
      <c r="I55" s="123" t="n">
        <v>0.2459953703703704</v>
      </c>
      <c r="J55" s="123" t="n">
        <v>0.1386574074074074</v>
      </c>
      <c r="K55" s="123" t="n">
        <v>0.1594560185185185</v>
      </c>
      <c r="L55" s="123" t="n">
        <v>0.101875</v>
      </c>
      <c r="M55" s="123" t="n">
        <v>0.04695601851851852</v>
      </c>
      <c r="N55" s="123" t="n">
        <v>0.2834722222222222</v>
      </c>
      <c r="O55" s="123" t="n">
        <v>0.1382986111111111</v>
      </c>
      <c r="P55" s="123" t="n">
        <v>0.07039351851851852</v>
      </c>
    </row>
    <row r="56" ht="15.75" customHeight="1" s="45">
      <c r="A56" s="57" t="n">
        <v>46027</v>
      </c>
      <c r="B56" s="58" t="inlineStr">
        <is>
          <t>Antes-Projeto</t>
        </is>
      </c>
      <c r="C56" s="59" t="inlineStr">
        <is>
          <t>Acolhim. + Atend. Urgência + Atend. UPA</t>
        </is>
      </c>
      <c r="D56" s="60">
        <f>SUM(D57:D59)</f>
        <v/>
      </c>
      <c r="E56" s="60">
        <f>SUM(E57:E59)</f>
        <v/>
      </c>
      <c r="F56" s="60">
        <f>SUM(F57:F59)</f>
        <v/>
      </c>
      <c r="G56" s="60">
        <f>SUM(G57:G59)</f>
        <v/>
      </c>
      <c r="H56" s="60">
        <f>SUM(H57:H59)</f>
        <v/>
      </c>
      <c r="I56" s="60">
        <f>SUM(I57:I59)</f>
        <v/>
      </c>
      <c r="J56" s="60">
        <f>SUM(J57:J59)</f>
        <v/>
      </c>
      <c r="K56" s="60">
        <f>SUM(K57:K59)</f>
        <v/>
      </c>
      <c r="L56" s="60">
        <f>SUM(L57:L59)</f>
        <v/>
      </c>
      <c r="M56" s="60">
        <f>SUM(M57:M59)</f>
        <v/>
      </c>
      <c r="N56" s="60">
        <f>SUM(N57:N59)</f>
        <v/>
      </c>
      <c r="O56" s="60">
        <f>SUM(O57:O59)</f>
        <v/>
      </c>
      <c r="P56" s="60">
        <f>SUM(P57:P59)</f>
        <v/>
      </c>
    </row>
    <row r="57" ht="15.75" customHeight="1" s="45">
      <c r="A57" s="61" t="n">
        <v>46027</v>
      </c>
      <c r="B57" s="62" t="inlineStr">
        <is>
          <t>Antes-Projeto</t>
        </is>
      </c>
      <c r="C57" s="63" t="inlineStr">
        <is>
          <t>Acolhimento c/ Classif. de Risco</t>
        </is>
      </c>
      <c r="D57" s="64" t="n">
        <v>261</v>
      </c>
      <c r="E57" s="64" t="n">
        <v>162</v>
      </c>
      <c r="F57" s="64" t="n">
        <v>207</v>
      </c>
      <c r="G57" s="64" t="n">
        <v>100</v>
      </c>
      <c r="H57" s="64" t="n">
        <v>136</v>
      </c>
      <c r="I57" s="64" t="n">
        <v>192</v>
      </c>
      <c r="J57" s="64" t="n">
        <v>90</v>
      </c>
      <c r="K57" s="64" t="n">
        <v>264</v>
      </c>
      <c r="L57" s="64" t="n">
        <v>120</v>
      </c>
      <c r="M57" s="64" t="n">
        <v>200</v>
      </c>
      <c r="N57" s="64" t="n">
        <v>217</v>
      </c>
      <c r="O57" s="64" t="n">
        <v>254</v>
      </c>
      <c r="P57" s="64" t="n">
        <v>210</v>
      </c>
    </row>
    <row r="58" ht="15.75" customHeight="1" s="45">
      <c r="A58" s="61" t="n">
        <v>46027</v>
      </c>
      <c r="B58" s="62" t="inlineStr">
        <is>
          <t>Antes-Projeto</t>
        </is>
      </c>
      <c r="C58" s="65" t="inlineStr">
        <is>
          <t>Atend. Urgência Obs. ≤ 24h</t>
        </is>
      </c>
      <c r="D58" s="66" t="n">
        <v>44</v>
      </c>
      <c r="E58" s="66" t="n">
        <v>20</v>
      </c>
      <c r="F58" s="66" t="n">
        <v>24</v>
      </c>
      <c r="G58" s="66" t="n">
        <v>7</v>
      </c>
      <c r="H58" s="66" t="n">
        <v>14</v>
      </c>
      <c r="I58" s="66" t="n">
        <v>31</v>
      </c>
      <c r="J58" s="66" t="n">
        <v>36</v>
      </c>
      <c r="K58" s="66" t="n">
        <v>242</v>
      </c>
      <c r="L58" s="66" t="n">
        <v>34</v>
      </c>
      <c r="M58" s="66" t="n">
        <v>30</v>
      </c>
      <c r="N58" s="66" t="n">
        <v>127</v>
      </c>
      <c r="O58" s="66" t="n">
        <v>22</v>
      </c>
      <c r="P58" s="66" t="n">
        <v>28</v>
      </c>
    </row>
    <row r="59" ht="15.75" customHeight="1" s="45">
      <c r="A59" s="61" t="n">
        <v>46027</v>
      </c>
      <c r="B59" s="62" t="inlineStr">
        <is>
          <t>Antes-Projeto</t>
        </is>
      </c>
      <c r="C59" s="63" t="inlineStr">
        <is>
          <t>Atend. Médico em UPA</t>
        </is>
      </c>
      <c r="D59" s="64" t="n">
        <v>192</v>
      </c>
      <c r="E59" s="64" t="n">
        <v>89</v>
      </c>
      <c r="F59" s="64" t="n">
        <v>159</v>
      </c>
      <c r="G59" s="64" t="n">
        <v>64</v>
      </c>
      <c r="H59" s="64" t="n">
        <v>99</v>
      </c>
      <c r="I59" s="64" t="n">
        <v>123</v>
      </c>
      <c r="J59" s="64" t="n">
        <v>46</v>
      </c>
      <c r="K59" s="64" t="n">
        <v>223</v>
      </c>
      <c r="L59" s="64" t="n">
        <v>55</v>
      </c>
      <c r="M59" s="64" t="n">
        <v>167</v>
      </c>
      <c r="N59" s="64" t="n">
        <v>219</v>
      </c>
      <c r="O59" s="64" t="n">
        <v>224</v>
      </c>
      <c r="P59" s="64" t="n">
        <v>114</v>
      </c>
    </row>
    <row r="60" ht="15.75" customHeight="1" s="45">
      <c r="A60" s="61" t="n">
        <v>46027</v>
      </c>
      <c r="B60" s="62" t="inlineStr">
        <is>
          <t>Antes-Projeto</t>
        </is>
      </c>
      <c r="C60" s="65" t="inlineStr">
        <is>
          <t>Exames Laboratoriais</t>
        </is>
      </c>
      <c r="D60" s="66" t="n">
        <v>764</v>
      </c>
      <c r="E60" s="66" t="n">
        <v>324</v>
      </c>
      <c r="F60" s="66" t="n">
        <v>629</v>
      </c>
      <c r="G60" s="66" t="n">
        <v>181</v>
      </c>
      <c r="H60" s="66" t="n">
        <v>312</v>
      </c>
      <c r="I60" s="66" t="n">
        <v>580</v>
      </c>
      <c r="J60" s="66" t="n">
        <v>238</v>
      </c>
      <c r="K60" s="66" t="n">
        <v>1038</v>
      </c>
      <c r="L60" s="66" t="n">
        <v>443</v>
      </c>
      <c r="M60" s="66" t="n">
        <v>811</v>
      </c>
      <c r="N60" s="66" t="n">
        <v>966</v>
      </c>
      <c r="O60" s="66" t="n">
        <v>452</v>
      </c>
      <c r="P60" s="66" t="n">
        <v>515</v>
      </c>
    </row>
    <row r="61" ht="15.75" customHeight="1" s="45">
      <c r="A61" s="61" t="n">
        <v>46027</v>
      </c>
      <c r="B61" s="62" t="inlineStr">
        <is>
          <t>Antes-Projeto</t>
        </is>
      </c>
      <c r="C61" s="63" t="inlineStr">
        <is>
          <t>Radiografias</t>
        </is>
      </c>
      <c r="D61" s="64" t="n">
        <v>39</v>
      </c>
      <c r="E61" s="64" t="n">
        <v>20</v>
      </c>
      <c r="F61" s="64" t="n">
        <v>37</v>
      </c>
      <c r="G61" s="64" t="n">
        <v>12</v>
      </c>
      <c r="H61" s="64" t="n">
        <v>19</v>
      </c>
      <c r="I61" s="64" t="n">
        <v>25</v>
      </c>
      <c r="J61" s="64" t="n">
        <v>14</v>
      </c>
      <c r="K61" s="64" t="n">
        <v>17</v>
      </c>
      <c r="L61" s="64" t="n">
        <v>20</v>
      </c>
      <c r="M61" s="64" t="n">
        <v>45</v>
      </c>
      <c r="N61" s="64" t="n">
        <v>44</v>
      </c>
      <c r="O61" s="64" t="n">
        <v>15</v>
      </c>
      <c r="P61" s="64" t="n">
        <v>54</v>
      </c>
    </row>
    <row r="62" ht="15.75" customHeight="1" s="45">
      <c r="A62" s="61" t="n">
        <v>46027</v>
      </c>
      <c r="B62" s="62" t="inlineStr">
        <is>
          <t>Antes-Projeto</t>
        </is>
      </c>
      <c r="C62" s="65" t="inlineStr">
        <is>
          <t>Eletrocardiogramas</t>
        </is>
      </c>
      <c r="D62" s="66" t="n">
        <v>18</v>
      </c>
      <c r="E62" s="66" t="n">
        <v>6</v>
      </c>
      <c r="F62" s="66" t="n">
        <v>23</v>
      </c>
      <c r="G62" s="66" t="n">
        <v>9</v>
      </c>
      <c r="H62" s="66" t="n">
        <v>11</v>
      </c>
      <c r="I62" s="66" t="n">
        <v>31</v>
      </c>
      <c r="J62" s="66" t="n">
        <v>5</v>
      </c>
      <c r="K62" s="66" t="n">
        <v>31</v>
      </c>
      <c r="L62" s="66" t="n">
        <v>14</v>
      </c>
      <c r="M62" s="66" t="n">
        <v>21</v>
      </c>
      <c r="N62" s="66" t="n">
        <v>19</v>
      </c>
      <c r="O62" s="66" t="n">
        <v>23</v>
      </c>
      <c r="P62" s="66" t="n">
        <v>23</v>
      </c>
    </row>
    <row r="63" ht="15.75" customHeight="1" s="45">
      <c r="A63" s="61" t="n">
        <v>46027</v>
      </c>
      <c r="B63" s="62" t="inlineStr">
        <is>
          <t>Antes-Projeto</t>
        </is>
      </c>
      <c r="C63" s="68" t="inlineStr">
        <is>
          <t>GAEs Abertas</t>
        </is>
      </c>
      <c r="D63" s="69" t="n">
        <v>276</v>
      </c>
      <c r="E63" s="69" t="n">
        <v>165</v>
      </c>
      <c r="F63" s="69" t="n">
        <v>217</v>
      </c>
      <c r="G63" s="69" t="n">
        <v>105</v>
      </c>
      <c r="H63" s="69" t="n">
        <v>144</v>
      </c>
      <c r="I63" s="69" t="n">
        <v>203</v>
      </c>
      <c r="J63" s="69" t="n">
        <v>97</v>
      </c>
      <c r="K63" s="69" t="n">
        <v>307</v>
      </c>
      <c r="L63" s="69" t="n">
        <v>131</v>
      </c>
      <c r="M63" s="69" t="n">
        <v>214</v>
      </c>
      <c r="N63" s="69" t="n">
        <v>217</v>
      </c>
      <c r="O63" s="69" t="n">
        <v>280</v>
      </c>
      <c r="P63" s="69" t="n">
        <v>221</v>
      </c>
    </row>
    <row r="64" ht="15.75" customHeight="1" s="45">
      <c r="A64" s="61" t="n">
        <v>46027</v>
      </c>
      <c r="B64" s="62" t="inlineStr">
        <is>
          <t>Antes-Projeto</t>
        </is>
      </c>
      <c r="C64" s="68" t="inlineStr">
        <is>
          <t>GAEs Classificadas</t>
        </is>
      </c>
      <c r="D64" s="69" t="n">
        <v>259</v>
      </c>
      <c r="E64" s="69" t="n">
        <v>163</v>
      </c>
      <c r="F64" s="69" t="n">
        <v>206</v>
      </c>
      <c r="G64" s="69" t="n">
        <v>99</v>
      </c>
      <c r="H64" s="69" t="n">
        <v>131</v>
      </c>
      <c r="I64" s="69" t="n">
        <v>191</v>
      </c>
      <c r="J64" s="69" t="n">
        <v>91</v>
      </c>
      <c r="K64" s="69" t="n">
        <v>261</v>
      </c>
      <c r="L64" s="69" t="n">
        <v>117</v>
      </c>
      <c r="M64" s="69" t="n">
        <v>200</v>
      </c>
      <c r="N64" s="69" t="n">
        <v>210</v>
      </c>
      <c r="O64" s="69" t="n">
        <v>254</v>
      </c>
      <c r="P64" s="69" t="n">
        <v>209</v>
      </c>
    </row>
    <row r="65" ht="15.75" customHeight="1" s="45">
      <c r="A65" s="61" t="n">
        <v>46027</v>
      </c>
      <c r="B65" s="62" t="inlineStr">
        <is>
          <t>Antes-Projeto</t>
        </is>
      </c>
      <c r="C65" s="70" t="inlineStr">
        <is>
          <t>Percentual de GAEs abertas classificadas</t>
        </is>
      </c>
      <c r="D65" s="71">
        <f>IFERROR(D64/D63,"-")</f>
        <v/>
      </c>
      <c r="E65" s="71">
        <f>IFERROR(E64/E63,"-")</f>
        <v/>
      </c>
      <c r="F65" s="71">
        <f>IFERROR(F64/F63,"-")</f>
        <v/>
      </c>
      <c r="G65" s="71">
        <f>IFERROR(G64/G63,"-")</f>
        <v/>
      </c>
      <c r="H65" s="71">
        <f>IFERROR(H64/H63,"-")</f>
        <v/>
      </c>
      <c r="I65" s="71">
        <f>IFERROR(I64/I63,"-")</f>
        <v/>
      </c>
      <c r="J65" s="71">
        <f>IFERROR(J64/J63,"-")</f>
        <v/>
      </c>
      <c r="K65" s="71">
        <f>IFERROR(K64/K63,"-")</f>
        <v/>
      </c>
      <c r="L65" s="71">
        <f>IFERROR(L64/L63,"-")</f>
        <v/>
      </c>
      <c r="M65" s="71">
        <f>IFERROR(M64/M63,"-")</f>
        <v/>
      </c>
      <c r="N65" s="71">
        <f>IFERROR(N64/N63,"-")</f>
        <v/>
      </c>
      <c r="O65" s="71">
        <f>IFERROR(O64/O63,"-")</f>
        <v/>
      </c>
      <c r="P65" s="71">
        <f>IFERROR(P64/P63,"-")</f>
        <v/>
      </c>
    </row>
    <row r="66" ht="15.75" customHeight="1" s="45">
      <c r="A66" s="61" t="n">
        <v>46027</v>
      </c>
      <c r="B66" s="62" t="inlineStr">
        <is>
          <t>Antes-Projeto</t>
        </is>
      </c>
      <c r="C66" s="72" t="inlineStr">
        <is>
          <t>Tempo Médio — 🟡 Amarelo (hh:mm)</t>
        </is>
      </c>
      <c r="D66" s="121" t="n">
        <v>0.0458912037037037</v>
      </c>
      <c r="E66" s="121" t="n">
        <v>0.04487268518518518</v>
      </c>
      <c r="F66" s="121" t="n">
        <v>0.06049768518518518</v>
      </c>
      <c r="G66" s="121" t="n">
        <v>0.08605324074074074</v>
      </c>
      <c r="H66" s="121" t="n">
        <v>0.03296296296296296</v>
      </c>
      <c r="I66" s="121" t="n">
        <v>0.1723842592592593</v>
      </c>
      <c r="J66" s="121" t="n">
        <v>0.2339930555555556</v>
      </c>
      <c r="K66" s="121" t="n">
        <v>0.04440972222222223</v>
      </c>
      <c r="L66" s="121" t="n">
        <v>0.1330439814814815</v>
      </c>
      <c r="M66" s="121" t="n">
        <v>0.02755787037037037</v>
      </c>
      <c r="N66" s="121" t="n">
        <v>0.05175925925925926</v>
      </c>
      <c r="O66" s="121" t="n">
        <v>0.03953703703703704</v>
      </c>
      <c r="P66" s="121" t="n">
        <v>0.1319097222222222</v>
      </c>
    </row>
    <row r="67" ht="15.75" customHeight="1" s="45">
      <c r="A67" s="61" t="n">
        <v>46027</v>
      </c>
      <c r="B67" s="62" t="inlineStr">
        <is>
          <t>Antes-Projeto</t>
        </is>
      </c>
      <c r="C67" s="74" t="inlineStr">
        <is>
          <t>Tempo Médio — 🟠 Laranja (hh:mm)</t>
        </is>
      </c>
      <c r="D67" s="122" t="n">
        <v>0.00931712962962963</v>
      </c>
      <c r="E67" s="122" t="n">
        <v>0.005798611111111111</v>
      </c>
      <c r="F67" s="122" t="n">
        <v>0.005983796296296296</v>
      </c>
      <c r="G67" s="122" t="n">
        <v>0.008703703703703703</v>
      </c>
      <c r="H67" s="122" t="n">
        <v>0.00525462962962963</v>
      </c>
      <c r="I67" s="122" t="n">
        <v>0.006157407407407407</v>
      </c>
      <c r="J67" s="122" t="n">
        <v>0.01828703703703704</v>
      </c>
      <c r="K67" s="122" t="n">
        <v>0.007685185185185186</v>
      </c>
      <c r="L67" s="122" t="n">
        <v>0.02200231481481481</v>
      </c>
      <c r="M67" s="122" t="n">
        <v>0.006898148148148148</v>
      </c>
      <c r="N67" s="122" t="n">
        <v>0.009224537037037036</v>
      </c>
      <c r="O67" s="122" t="n">
        <v>0.008796296296296297</v>
      </c>
      <c r="P67" s="122" t="n">
        <v>0.01096064814814815</v>
      </c>
    </row>
    <row r="68" ht="15.75" customHeight="1" s="45">
      <c r="A68" s="76" t="n">
        <v>46027</v>
      </c>
      <c r="B68" s="77" t="inlineStr">
        <is>
          <t>Antes-Projeto</t>
        </is>
      </c>
      <c r="C68" s="78" t="inlineStr">
        <is>
          <t>Tempo Médio — 🟢 Verde   (hh:mm)</t>
        </is>
      </c>
      <c r="D68" s="123" t="n">
        <v>0.09018518518518519</v>
      </c>
      <c r="E68" s="123" t="n">
        <v>0.1733680555555556</v>
      </c>
      <c r="F68" s="123" t="n">
        <v>0.1386921296296296</v>
      </c>
      <c r="G68" s="123" t="n">
        <v>0.09115740740740741</v>
      </c>
      <c r="H68" s="123" t="n">
        <v>0.1501157407407407</v>
      </c>
      <c r="I68" s="123" t="n">
        <v>0.1958912037037037</v>
      </c>
      <c r="J68" s="123" t="n">
        <v>0.4969907407407407</v>
      </c>
      <c r="K68" s="123" t="n">
        <v>0.1069791666666667</v>
      </c>
      <c r="L68" s="123" t="n">
        <v>0.1038310185185185</v>
      </c>
      <c r="M68" s="123" t="n">
        <v>0.06328703703703703</v>
      </c>
      <c r="N68" s="123" t="n">
        <v>0.07949074074074074</v>
      </c>
      <c r="O68" s="123" t="n">
        <v>0.08377314814814815</v>
      </c>
      <c r="P68" s="123" t="n">
        <v>0.1617013888888889</v>
      </c>
    </row>
    <row r="69" ht="15.75" customHeight="1" s="45">
      <c r="A69" s="57" t="n">
        <v>46028</v>
      </c>
      <c r="B69" s="58" t="inlineStr">
        <is>
          <t>Antes-Projeto</t>
        </is>
      </c>
      <c r="C69" s="59" t="inlineStr">
        <is>
          <t>Acolhim. + Atend. Urgência + Atend. UPA</t>
        </is>
      </c>
      <c r="D69" s="60">
        <f>SUM(D70:D72)</f>
        <v/>
      </c>
      <c r="E69" s="60">
        <f>SUM(E70:E72)</f>
        <v/>
      </c>
      <c r="F69" s="60">
        <f>SUM(F70:F72)</f>
        <v/>
      </c>
      <c r="G69" s="60">
        <f>SUM(G70:G72)</f>
        <v/>
      </c>
      <c r="H69" s="60">
        <f>SUM(H70:H72)</f>
        <v/>
      </c>
      <c r="I69" s="60">
        <f>SUM(I70:I72)</f>
        <v/>
      </c>
      <c r="J69" s="60">
        <f>SUM(J70:J72)</f>
        <v/>
      </c>
      <c r="K69" s="60">
        <f>SUM(K70:K72)</f>
        <v/>
      </c>
      <c r="L69" s="60">
        <f>SUM(L70:L72)</f>
        <v/>
      </c>
      <c r="M69" s="60">
        <f>SUM(M70:M72)</f>
        <v/>
      </c>
      <c r="N69" s="60">
        <f>SUM(N70:N72)</f>
        <v/>
      </c>
      <c r="O69" s="60">
        <f>SUM(O70:O72)</f>
        <v/>
      </c>
      <c r="P69" s="60">
        <f>SUM(P70:P72)</f>
        <v/>
      </c>
    </row>
    <row r="70" ht="15.75" customHeight="1" s="45">
      <c r="A70" s="61" t="n">
        <v>46028</v>
      </c>
      <c r="B70" s="62" t="inlineStr">
        <is>
          <t>Antes-Projeto</t>
        </is>
      </c>
      <c r="C70" s="65" t="inlineStr">
        <is>
          <t>Acolhimento c/ Classif. de Risco</t>
        </is>
      </c>
      <c r="D70" s="66" t="n">
        <v>187</v>
      </c>
      <c r="E70" s="66" t="n">
        <v>146</v>
      </c>
      <c r="F70" s="66" t="n">
        <v>133</v>
      </c>
      <c r="G70" s="66" t="n">
        <v>127</v>
      </c>
      <c r="H70" s="66" t="n">
        <v>122</v>
      </c>
      <c r="I70" s="66" t="n">
        <v>163</v>
      </c>
      <c r="J70" s="66" t="n">
        <v>89</v>
      </c>
      <c r="K70" s="66" t="n">
        <v>165</v>
      </c>
      <c r="L70" s="66" t="n">
        <v>117</v>
      </c>
      <c r="M70" s="66" t="n">
        <v>202</v>
      </c>
      <c r="N70" s="66" t="n">
        <v>180</v>
      </c>
      <c r="O70" s="66" t="n">
        <v>210</v>
      </c>
      <c r="P70" s="66" t="n">
        <v>185</v>
      </c>
    </row>
    <row r="71" ht="15.75" customHeight="1" s="45">
      <c r="A71" s="61" t="n">
        <v>46028</v>
      </c>
      <c r="B71" s="62" t="inlineStr">
        <is>
          <t>Antes-Projeto</t>
        </is>
      </c>
      <c r="C71" s="63" t="inlineStr">
        <is>
          <t>Atend. Urgência Obs. ≤ 24h</t>
        </is>
      </c>
      <c r="D71" s="64" t="n">
        <v>23</v>
      </c>
      <c r="E71" s="64" t="n">
        <v>17</v>
      </c>
      <c r="F71" s="64" t="n">
        <v>33</v>
      </c>
      <c r="G71" s="64" t="n">
        <v>9</v>
      </c>
      <c r="H71" s="64" t="n">
        <v>21</v>
      </c>
      <c r="I71" s="64" t="n">
        <v>15</v>
      </c>
      <c r="J71" s="64" t="n">
        <v>51</v>
      </c>
      <c r="K71" s="64" t="n">
        <v>83</v>
      </c>
      <c r="L71" s="64" t="n">
        <v>29</v>
      </c>
      <c r="M71" s="64" t="n">
        <v>43</v>
      </c>
      <c r="N71" s="64" t="n">
        <v>118</v>
      </c>
      <c r="O71" s="64" t="n">
        <v>18</v>
      </c>
      <c r="P71" s="64" t="n">
        <v>36</v>
      </c>
    </row>
    <row r="72" ht="15.75" customHeight="1" s="45">
      <c r="A72" s="61" t="n">
        <v>46028</v>
      </c>
      <c r="B72" s="62" t="inlineStr">
        <is>
          <t>Antes-Projeto</t>
        </is>
      </c>
      <c r="C72" s="65" t="inlineStr">
        <is>
          <t>Atend. Médico em UPA</t>
        </is>
      </c>
      <c r="D72" s="66" t="n">
        <v>111</v>
      </c>
      <c r="E72" s="66" t="n">
        <v>124</v>
      </c>
      <c r="F72" s="66" t="n">
        <v>59</v>
      </c>
      <c r="G72" s="66" t="n">
        <v>95</v>
      </c>
      <c r="H72" s="66" t="n">
        <v>116</v>
      </c>
      <c r="I72" s="66" t="n">
        <v>124</v>
      </c>
      <c r="J72" s="66" t="n">
        <v>71</v>
      </c>
      <c r="K72" s="66" t="n">
        <v>129</v>
      </c>
      <c r="L72" s="66" t="n">
        <v>68</v>
      </c>
      <c r="M72" s="66" t="n">
        <v>175</v>
      </c>
      <c r="N72" s="66" t="n">
        <v>173</v>
      </c>
      <c r="O72" s="66" t="n">
        <v>167</v>
      </c>
      <c r="P72" s="66" t="n">
        <v>123</v>
      </c>
    </row>
    <row r="73" ht="15.75" customHeight="1" s="45">
      <c r="A73" s="61" t="n">
        <v>46028</v>
      </c>
      <c r="B73" s="62" t="inlineStr">
        <is>
          <t>Antes-Projeto</t>
        </is>
      </c>
      <c r="C73" s="63" t="inlineStr">
        <is>
          <t>Exames Laboratoriais</t>
        </is>
      </c>
      <c r="D73" s="64" t="n">
        <v>635</v>
      </c>
      <c r="E73" s="64" t="n">
        <v>472</v>
      </c>
      <c r="F73" s="64" t="n">
        <v>616</v>
      </c>
      <c r="G73" s="64" t="n">
        <v>229</v>
      </c>
      <c r="H73" s="64" t="n">
        <v>441</v>
      </c>
      <c r="I73" s="64" t="n">
        <v>686</v>
      </c>
      <c r="J73" s="64" t="n">
        <v>230</v>
      </c>
      <c r="K73" s="64" t="n">
        <v>762</v>
      </c>
      <c r="L73" s="64" t="n">
        <v>420</v>
      </c>
      <c r="M73" s="64" t="n">
        <v>702</v>
      </c>
      <c r="N73" s="64" t="n">
        <v>752</v>
      </c>
      <c r="O73" s="64" t="n">
        <v>440</v>
      </c>
      <c r="P73" s="64" t="n">
        <v>682</v>
      </c>
    </row>
    <row r="74" ht="15.75" customHeight="1" s="45">
      <c r="A74" s="61" t="n">
        <v>46028</v>
      </c>
      <c r="B74" s="62" t="inlineStr">
        <is>
          <t>Antes-Projeto</t>
        </is>
      </c>
      <c r="C74" s="65" t="inlineStr">
        <is>
          <t>Radiografias</t>
        </is>
      </c>
      <c r="D74" s="66" t="n">
        <v>16</v>
      </c>
      <c r="E74" s="66" t="n">
        <v>28</v>
      </c>
      <c r="F74" s="66" t="n">
        <v>19</v>
      </c>
      <c r="G74" s="66" t="n">
        <v>15</v>
      </c>
      <c r="H74" s="66" t="n">
        <v>12</v>
      </c>
      <c r="I74" s="66" t="n">
        <v>39</v>
      </c>
      <c r="J74" s="66" t="n">
        <v>9</v>
      </c>
      <c r="K74" s="66" t="n">
        <v>11</v>
      </c>
      <c r="L74" s="66" t="n">
        <v>30</v>
      </c>
      <c r="M74" s="66" t="n">
        <v>54</v>
      </c>
      <c r="N74" s="66" t="n">
        <v>48</v>
      </c>
      <c r="O74" s="66" t="n">
        <v>18</v>
      </c>
      <c r="P74" s="66" t="n">
        <v>35</v>
      </c>
    </row>
    <row r="75" ht="15.75" customHeight="1" s="45">
      <c r="A75" s="61" t="n">
        <v>46028</v>
      </c>
      <c r="B75" s="62" t="inlineStr">
        <is>
          <t>Antes-Projeto</t>
        </is>
      </c>
      <c r="C75" s="63" t="inlineStr">
        <is>
          <t>Eletrocardiogramas</t>
        </is>
      </c>
      <c r="D75" s="64" t="n">
        <v>12</v>
      </c>
      <c r="E75" s="64" t="n">
        <v>13</v>
      </c>
      <c r="F75" s="64" t="n">
        <v>16</v>
      </c>
      <c r="G75" s="64" t="n">
        <v>6</v>
      </c>
      <c r="H75" s="64" t="n">
        <v>7</v>
      </c>
      <c r="I75" s="64" t="n">
        <v>13</v>
      </c>
      <c r="J75" s="64" t="n">
        <v>14</v>
      </c>
      <c r="K75" s="64" t="n">
        <v>20</v>
      </c>
      <c r="L75" s="64" t="n">
        <v>21</v>
      </c>
      <c r="M75" s="64" t="n">
        <v>27</v>
      </c>
      <c r="N75" s="64" t="n">
        <v>32</v>
      </c>
      <c r="O75" s="64" t="n">
        <v>17</v>
      </c>
      <c r="P75" s="64" t="n">
        <v>20</v>
      </c>
    </row>
    <row r="76" ht="15.75" customHeight="1" s="45">
      <c r="A76" s="61" t="n">
        <v>46028</v>
      </c>
      <c r="B76" s="62" t="inlineStr">
        <is>
          <t>Antes-Projeto</t>
        </is>
      </c>
      <c r="C76" s="68" t="inlineStr">
        <is>
          <t>GAEs Abertas</t>
        </is>
      </c>
      <c r="D76" s="69" t="n">
        <v>220</v>
      </c>
      <c r="E76" s="69" t="n">
        <v>149</v>
      </c>
      <c r="F76" s="69" t="n">
        <v>144</v>
      </c>
      <c r="G76" s="69" t="n">
        <v>127</v>
      </c>
      <c r="H76" s="69" t="n">
        <v>124</v>
      </c>
      <c r="I76" s="69" t="n">
        <v>173</v>
      </c>
      <c r="J76" s="69" t="n">
        <v>92</v>
      </c>
      <c r="K76" s="69" t="n">
        <v>184</v>
      </c>
      <c r="L76" s="69" t="n">
        <v>125</v>
      </c>
      <c r="M76" s="69" t="n">
        <v>215</v>
      </c>
      <c r="N76" s="69" t="n">
        <v>180</v>
      </c>
      <c r="O76" s="69" t="n">
        <v>223</v>
      </c>
      <c r="P76" s="69" t="n">
        <v>192</v>
      </c>
    </row>
    <row r="77" ht="15.75" customHeight="1" s="45">
      <c r="A77" s="61" t="n">
        <v>46028</v>
      </c>
      <c r="B77" s="62" t="inlineStr">
        <is>
          <t>Antes-Projeto</t>
        </is>
      </c>
      <c r="C77" s="68" t="inlineStr">
        <is>
          <t>GAEs Classificadas</t>
        </is>
      </c>
      <c r="D77" s="69" t="n">
        <v>187</v>
      </c>
      <c r="E77" s="69" t="n">
        <v>146</v>
      </c>
      <c r="F77" s="69" t="n">
        <v>133</v>
      </c>
      <c r="G77" s="69" t="n">
        <v>122</v>
      </c>
      <c r="H77" s="69" t="n">
        <v>121</v>
      </c>
      <c r="I77" s="69" t="n">
        <v>150</v>
      </c>
      <c r="J77" s="69" t="n">
        <v>89</v>
      </c>
      <c r="K77" s="69" t="n">
        <v>164</v>
      </c>
      <c r="L77" s="69" t="n">
        <v>115</v>
      </c>
      <c r="M77" s="69" t="n">
        <v>202</v>
      </c>
      <c r="N77" s="69" t="n">
        <v>174</v>
      </c>
      <c r="O77" s="69" t="n">
        <v>209</v>
      </c>
      <c r="P77" s="69" t="n">
        <v>184</v>
      </c>
    </row>
    <row r="78" ht="15.75" customHeight="1" s="45">
      <c r="A78" s="61" t="n">
        <v>46028</v>
      </c>
      <c r="B78" s="62" t="inlineStr">
        <is>
          <t>Antes-Projeto</t>
        </is>
      </c>
      <c r="C78" s="70" t="inlineStr">
        <is>
          <t>Percentual de GAEs abertas classificadas</t>
        </is>
      </c>
      <c r="D78" s="71">
        <f>IFERROR(D77/D76,"-")</f>
        <v/>
      </c>
      <c r="E78" s="71">
        <f>IFERROR(E77/E76,"-")</f>
        <v/>
      </c>
      <c r="F78" s="71">
        <f>IFERROR(F77/F76,"-")</f>
        <v/>
      </c>
      <c r="G78" s="71">
        <f>IFERROR(G77/G76,"-")</f>
        <v/>
      </c>
      <c r="H78" s="71">
        <f>IFERROR(H77/H76,"-")</f>
        <v/>
      </c>
      <c r="I78" s="71">
        <f>IFERROR(I77/I76,"-")</f>
        <v/>
      </c>
      <c r="J78" s="71">
        <f>IFERROR(J77/J76,"-")</f>
        <v/>
      </c>
      <c r="K78" s="71">
        <f>IFERROR(K77/K76,"-")</f>
        <v/>
      </c>
      <c r="L78" s="71">
        <f>IFERROR(L77/L76,"-")</f>
        <v/>
      </c>
      <c r="M78" s="71">
        <f>IFERROR(M77/M76,"-")</f>
        <v/>
      </c>
      <c r="N78" s="71">
        <f>IFERROR(N77/N76,"-")</f>
        <v/>
      </c>
      <c r="O78" s="71">
        <f>IFERROR(O77/O76,"-")</f>
        <v/>
      </c>
      <c r="P78" s="71">
        <f>IFERROR(P77/P76,"-")</f>
        <v/>
      </c>
    </row>
    <row r="79" ht="15.75" customHeight="1" s="45">
      <c r="A79" s="61" t="n">
        <v>46028</v>
      </c>
      <c r="B79" s="62" t="inlineStr">
        <is>
          <t>Antes-Projeto</t>
        </is>
      </c>
      <c r="C79" s="72" t="inlineStr">
        <is>
          <t>Tempo Médio — 🟡 Amarelo (hh:mm)</t>
        </is>
      </c>
      <c r="D79" s="121" t="n">
        <v>0.08195601851851853</v>
      </c>
      <c r="E79" s="121" t="n">
        <v>0.01731481481481481</v>
      </c>
      <c r="F79" s="121" t="n">
        <v>0.110625</v>
      </c>
      <c r="G79" s="121" t="n">
        <v>0.05945601851851852</v>
      </c>
      <c r="H79" s="121" t="n">
        <v>0.03478009259259259</v>
      </c>
      <c r="I79" s="121" t="n">
        <v>0.1708333333333333</v>
      </c>
      <c r="J79" s="121" t="n">
        <v>0.05476851851851852</v>
      </c>
      <c r="K79" s="121" t="n">
        <v>0.02640046296296296</v>
      </c>
      <c r="L79" s="121" t="n">
        <v>0.1184259259259259</v>
      </c>
      <c r="M79" s="121" t="n">
        <v>0.0193287037037037</v>
      </c>
      <c r="N79" s="121" t="n">
        <v>0.02885416666666667</v>
      </c>
      <c r="O79" s="121" t="n">
        <v>0.04532407407407407</v>
      </c>
      <c r="P79" s="121" t="n">
        <v>0.07228009259259259</v>
      </c>
    </row>
    <row r="80" ht="15.75" customHeight="1" s="45">
      <c r="A80" s="61" t="n">
        <v>46028</v>
      </c>
      <c r="B80" s="62" t="inlineStr">
        <is>
          <t>Antes-Projeto</t>
        </is>
      </c>
      <c r="C80" s="74" t="inlineStr">
        <is>
          <t>Tempo Médio — 🟠 Laranja (hh:mm)</t>
        </is>
      </c>
      <c r="D80" s="122" t="n">
        <v>0.01118055555555555</v>
      </c>
      <c r="E80" s="122" t="n">
        <v>0.006597222222222222</v>
      </c>
      <c r="F80" s="122" t="n">
        <v>0.004571759259259259</v>
      </c>
      <c r="G80" s="122" t="n">
        <v>0.007824074074074074</v>
      </c>
      <c r="H80" s="122" t="n">
        <v>0.006689814814814815</v>
      </c>
      <c r="I80" s="122" t="n">
        <v>0.01099537037037037</v>
      </c>
      <c r="J80" s="122" t="n">
        <v>0.01818287037037037</v>
      </c>
      <c r="K80" s="122" t="n">
        <v>0.007048611111111111</v>
      </c>
      <c r="L80" s="122" t="n">
        <v>0.01988425925925926</v>
      </c>
      <c r="M80" s="122" t="n">
        <v>0.00662037037037037</v>
      </c>
      <c r="N80" s="122" t="n">
        <v>0.009675925925925926</v>
      </c>
      <c r="O80" s="122" t="n">
        <v>0.01195601851851852</v>
      </c>
      <c r="P80" s="122" t="n">
        <v>0.009143518518518518</v>
      </c>
    </row>
    <row r="81" ht="15.75" customHeight="1" s="45">
      <c r="A81" s="76" t="n">
        <v>46028</v>
      </c>
      <c r="B81" s="77" t="inlineStr">
        <is>
          <t>Antes-Projeto</t>
        </is>
      </c>
      <c r="C81" s="78" t="inlineStr">
        <is>
          <t>Tempo Médio — 🟢 Verde   (hh:mm)</t>
        </is>
      </c>
      <c r="D81" s="123" t="n">
        <v>0.08076388888888889</v>
      </c>
      <c r="E81" s="123" t="n">
        <v>0.05690972222222222</v>
      </c>
      <c r="F81" s="123" t="n">
        <v>0.1112615740740741</v>
      </c>
      <c r="G81" s="123" t="n">
        <v>0.09224537037037037</v>
      </c>
      <c r="H81" s="123" t="n">
        <v>0.1313773148148148</v>
      </c>
      <c r="I81" s="123" t="n">
        <v>0.1649305555555556</v>
      </c>
      <c r="J81" s="123" t="n">
        <v>0.08581018518518518</v>
      </c>
      <c r="K81" s="123" t="n">
        <v>0.0490162037037037</v>
      </c>
      <c r="L81" s="123" t="n">
        <v>0.1481018518518518</v>
      </c>
      <c r="M81" s="123" t="n">
        <v>0.05049768518518519</v>
      </c>
      <c r="N81" s="123" t="n">
        <v>0.2034953703703704</v>
      </c>
      <c r="O81" s="123" t="n">
        <v>0.1071990740740741</v>
      </c>
      <c r="P81" s="123" t="n">
        <v>0.1089351851851852</v>
      </c>
    </row>
    <row r="82" ht="15.75" customHeight="1" s="45">
      <c r="A82" s="57" t="n">
        <v>46029</v>
      </c>
      <c r="B82" s="58" t="inlineStr">
        <is>
          <t>Antes-Projeto</t>
        </is>
      </c>
      <c r="C82" s="59" t="inlineStr">
        <is>
          <t>Acolhim. + Atend. Urgência + Atend. UPA</t>
        </is>
      </c>
      <c r="D82" s="60">
        <f>SUM(D83:D85)</f>
        <v/>
      </c>
      <c r="E82" s="60">
        <f>SUM(E83:E85)</f>
        <v/>
      </c>
      <c r="F82" s="60">
        <f>SUM(F83:F85)</f>
        <v/>
      </c>
      <c r="G82" s="60">
        <f>SUM(G83:G85)</f>
        <v/>
      </c>
      <c r="H82" s="60">
        <f>SUM(H83:H85)</f>
        <v/>
      </c>
      <c r="I82" s="60">
        <f>SUM(I83:I85)</f>
        <v/>
      </c>
      <c r="J82" s="60">
        <f>SUM(J83:J85)</f>
        <v/>
      </c>
      <c r="K82" s="60">
        <f>SUM(K83:K85)</f>
        <v/>
      </c>
      <c r="L82" s="60">
        <f>SUM(L83:L85)</f>
        <v/>
      </c>
      <c r="M82" s="60">
        <f>SUM(M83:M85)</f>
        <v/>
      </c>
      <c r="N82" s="60">
        <f>SUM(N83:N85)</f>
        <v/>
      </c>
      <c r="O82" s="60">
        <f>SUM(O83:O85)</f>
        <v/>
      </c>
      <c r="P82" s="60">
        <f>SUM(P83:P85)</f>
        <v/>
      </c>
    </row>
    <row r="83" ht="15.75" customHeight="1" s="45">
      <c r="A83" s="61" t="n">
        <v>46029</v>
      </c>
      <c r="B83" s="62" t="inlineStr">
        <is>
          <t>Antes-Projeto</t>
        </is>
      </c>
      <c r="C83" s="63" t="inlineStr">
        <is>
          <t>Acolhimento c/ Classif. de Risco</t>
        </is>
      </c>
      <c r="D83" s="64" t="n">
        <v>271</v>
      </c>
      <c r="E83" s="64" t="n">
        <v>137</v>
      </c>
      <c r="F83" s="64" t="n">
        <v>142</v>
      </c>
      <c r="G83" s="64" t="n">
        <v>124</v>
      </c>
      <c r="H83" s="64" t="n">
        <v>114</v>
      </c>
      <c r="I83" s="64" t="n">
        <v>183</v>
      </c>
      <c r="J83" s="64" t="n">
        <v>97</v>
      </c>
      <c r="K83" s="64" t="n">
        <v>228</v>
      </c>
      <c r="L83" s="64" t="n">
        <v>120</v>
      </c>
      <c r="M83" s="64" t="n">
        <v>177</v>
      </c>
      <c r="N83" s="64" t="n">
        <v>186</v>
      </c>
      <c r="O83" s="64" t="n">
        <v>218</v>
      </c>
      <c r="P83" s="64" t="n">
        <v>189</v>
      </c>
    </row>
    <row r="84" ht="15.75" customHeight="1" s="45">
      <c r="A84" s="61" t="n">
        <v>46029</v>
      </c>
      <c r="B84" s="62" t="inlineStr">
        <is>
          <t>Antes-Projeto</t>
        </is>
      </c>
      <c r="C84" s="65" t="inlineStr">
        <is>
          <t>Atend. Urgência Obs. ≤ 24h</t>
        </is>
      </c>
      <c r="D84" s="66" t="n">
        <v>35</v>
      </c>
      <c r="E84" s="66" t="n">
        <v>20</v>
      </c>
      <c r="F84" s="66" t="n">
        <v>32</v>
      </c>
      <c r="G84" s="66" t="n">
        <v>9</v>
      </c>
      <c r="H84" s="66" t="n">
        <v>6</v>
      </c>
      <c r="I84" s="66" t="n">
        <v>18</v>
      </c>
      <c r="J84" s="66" t="n">
        <v>52</v>
      </c>
      <c r="K84" s="66" t="n">
        <v>93</v>
      </c>
      <c r="L84" s="66" t="n">
        <v>33</v>
      </c>
      <c r="M84" s="66" t="n">
        <v>35</v>
      </c>
      <c r="N84" s="66" t="n">
        <v>91</v>
      </c>
      <c r="O84" s="66" t="n">
        <v>14</v>
      </c>
      <c r="P84" s="66" t="n">
        <v>36</v>
      </c>
    </row>
    <row r="85" ht="15.75" customHeight="1" s="45">
      <c r="A85" s="61" t="n">
        <v>46029</v>
      </c>
      <c r="B85" s="62" t="inlineStr">
        <is>
          <t>Antes-Projeto</t>
        </is>
      </c>
      <c r="C85" s="63" t="inlineStr">
        <is>
          <t>Atend. Médico em UPA</t>
        </is>
      </c>
      <c r="D85" s="64" t="n">
        <v>224</v>
      </c>
      <c r="E85" s="64" t="n">
        <v>87</v>
      </c>
      <c r="F85" s="64" t="n">
        <v>67</v>
      </c>
      <c r="G85" s="64" t="n">
        <v>113</v>
      </c>
      <c r="H85" s="64" t="n">
        <v>101</v>
      </c>
      <c r="I85" s="64" t="n">
        <v>163</v>
      </c>
      <c r="J85" s="64" t="n">
        <v>87</v>
      </c>
      <c r="K85" s="64" t="n">
        <v>144</v>
      </c>
      <c r="L85" s="64" t="n">
        <v>70</v>
      </c>
      <c r="M85" s="64" t="n">
        <v>102</v>
      </c>
      <c r="N85" s="64" t="n">
        <v>180</v>
      </c>
      <c r="O85" s="64" t="n">
        <v>152</v>
      </c>
      <c r="P85" s="64" t="n">
        <v>138</v>
      </c>
    </row>
    <row r="86" ht="15.75" customHeight="1" s="45">
      <c r="A86" s="61" t="n">
        <v>46029</v>
      </c>
      <c r="B86" s="62" t="inlineStr">
        <is>
          <t>Antes-Projeto</t>
        </is>
      </c>
      <c r="C86" s="65" t="inlineStr">
        <is>
          <t>Exames Laboratoriais</t>
        </is>
      </c>
      <c r="D86" s="66" t="n">
        <v>663</v>
      </c>
      <c r="E86" s="66" t="n">
        <v>395</v>
      </c>
      <c r="F86" s="66" t="n">
        <v>286</v>
      </c>
      <c r="G86" s="66" t="n">
        <v>279</v>
      </c>
      <c r="H86" s="66" t="n">
        <v>469</v>
      </c>
      <c r="I86" s="66" t="n">
        <v>451</v>
      </c>
      <c r="J86" s="66" t="n">
        <v>197</v>
      </c>
      <c r="K86" s="66" t="n">
        <v>748</v>
      </c>
      <c r="L86" s="66" t="n">
        <v>406</v>
      </c>
      <c r="M86" s="66" t="n">
        <v>616</v>
      </c>
      <c r="N86" s="66" t="n">
        <v>726</v>
      </c>
      <c r="O86" s="66" t="n">
        <v>301</v>
      </c>
      <c r="P86" s="66" t="n">
        <v>338</v>
      </c>
    </row>
    <row r="87" ht="15.75" customHeight="1" s="45">
      <c r="A87" s="61" t="n">
        <v>46029</v>
      </c>
      <c r="B87" s="62" t="inlineStr">
        <is>
          <t>Antes-Projeto</t>
        </is>
      </c>
      <c r="C87" s="63" t="inlineStr">
        <is>
          <t>Radiografias</t>
        </is>
      </c>
      <c r="D87" s="64" t="n">
        <v>22</v>
      </c>
      <c r="E87" s="64" t="n">
        <v>25</v>
      </c>
      <c r="F87" s="64" t="n">
        <v>13</v>
      </c>
      <c r="G87" s="64" t="n">
        <v>29</v>
      </c>
      <c r="H87" s="64" t="n">
        <v>26</v>
      </c>
      <c r="I87" s="64" t="n">
        <v>33</v>
      </c>
      <c r="J87" s="64" t="n">
        <v>9</v>
      </c>
      <c r="K87" s="64" t="n">
        <v>8</v>
      </c>
      <c r="L87" s="64" t="n">
        <v>20</v>
      </c>
      <c r="M87" s="64" t="n">
        <v>36</v>
      </c>
      <c r="N87" s="64" t="n">
        <v>44</v>
      </c>
      <c r="O87" s="64" t="n">
        <v>8</v>
      </c>
      <c r="P87" s="64" t="n">
        <v>49</v>
      </c>
    </row>
    <row r="88" ht="15.75" customHeight="1" s="45">
      <c r="A88" s="61" t="n">
        <v>46029</v>
      </c>
      <c r="B88" s="62" t="inlineStr">
        <is>
          <t>Antes-Projeto</t>
        </is>
      </c>
      <c r="C88" s="65" t="inlineStr">
        <is>
          <t>Eletrocardiogramas</t>
        </is>
      </c>
      <c r="D88" s="66" t="n">
        <v>8</v>
      </c>
      <c r="E88" s="66" t="n">
        <v>10</v>
      </c>
      <c r="F88" s="66" t="n">
        <v>8</v>
      </c>
      <c r="G88" s="66" t="n">
        <v>13</v>
      </c>
      <c r="H88" s="66" t="n">
        <v>8</v>
      </c>
      <c r="I88" s="66" t="n">
        <v>12</v>
      </c>
      <c r="J88" s="66" t="n">
        <v>6</v>
      </c>
      <c r="K88" s="66" t="n">
        <v>24</v>
      </c>
      <c r="L88" s="66" t="n">
        <v>13</v>
      </c>
      <c r="M88" s="66" t="n">
        <v>21</v>
      </c>
      <c r="N88" s="66" t="n">
        <v>32</v>
      </c>
      <c r="O88" s="66" t="n">
        <v>12</v>
      </c>
      <c r="P88" s="66" t="n">
        <v>18</v>
      </c>
    </row>
    <row r="89" ht="15.75" customHeight="1" s="45">
      <c r="A89" s="61" t="n">
        <v>46029</v>
      </c>
      <c r="B89" s="62" t="inlineStr">
        <is>
          <t>Antes-Projeto</t>
        </is>
      </c>
      <c r="C89" s="68" t="inlineStr">
        <is>
          <t>GAEs Abertas</t>
        </is>
      </c>
      <c r="D89" s="69" t="n">
        <v>313</v>
      </c>
      <c r="E89" s="69" t="n">
        <v>145</v>
      </c>
      <c r="F89" s="69" t="n">
        <v>149</v>
      </c>
      <c r="G89" s="69" t="n">
        <v>127</v>
      </c>
      <c r="H89" s="69" t="n">
        <v>118</v>
      </c>
      <c r="I89" s="69" t="n">
        <v>190</v>
      </c>
      <c r="J89" s="69" t="n">
        <v>100</v>
      </c>
      <c r="K89" s="69" t="n">
        <v>254</v>
      </c>
      <c r="L89" s="69" t="n">
        <v>121</v>
      </c>
      <c r="M89" s="69" t="n">
        <v>188</v>
      </c>
      <c r="N89" s="69" t="n">
        <v>186</v>
      </c>
      <c r="O89" s="69" t="n">
        <v>223</v>
      </c>
      <c r="P89" s="69" t="n">
        <v>192</v>
      </c>
    </row>
    <row r="90" ht="15.75" customHeight="1" s="45">
      <c r="A90" s="61" t="n">
        <v>46029</v>
      </c>
      <c r="B90" s="62" t="inlineStr">
        <is>
          <t>Antes-Projeto</t>
        </is>
      </c>
      <c r="C90" s="68" t="inlineStr">
        <is>
          <t>GAEs Classificadas</t>
        </is>
      </c>
      <c r="D90" s="69" t="n">
        <v>267</v>
      </c>
      <c r="E90" s="69" t="n">
        <v>136</v>
      </c>
      <c r="F90" s="69" t="n">
        <v>142</v>
      </c>
      <c r="G90" s="69" t="n">
        <v>122</v>
      </c>
      <c r="H90" s="69" t="n">
        <v>114</v>
      </c>
      <c r="I90" s="69" t="n">
        <v>180</v>
      </c>
      <c r="J90" s="69" t="n">
        <v>94</v>
      </c>
      <c r="K90" s="69" t="n">
        <v>227</v>
      </c>
      <c r="L90" s="69" t="n">
        <v>117</v>
      </c>
      <c r="M90" s="69" t="n">
        <v>179</v>
      </c>
      <c r="N90" s="69" t="n">
        <v>172</v>
      </c>
      <c r="O90" s="69" t="n">
        <v>218</v>
      </c>
      <c r="P90" s="69" t="n">
        <v>188</v>
      </c>
    </row>
    <row r="91" ht="15.75" customHeight="1" s="45">
      <c r="A91" s="61" t="n">
        <v>46029</v>
      </c>
      <c r="B91" s="62" t="inlineStr">
        <is>
          <t>Antes-Projeto</t>
        </is>
      </c>
      <c r="C91" s="70" t="inlineStr">
        <is>
          <t>Percentual de GAEs abertas classificadas</t>
        </is>
      </c>
      <c r="D91" s="71">
        <f>IFERROR(D90/D89,"-")</f>
        <v/>
      </c>
      <c r="E91" s="71">
        <f>IFERROR(E90/E89,"-")</f>
        <v/>
      </c>
      <c r="F91" s="71">
        <f>IFERROR(F90/F89,"-")</f>
        <v/>
      </c>
      <c r="G91" s="71">
        <f>IFERROR(G90/G89,"-")</f>
        <v/>
      </c>
      <c r="H91" s="71">
        <f>IFERROR(H90/H89,"-")</f>
        <v/>
      </c>
      <c r="I91" s="71">
        <f>IFERROR(I90/I89,"-")</f>
        <v/>
      </c>
      <c r="J91" s="71">
        <f>IFERROR(J90/J89,"-")</f>
        <v/>
      </c>
      <c r="K91" s="71">
        <f>IFERROR(K90/K89,"-")</f>
        <v/>
      </c>
      <c r="L91" s="71">
        <f>IFERROR(L90/L89,"-")</f>
        <v/>
      </c>
      <c r="M91" s="71">
        <f>IFERROR(M90/M89,"-")</f>
        <v/>
      </c>
      <c r="N91" s="71">
        <f>IFERROR(N90/N89,"-")</f>
        <v/>
      </c>
      <c r="O91" s="71">
        <f>IFERROR(O90/O89,"-")</f>
        <v/>
      </c>
      <c r="P91" s="71">
        <f>IFERROR(P90/P89,"-")</f>
        <v/>
      </c>
    </row>
    <row r="92" ht="15.75" customHeight="1" s="45">
      <c r="A92" s="61" t="n">
        <v>46029</v>
      </c>
      <c r="B92" s="62" t="inlineStr">
        <is>
          <t>Antes-Projeto</t>
        </is>
      </c>
      <c r="C92" s="72" t="inlineStr">
        <is>
          <t>Tempo Médio — 🟡 Amarelo (hh:mm)</t>
        </is>
      </c>
      <c r="D92" s="121" t="n">
        <v>0.04326388888888889</v>
      </c>
      <c r="E92" s="121" t="n">
        <v>0.02789351851851852</v>
      </c>
      <c r="F92" s="121" t="n">
        <v>0.1843634259259259</v>
      </c>
      <c r="G92" s="121" t="n">
        <v>0.01454861111111111</v>
      </c>
      <c r="H92" s="121" t="n">
        <v>0.03658564814814814</v>
      </c>
      <c r="I92" s="121" t="n">
        <v>0.03371527777777777</v>
      </c>
      <c r="J92" s="121" t="n">
        <v>0.04756944444444444</v>
      </c>
      <c r="K92" s="121" t="n">
        <v>0.1596759259259259</v>
      </c>
      <c r="L92" s="121" t="n">
        <v>0.06949074074074074</v>
      </c>
      <c r="M92" s="121" t="n">
        <v>0.02783564814814815</v>
      </c>
      <c r="N92" s="121" t="n">
        <v>0.08252314814814815</v>
      </c>
      <c r="O92" s="121" t="n">
        <v>0.07604166666666666</v>
      </c>
      <c r="P92" s="121" t="n">
        <v>0.06767361111111111</v>
      </c>
    </row>
    <row r="93" ht="15.75" customHeight="1" s="45">
      <c r="A93" s="61" t="n">
        <v>46029</v>
      </c>
      <c r="B93" s="62" t="inlineStr">
        <is>
          <t>Antes-Projeto</t>
        </is>
      </c>
      <c r="C93" s="74" t="inlineStr">
        <is>
          <t>Tempo Médio — 🟠 Laranja (hh:mm)</t>
        </is>
      </c>
      <c r="D93" s="122" t="n">
        <v>0.004178240740740741</v>
      </c>
      <c r="E93" s="122" t="n">
        <v>0.007777777777777778</v>
      </c>
      <c r="F93" s="122" t="n">
        <v>0.006539351851851852</v>
      </c>
      <c r="G93" s="122" t="n">
        <v>0.002997685185185185</v>
      </c>
      <c r="H93" s="122" t="n">
        <v>0.004189814814814815</v>
      </c>
      <c r="I93" s="122" t="n">
        <v>0.007037037037037037</v>
      </c>
      <c r="J93" s="122" t="n">
        <v>0.01068287037037037</v>
      </c>
      <c r="K93" s="122" t="n">
        <v>0.02635416666666667</v>
      </c>
      <c r="L93" s="122" t="n">
        <v>0.02511574074074074</v>
      </c>
      <c r="M93" s="122" t="n">
        <v>0.0109375</v>
      </c>
      <c r="N93" s="122" t="n">
        <v>0.01829861111111111</v>
      </c>
      <c r="O93" s="122" t="n">
        <v>0.01643518518518518</v>
      </c>
      <c r="P93" s="122" t="n">
        <v>0.009456018518518518</v>
      </c>
    </row>
    <row r="94" ht="15.75" customHeight="1" s="45">
      <c r="A94" s="76" t="n">
        <v>46029</v>
      </c>
      <c r="B94" s="77" t="inlineStr">
        <is>
          <t>Antes-Projeto</t>
        </is>
      </c>
      <c r="C94" s="78" t="inlineStr">
        <is>
          <t>Tempo Médio — 🟢 Verde   (hh:mm)</t>
        </is>
      </c>
      <c r="D94" s="123" t="n">
        <v>0.07111111111111111</v>
      </c>
      <c r="E94" s="123" t="n">
        <v>0.05547453703703704</v>
      </c>
      <c r="F94" s="123" t="n">
        <v>0.07388888888888889</v>
      </c>
      <c r="G94" s="123" t="n">
        <v>0.02936342592592592</v>
      </c>
      <c r="H94" s="123" t="n">
        <v>0.09895833333333333</v>
      </c>
      <c r="I94" s="123" t="n">
        <v>0.1017939814814815</v>
      </c>
      <c r="J94" s="123" t="n">
        <v>0.1345949074074074</v>
      </c>
      <c r="K94" s="123" t="n">
        <v>0.09722222222222222</v>
      </c>
      <c r="L94" s="123" t="n">
        <v>0.08835648148148148</v>
      </c>
      <c r="M94" s="123" t="n">
        <v>0.1244560185185185</v>
      </c>
      <c r="N94" s="123" t="n">
        <v>0.1020601851851852</v>
      </c>
      <c r="O94" s="123" t="n">
        <v>0.1455555555555555</v>
      </c>
      <c r="P94" s="123" t="n">
        <v>0.09332175925925926</v>
      </c>
    </row>
    <row r="95" ht="15.75" customHeight="1" s="45">
      <c r="A95" s="57" t="n">
        <v>46030</v>
      </c>
      <c r="B95" s="58" t="inlineStr">
        <is>
          <t>Antes-Projeto</t>
        </is>
      </c>
      <c r="C95" s="59" t="inlineStr">
        <is>
          <t>Acolhim. + Atend. Urgência + Atend. UPA</t>
        </is>
      </c>
      <c r="D95" s="60">
        <f>SUM(D96:D98)</f>
        <v/>
      </c>
      <c r="E95" s="60">
        <f>SUM(E96:E98)</f>
        <v/>
      </c>
      <c r="F95" s="60">
        <f>SUM(F96:F98)</f>
        <v/>
      </c>
      <c r="G95" s="60">
        <f>SUM(G96:G98)</f>
        <v/>
      </c>
      <c r="H95" s="60">
        <f>SUM(H96:H98)</f>
        <v/>
      </c>
      <c r="I95" s="60">
        <f>SUM(I96:I98)</f>
        <v/>
      </c>
      <c r="J95" s="60">
        <f>SUM(J96:J98)</f>
        <v/>
      </c>
      <c r="K95" s="60">
        <f>SUM(K96:K98)</f>
        <v/>
      </c>
      <c r="L95" s="60">
        <f>SUM(L96:L98)</f>
        <v/>
      </c>
      <c r="M95" s="60">
        <f>SUM(M96:M98)</f>
        <v/>
      </c>
      <c r="N95" s="60">
        <f>SUM(N96:N98)</f>
        <v/>
      </c>
      <c r="O95" s="60">
        <f>SUM(O96:O98)</f>
        <v/>
      </c>
      <c r="P95" s="60">
        <f>SUM(P96:P98)</f>
        <v/>
      </c>
    </row>
    <row r="96" ht="15.75" customHeight="1" s="45">
      <c r="A96" s="61" t="n">
        <v>46030</v>
      </c>
      <c r="B96" s="62" t="inlineStr">
        <is>
          <t>Antes-Projeto</t>
        </is>
      </c>
      <c r="C96" s="65" t="inlineStr">
        <is>
          <t>Acolhimento c/ Classif. de Risco</t>
        </is>
      </c>
      <c r="D96" s="66" t="n">
        <v>214</v>
      </c>
      <c r="E96" s="66" t="n">
        <v>139</v>
      </c>
      <c r="F96" s="66" t="n">
        <v>161</v>
      </c>
      <c r="G96" s="66" t="n">
        <v>107</v>
      </c>
      <c r="H96" s="66" t="n">
        <v>114</v>
      </c>
      <c r="I96" s="66" t="n">
        <v>192</v>
      </c>
      <c r="J96" s="66" t="n">
        <v>107</v>
      </c>
      <c r="K96" s="66" t="n">
        <v>242</v>
      </c>
      <c r="L96" s="66" t="n">
        <v>123</v>
      </c>
      <c r="M96" s="66" t="n">
        <v>206</v>
      </c>
      <c r="N96" s="66" t="n">
        <v>168</v>
      </c>
      <c r="O96" s="66" t="n">
        <v>233</v>
      </c>
      <c r="P96" s="66" t="n">
        <v>226</v>
      </c>
    </row>
    <row r="97" ht="15.75" customHeight="1" s="45">
      <c r="A97" s="61" t="n">
        <v>46030</v>
      </c>
      <c r="B97" s="62" t="inlineStr">
        <is>
          <t>Antes-Projeto</t>
        </is>
      </c>
      <c r="C97" s="63" t="inlineStr">
        <is>
          <t>Atend. Urgência Obs. ≤ 24h</t>
        </is>
      </c>
      <c r="D97" s="64" t="n">
        <v>24</v>
      </c>
      <c r="E97" s="64" t="n">
        <v>22</v>
      </c>
      <c r="F97" s="64" t="n">
        <v>36</v>
      </c>
      <c r="G97" s="64" t="n">
        <v>38</v>
      </c>
      <c r="H97" s="64" t="n">
        <v>19</v>
      </c>
      <c r="I97" s="64" t="n">
        <v>26</v>
      </c>
      <c r="J97" s="64" t="n">
        <v>44</v>
      </c>
      <c r="K97" s="64" t="n">
        <v>89</v>
      </c>
      <c r="L97" s="64" t="n">
        <v>35</v>
      </c>
      <c r="M97" s="64" t="n">
        <v>68</v>
      </c>
      <c r="N97" s="64" t="n">
        <v>132</v>
      </c>
      <c r="O97" s="64" t="n">
        <v>9</v>
      </c>
      <c r="P97" s="64" t="n">
        <v>57</v>
      </c>
    </row>
    <row r="98" ht="15.75" customHeight="1" s="45">
      <c r="A98" s="61" t="n">
        <v>46030</v>
      </c>
      <c r="B98" s="62" t="inlineStr">
        <is>
          <t>Antes-Projeto</t>
        </is>
      </c>
      <c r="C98" s="65" t="inlineStr">
        <is>
          <t>Atend. Médico em UPA</t>
        </is>
      </c>
      <c r="D98" s="66" t="n">
        <v>138</v>
      </c>
      <c r="E98" s="66" t="n">
        <v>74</v>
      </c>
      <c r="F98" s="66" t="n">
        <v>100</v>
      </c>
      <c r="G98" s="66" t="n">
        <v>74</v>
      </c>
      <c r="H98" s="66" t="n">
        <v>98</v>
      </c>
      <c r="I98" s="66" t="n">
        <v>150</v>
      </c>
      <c r="J98" s="66" t="n">
        <v>69</v>
      </c>
      <c r="K98" s="66" t="n">
        <v>193</v>
      </c>
      <c r="L98" s="66" t="n">
        <v>84</v>
      </c>
      <c r="M98" s="66" t="n">
        <v>127</v>
      </c>
      <c r="N98" s="66" t="n">
        <v>173</v>
      </c>
      <c r="O98" s="66" t="n">
        <v>205</v>
      </c>
      <c r="P98" s="66" t="n">
        <v>152</v>
      </c>
    </row>
    <row r="99" ht="15.75" customHeight="1" s="45">
      <c r="A99" s="61" t="n">
        <v>46030</v>
      </c>
      <c r="B99" s="62" t="inlineStr">
        <is>
          <t>Antes-Projeto</t>
        </is>
      </c>
      <c r="C99" s="63" t="inlineStr">
        <is>
          <t>Exames Laboratoriais</t>
        </is>
      </c>
      <c r="D99" s="64" t="n">
        <v>603</v>
      </c>
      <c r="E99" s="64" t="n">
        <v>430</v>
      </c>
      <c r="F99" s="64" t="n">
        <v>608</v>
      </c>
      <c r="G99" s="64" t="n">
        <v>300</v>
      </c>
      <c r="H99" s="64" t="n">
        <v>499</v>
      </c>
      <c r="I99" s="64" t="n">
        <v>462</v>
      </c>
      <c r="J99" s="64" t="n">
        <v>260</v>
      </c>
      <c r="K99" s="64" t="n">
        <v>833</v>
      </c>
      <c r="L99" s="64" t="n">
        <v>615</v>
      </c>
      <c r="M99" s="64" t="n">
        <v>728</v>
      </c>
      <c r="N99" s="64" t="n">
        <v>849</v>
      </c>
      <c r="O99" s="64" t="n">
        <v>424</v>
      </c>
      <c r="P99" s="64" t="n">
        <v>566</v>
      </c>
    </row>
    <row r="100" ht="15.75" customHeight="1" s="45">
      <c r="A100" s="61" t="n">
        <v>46030</v>
      </c>
      <c r="B100" s="62" t="inlineStr">
        <is>
          <t>Antes-Projeto</t>
        </is>
      </c>
      <c r="C100" s="65" t="inlineStr">
        <is>
          <t>Radiografias</t>
        </is>
      </c>
      <c r="D100" s="66" t="n">
        <v>27</v>
      </c>
      <c r="E100" s="66" t="n">
        <v>9</v>
      </c>
      <c r="F100" s="66" t="n">
        <v>26</v>
      </c>
      <c r="G100" s="66" t="n">
        <v>14</v>
      </c>
      <c r="H100" s="66" t="n">
        <v>16</v>
      </c>
      <c r="I100" s="66" t="n">
        <v>19</v>
      </c>
      <c r="J100" s="66" t="n">
        <v>22</v>
      </c>
      <c r="K100" s="66" t="n">
        <v>7</v>
      </c>
      <c r="L100" s="66" t="n">
        <v>30</v>
      </c>
      <c r="M100" s="66" t="n">
        <v>59</v>
      </c>
      <c r="N100" s="66" t="n">
        <v>29</v>
      </c>
      <c r="O100" s="66" t="n">
        <v>11</v>
      </c>
      <c r="P100" s="66" t="n">
        <v>46</v>
      </c>
    </row>
    <row r="101" ht="15.75" customHeight="1" s="45">
      <c r="A101" s="61" t="n">
        <v>46030</v>
      </c>
      <c r="B101" s="62" t="inlineStr">
        <is>
          <t>Antes-Projeto</t>
        </is>
      </c>
      <c r="C101" s="63" t="inlineStr">
        <is>
          <t>Eletrocardiogramas</t>
        </is>
      </c>
      <c r="D101" s="64" t="n">
        <v>10</v>
      </c>
      <c r="E101" s="64" t="n">
        <v>9</v>
      </c>
      <c r="F101" s="64" t="n">
        <v>21</v>
      </c>
      <c r="G101" s="64" t="n">
        <v>4</v>
      </c>
      <c r="H101" s="64" t="n">
        <v>22</v>
      </c>
      <c r="I101" s="64" t="n">
        <v>10</v>
      </c>
      <c r="J101" s="64" t="n">
        <v>4</v>
      </c>
      <c r="K101" s="64" t="n">
        <v>21</v>
      </c>
      <c r="L101" s="64" t="n">
        <v>22</v>
      </c>
      <c r="M101" s="64" t="n">
        <v>39</v>
      </c>
      <c r="N101" s="64" t="n">
        <v>10</v>
      </c>
      <c r="O101" s="64" t="n">
        <v>23</v>
      </c>
      <c r="P101" s="64" t="n">
        <v>30</v>
      </c>
    </row>
    <row r="102" ht="15.75" customHeight="1" s="45">
      <c r="A102" s="61" t="n">
        <v>46030</v>
      </c>
      <c r="B102" s="62" t="inlineStr">
        <is>
          <t>Antes-Projeto</t>
        </is>
      </c>
      <c r="C102" s="68" t="inlineStr">
        <is>
          <t>GAEs Abertas</t>
        </is>
      </c>
      <c r="D102" s="69" t="n">
        <v>230</v>
      </c>
      <c r="E102" s="69" t="n">
        <v>148</v>
      </c>
      <c r="F102" s="69" t="n">
        <v>163</v>
      </c>
      <c r="G102" s="69" t="n">
        <v>111</v>
      </c>
      <c r="H102" s="69" t="n">
        <v>115</v>
      </c>
      <c r="I102" s="69" t="n">
        <v>204</v>
      </c>
      <c r="J102" s="69" t="n">
        <v>111</v>
      </c>
      <c r="K102" s="69" t="n">
        <v>286</v>
      </c>
      <c r="L102" s="69" t="n">
        <v>130</v>
      </c>
      <c r="M102" s="69" t="n">
        <v>218</v>
      </c>
      <c r="N102" s="69" t="n">
        <v>168</v>
      </c>
      <c r="O102" s="69" t="n">
        <v>244</v>
      </c>
      <c r="P102" s="69" t="n">
        <v>230</v>
      </c>
    </row>
    <row r="103" ht="15.75" customHeight="1" s="45">
      <c r="A103" s="61" t="n">
        <v>46030</v>
      </c>
      <c r="B103" s="62" t="inlineStr">
        <is>
          <t>Antes-Projeto</t>
        </is>
      </c>
      <c r="C103" s="68" t="inlineStr">
        <is>
          <t>GAEs Classificadas</t>
        </is>
      </c>
      <c r="D103" s="69" t="n">
        <v>214</v>
      </c>
      <c r="E103" s="69" t="n">
        <v>139</v>
      </c>
      <c r="F103" s="69" t="n">
        <v>160</v>
      </c>
      <c r="G103" s="69" t="n">
        <v>107</v>
      </c>
      <c r="H103" s="69" t="n">
        <v>113</v>
      </c>
      <c r="I103" s="69" t="n">
        <v>188</v>
      </c>
      <c r="J103" s="69" t="n">
        <v>104</v>
      </c>
      <c r="K103" s="69" t="n">
        <v>241</v>
      </c>
      <c r="L103" s="69" t="n">
        <v>123</v>
      </c>
      <c r="M103" s="69" t="n">
        <v>203</v>
      </c>
      <c r="N103" s="69" t="n">
        <v>162</v>
      </c>
      <c r="O103" s="69" t="n">
        <v>233</v>
      </c>
      <c r="P103" s="69" t="n">
        <v>222</v>
      </c>
    </row>
    <row r="104" ht="15.75" customHeight="1" s="45">
      <c r="A104" s="61" t="n">
        <v>46030</v>
      </c>
      <c r="B104" s="62" t="inlineStr">
        <is>
          <t>Antes-Projeto</t>
        </is>
      </c>
      <c r="C104" s="70" t="inlineStr">
        <is>
          <t>Percentual de GAEs abertas classificadas</t>
        </is>
      </c>
      <c r="D104" s="71">
        <f>IFERROR(D103/D102,"-")</f>
        <v/>
      </c>
      <c r="E104" s="71">
        <f>IFERROR(E103/E102,"-")</f>
        <v/>
      </c>
      <c r="F104" s="71">
        <f>IFERROR(F103/F102,"-")</f>
        <v/>
      </c>
      <c r="G104" s="71">
        <f>IFERROR(G103/G102,"-")</f>
        <v/>
      </c>
      <c r="H104" s="71">
        <f>IFERROR(H103/H102,"-")</f>
        <v/>
      </c>
      <c r="I104" s="71">
        <f>IFERROR(I103/I102,"-")</f>
        <v/>
      </c>
      <c r="J104" s="71">
        <f>IFERROR(J103/J102,"-")</f>
        <v/>
      </c>
      <c r="K104" s="71">
        <f>IFERROR(K103/K102,"-")</f>
        <v/>
      </c>
      <c r="L104" s="71">
        <f>IFERROR(L103/L102,"-")</f>
        <v/>
      </c>
      <c r="M104" s="71">
        <f>IFERROR(M103/M102,"-")</f>
        <v/>
      </c>
      <c r="N104" s="71">
        <f>IFERROR(N103/N102,"-")</f>
        <v/>
      </c>
      <c r="O104" s="71">
        <f>IFERROR(O103/O102,"-")</f>
        <v/>
      </c>
      <c r="P104" s="71">
        <f>IFERROR(P103/P102,"-")</f>
        <v/>
      </c>
    </row>
    <row r="105" ht="15.75" customHeight="1" s="45">
      <c r="A105" s="61" t="n">
        <v>46030</v>
      </c>
      <c r="B105" s="62" t="inlineStr">
        <is>
          <t>Antes-Projeto</t>
        </is>
      </c>
      <c r="C105" s="72" t="inlineStr">
        <is>
          <t>Tempo Médio — 🟡 Amarelo (hh:mm)</t>
        </is>
      </c>
      <c r="D105" s="121" t="n">
        <v>0.1148148148148148</v>
      </c>
      <c r="E105" s="121" t="n">
        <v>0.1140046296296296</v>
      </c>
      <c r="F105" s="121" t="n">
        <v>0.06421296296296296</v>
      </c>
      <c r="G105" s="121" t="n">
        <v>0.02387731481481482</v>
      </c>
      <c r="H105" s="121" t="n">
        <v>0.02283564814814815</v>
      </c>
      <c r="I105" s="121" t="n">
        <v>0.0453125</v>
      </c>
      <c r="J105" s="121" t="n">
        <v>0.06458333333333334</v>
      </c>
      <c r="K105" s="121" t="n">
        <v>0.07891203703703703</v>
      </c>
      <c r="L105" s="121" t="n">
        <v>0.09820601851851851</v>
      </c>
      <c r="M105" s="121" t="n">
        <v>0.0277662037037037</v>
      </c>
      <c r="N105" s="121" t="n">
        <v>0.04563657407407407</v>
      </c>
      <c r="O105" s="121" t="n">
        <v>0.04712962962962963</v>
      </c>
      <c r="P105" s="121" t="n">
        <v>0.06034722222222222</v>
      </c>
    </row>
    <row r="106" ht="15.75" customHeight="1" s="45">
      <c r="A106" s="61" t="n">
        <v>46030</v>
      </c>
      <c r="B106" s="62" t="inlineStr">
        <is>
          <t>Antes-Projeto</t>
        </is>
      </c>
      <c r="C106" s="74" t="inlineStr">
        <is>
          <t>Tempo Médio — 🟠 Laranja (hh:mm)</t>
        </is>
      </c>
      <c r="D106" s="122" t="n">
        <v>0.01145833333333333</v>
      </c>
      <c r="E106" s="122" t="n">
        <v>0.01283564814814815</v>
      </c>
      <c r="F106" s="122" t="n">
        <v>0.01013888888888889</v>
      </c>
      <c r="G106" s="122" t="n">
        <v>0.01005787037037037</v>
      </c>
      <c r="H106" s="122" t="n">
        <v>0.003981481481481482</v>
      </c>
      <c r="I106" s="122" t="n">
        <v>0.003645833333333333</v>
      </c>
      <c r="J106" s="122" t="n">
        <v>0.01226851851851852</v>
      </c>
      <c r="K106" s="122" t="n">
        <v>0.01539351851851852</v>
      </c>
      <c r="L106" s="122" t="n">
        <v>0.01332175925925926</v>
      </c>
      <c r="M106" s="122" t="n">
        <v>0.01303240740740741</v>
      </c>
      <c r="N106" s="122" t="n">
        <v>0.01199074074074074</v>
      </c>
      <c r="O106" s="122" t="n">
        <v>0.01243055555555556</v>
      </c>
      <c r="P106" s="122" t="n">
        <v>0.008252314814814815</v>
      </c>
    </row>
    <row r="107" ht="15.75" customHeight="1" s="45">
      <c r="A107" s="76" t="n">
        <v>46030</v>
      </c>
      <c r="B107" s="77" t="inlineStr">
        <is>
          <t>Antes-Projeto</t>
        </is>
      </c>
      <c r="C107" s="78" t="inlineStr">
        <is>
          <t>Tempo Médio — 🟢 Verde   (hh:mm)</t>
        </is>
      </c>
      <c r="D107" s="123" t="n">
        <v>0.07405092592592592</v>
      </c>
      <c r="E107" s="123" t="n">
        <v>0.2099537037037037</v>
      </c>
      <c r="F107" s="123" t="n">
        <v>0.0894675925925926</v>
      </c>
      <c r="G107" s="123" t="n">
        <v>0.103912037037037</v>
      </c>
      <c r="H107" s="123" t="n">
        <v>0.08038194444444445</v>
      </c>
      <c r="I107" s="123" t="n">
        <v>0.1412268518518519</v>
      </c>
      <c r="J107" s="123" t="n">
        <v>0.1660185185185185</v>
      </c>
      <c r="K107" s="123" t="n">
        <v>0.05451388888888889</v>
      </c>
      <c r="L107" s="123" t="n">
        <v>0.1177893518518519</v>
      </c>
      <c r="M107" s="123" t="n">
        <v>0.04486111111111111</v>
      </c>
      <c r="N107" s="123" t="n">
        <v>0.150462962962963</v>
      </c>
      <c r="O107" s="123" t="n">
        <v>0.06418981481481481</v>
      </c>
      <c r="P107" s="123" t="n">
        <v>0.1113773148148148</v>
      </c>
    </row>
    <row r="108" ht="15.75" customHeight="1" s="45">
      <c r="A108" s="57" t="n">
        <v>46031</v>
      </c>
      <c r="B108" s="58" t="inlineStr">
        <is>
          <t>Antes-Projeto</t>
        </is>
      </c>
      <c r="C108" s="59" t="inlineStr">
        <is>
          <t>Acolhim. + Atend. Urgência + Atend. UPA</t>
        </is>
      </c>
      <c r="D108" s="60">
        <f>SUM(D109:D111)</f>
        <v/>
      </c>
      <c r="E108" s="60">
        <f>SUM(E109:E111)</f>
        <v/>
      </c>
      <c r="F108" s="60">
        <f>SUM(F109:F111)</f>
        <v/>
      </c>
      <c r="G108" s="60">
        <f>SUM(G109:G111)</f>
        <v/>
      </c>
      <c r="H108" s="60">
        <f>SUM(H109:H111)</f>
        <v/>
      </c>
      <c r="I108" s="60">
        <f>SUM(I109:I111)</f>
        <v/>
      </c>
      <c r="J108" s="60">
        <f>SUM(J109:J111)</f>
        <v/>
      </c>
      <c r="K108" s="60">
        <f>SUM(K109:K111)</f>
        <v/>
      </c>
      <c r="L108" s="60">
        <f>SUM(L109:L111)</f>
        <v/>
      </c>
      <c r="M108" s="60">
        <f>SUM(M109:M111)</f>
        <v/>
      </c>
      <c r="N108" s="60">
        <f>SUM(N109:N111)</f>
        <v/>
      </c>
      <c r="O108" s="60">
        <f>SUM(O109:O111)</f>
        <v/>
      </c>
      <c r="P108" s="60">
        <f>SUM(P109:P111)</f>
        <v/>
      </c>
    </row>
    <row r="109" ht="15.75" customHeight="1" s="45">
      <c r="A109" s="61" t="n">
        <v>46031</v>
      </c>
      <c r="B109" s="62" t="inlineStr">
        <is>
          <t>Antes-Projeto</t>
        </is>
      </c>
      <c r="C109" s="63" t="inlineStr">
        <is>
          <t>Acolhimento c/ Classif. de Risco</t>
        </is>
      </c>
      <c r="D109" s="64" t="n">
        <v>206</v>
      </c>
      <c r="E109" s="64" t="n">
        <v>152</v>
      </c>
      <c r="F109" s="64" t="n">
        <v>139</v>
      </c>
      <c r="G109" s="64" t="n">
        <v>128</v>
      </c>
      <c r="H109" s="64" t="n">
        <v>99</v>
      </c>
      <c r="I109" s="64" t="n">
        <v>176</v>
      </c>
      <c r="J109" s="64" t="n">
        <v>102</v>
      </c>
      <c r="K109" s="64" t="n">
        <v>255</v>
      </c>
      <c r="L109" s="64" t="n">
        <v>118</v>
      </c>
      <c r="M109" s="64" t="n">
        <v>160</v>
      </c>
      <c r="N109" s="64" t="n">
        <v>192</v>
      </c>
      <c r="O109" s="64" t="n">
        <v>244</v>
      </c>
      <c r="P109" s="64" t="n">
        <v>206</v>
      </c>
    </row>
    <row r="110" ht="15.75" customHeight="1" s="45">
      <c r="A110" s="61" t="n">
        <v>46031</v>
      </c>
      <c r="B110" s="62" t="inlineStr">
        <is>
          <t>Antes-Projeto</t>
        </is>
      </c>
      <c r="C110" s="65" t="inlineStr">
        <is>
          <t>Atend. Urgência Obs. ≤ 24h</t>
        </is>
      </c>
      <c r="D110" s="66" t="n">
        <v>30</v>
      </c>
      <c r="E110" s="66" t="n">
        <v>43</v>
      </c>
      <c r="F110" s="66" t="n">
        <v>27</v>
      </c>
      <c r="G110" s="66" t="n">
        <v>41</v>
      </c>
      <c r="H110" s="66" t="n">
        <v>25</v>
      </c>
      <c r="I110" s="66" t="n">
        <v>15</v>
      </c>
      <c r="J110" s="66" t="n">
        <v>56</v>
      </c>
      <c r="K110" s="66" t="n">
        <v>133</v>
      </c>
      <c r="L110" s="66" t="n">
        <v>39</v>
      </c>
      <c r="M110" s="66" t="n">
        <v>76</v>
      </c>
      <c r="N110" s="66" t="n">
        <v>88</v>
      </c>
      <c r="O110" s="66" t="n">
        <v>10</v>
      </c>
      <c r="P110" s="66" t="n">
        <v>60</v>
      </c>
    </row>
    <row r="111" ht="15.75" customHeight="1" s="45">
      <c r="A111" s="61" t="n">
        <v>46031</v>
      </c>
      <c r="B111" s="62" t="inlineStr">
        <is>
          <t>Antes-Projeto</t>
        </is>
      </c>
      <c r="C111" s="63" t="inlineStr">
        <is>
          <t>Atend. Médico em UPA</t>
        </is>
      </c>
      <c r="D111" s="64" t="n">
        <v>104</v>
      </c>
      <c r="E111" s="64" t="n">
        <v>98</v>
      </c>
      <c r="F111" s="64" t="n">
        <v>64</v>
      </c>
      <c r="G111" s="64" t="n">
        <v>83</v>
      </c>
      <c r="H111" s="64" t="n">
        <v>74</v>
      </c>
      <c r="I111" s="64" t="n">
        <v>137</v>
      </c>
      <c r="J111" s="64" t="n">
        <v>88</v>
      </c>
      <c r="K111" s="64" t="n">
        <v>176</v>
      </c>
      <c r="L111" s="64" t="n">
        <v>71</v>
      </c>
      <c r="M111" s="64" t="n">
        <v>87</v>
      </c>
      <c r="N111" s="64" t="n">
        <v>196</v>
      </c>
      <c r="O111" s="64" t="n">
        <v>180</v>
      </c>
      <c r="P111" s="64" t="n">
        <v>124</v>
      </c>
    </row>
    <row r="112" ht="15.75" customHeight="1" s="45">
      <c r="A112" s="61" t="n">
        <v>46031</v>
      </c>
      <c r="B112" s="62" t="inlineStr">
        <is>
          <t>Antes-Projeto</t>
        </is>
      </c>
      <c r="C112" s="65" t="inlineStr">
        <is>
          <t>Exames Laboratoriais</t>
        </is>
      </c>
      <c r="D112" s="66" t="n">
        <v>768</v>
      </c>
      <c r="E112" s="66" t="n">
        <v>346</v>
      </c>
      <c r="F112" s="66" t="n">
        <v>215</v>
      </c>
      <c r="G112" s="66" t="n">
        <v>291</v>
      </c>
      <c r="H112" s="66" t="n">
        <v>305</v>
      </c>
      <c r="I112" s="66" t="n">
        <v>510</v>
      </c>
      <c r="J112" s="66" t="n">
        <v>313</v>
      </c>
      <c r="K112" s="66" t="n">
        <v>939</v>
      </c>
      <c r="L112" s="66" t="n">
        <v>571</v>
      </c>
      <c r="M112" s="66" t="n">
        <v>770</v>
      </c>
      <c r="N112" s="66" t="n">
        <v>626</v>
      </c>
      <c r="O112" s="66" t="n">
        <v>271</v>
      </c>
      <c r="P112" s="66" t="n">
        <v>383</v>
      </c>
    </row>
    <row r="113" ht="15.75" customHeight="1" s="45">
      <c r="A113" s="61" t="n">
        <v>46031</v>
      </c>
      <c r="B113" s="62" t="inlineStr">
        <is>
          <t>Antes-Projeto</t>
        </is>
      </c>
      <c r="C113" s="63" t="inlineStr">
        <is>
          <t>Radiografias</t>
        </is>
      </c>
      <c r="D113" s="64" t="n">
        <v>24</v>
      </c>
      <c r="E113" s="64" t="n">
        <v>16</v>
      </c>
      <c r="F113" s="64" t="n">
        <v>10</v>
      </c>
      <c r="G113" s="64" t="n">
        <v>12</v>
      </c>
      <c r="H113" s="64" t="n">
        <v>17</v>
      </c>
      <c r="I113" s="64" t="n">
        <v>26</v>
      </c>
      <c r="J113" s="64" t="n">
        <v>37</v>
      </c>
      <c r="K113" s="64" t="n">
        <v>15</v>
      </c>
      <c r="L113" s="64" t="n">
        <v>33</v>
      </c>
      <c r="M113" s="64" t="n">
        <v>36</v>
      </c>
      <c r="N113" s="64" t="n">
        <v>37</v>
      </c>
      <c r="O113" s="64" t="n">
        <v>16</v>
      </c>
      <c r="P113" s="64" t="n">
        <v>57</v>
      </c>
    </row>
    <row r="114" ht="15.75" customHeight="1" s="45">
      <c r="A114" s="61" t="n">
        <v>46031</v>
      </c>
      <c r="B114" s="62" t="inlineStr">
        <is>
          <t>Antes-Projeto</t>
        </is>
      </c>
      <c r="C114" s="65" t="inlineStr">
        <is>
          <t>Eletrocardiogramas</t>
        </is>
      </c>
      <c r="D114" s="66" t="n">
        <v>10</v>
      </c>
      <c r="E114" s="66" t="n">
        <v>7</v>
      </c>
      <c r="F114" s="66" t="n">
        <v>17</v>
      </c>
      <c r="G114" s="66" t="n">
        <v>9</v>
      </c>
      <c r="H114" s="66" t="n">
        <v>11</v>
      </c>
      <c r="I114" s="66" t="n">
        <v>10</v>
      </c>
      <c r="J114" s="66" t="n">
        <v>10</v>
      </c>
      <c r="K114" s="66" t="n">
        <v>19</v>
      </c>
      <c r="L114" s="66" t="n">
        <v>11</v>
      </c>
      <c r="M114" s="66" t="n">
        <v>16</v>
      </c>
      <c r="N114" s="66" t="n">
        <v>23</v>
      </c>
      <c r="O114" s="66" t="n">
        <v>15</v>
      </c>
      <c r="P114" s="66" t="n">
        <v>32</v>
      </c>
    </row>
    <row r="115" ht="15.75" customHeight="1" s="45">
      <c r="A115" s="61" t="n">
        <v>46031</v>
      </c>
      <c r="B115" s="62" t="inlineStr">
        <is>
          <t>Antes-Projeto</t>
        </is>
      </c>
      <c r="C115" s="68" t="inlineStr">
        <is>
          <t>GAEs Abertas</t>
        </is>
      </c>
      <c r="D115" s="69" t="n">
        <v>217</v>
      </c>
      <c r="E115" s="69" t="n">
        <v>162</v>
      </c>
      <c r="F115" s="69" t="n">
        <v>144</v>
      </c>
      <c r="G115" s="69" t="n">
        <v>134</v>
      </c>
      <c r="H115" s="69" t="n">
        <v>103</v>
      </c>
      <c r="I115" s="69" t="n">
        <v>182</v>
      </c>
      <c r="J115" s="69" t="n">
        <v>104</v>
      </c>
      <c r="K115" s="69" t="n">
        <v>283</v>
      </c>
      <c r="L115" s="69" t="n">
        <v>123</v>
      </c>
      <c r="M115" s="69" t="n">
        <v>171</v>
      </c>
      <c r="N115" s="69" t="n">
        <v>192</v>
      </c>
      <c r="O115" s="69" t="n">
        <v>249</v>
      </c>
      <c r="P115" s="69" t="n">
        <v>214</v>
      </c>
    </row>
    <row r="116" ht="15.75" customHeight="1" s="45">
      <c r="A116" s="61" t="n">
        <v>46031</v>
      </c>
      <c r="B116" s="62" t="inlineStr">
        <is>
          <t>Antes-Projeto</t>
        </is>
      </c>
      <c r="C116" s="68" t="inlineStr">
        <is>
          <t>GAEs Classificadas</t>
        </is>
      </c>
      <c r="D116" s="69" t="n">
        <v>205</v>
      </c>
      <c r="E116" s="69" t="n">
        <v>153</v>
      </c>
      <c r="F116" s="69" t="n">
        <v>137</v>
      </c>
      <c r="G116" s="69" t="n">
        <v>126</v>
      </c>
      <c r="H116" s="69" t="n">
        <v>98</v>
      </c>
      <c r="I116" s="69" t="n">
        <v>176</v>
      </c>
      <c r="J116" s="69" t="n">
        <v>101</v>
      </c>
      <c r="K116" s="69" t="n">
        <v>256</v>
      </c>
      <c r="L116" s="69" t="n">
        <v>118</v>
      </c>
      <c r="M116" s="69" t="n">
        <v>160</v>
      </c>
      <c r="N116" s="69" t="n">
        <v>182</v>
      </c>
      <c r="O116" s="69" t="n">
        <v>242</v>
      </c>
      <c r="P116" s="69" t="n">
        <v>203</v>
      </c>
    </row>
    <row r="117" ht="15.75" customHeight="1" s="45">
      <c r="A117" s="61" t="n">
        <v>46031</v>
      </c>
      <c r="B117" s="62" t="inlineStr">
        <is>
          <t>Antes-Projeto</t>
        </is>
      </c>
      <c r="C117" s="70" t="inlineStr">
        <is>
          <t>Percentual de GAEs abertas classificadas</t>
        </is>
      </c>
      <c r="D117" s="71">
        <f>IFERROR(D116/D115,"-")</f>
        <v/>
      </c>
      <c r="E117" s="71">
        <f>IFERROR(E116/E115,"-")</f>
        <v/>
      </c>
      <c r="F117" s="71">
        <f>IFERROR(F116/F115,"-")</f>
        <v/>
      </c>
      <c r="G117" s="71">
        <f>IFERROR(G116/G115,"-")</f>
        <v/>
      </c>
      <c r="H117" s="71">
        <f>IFERROR(H116/H115,"-")</f>
        <v/>
      </c>
      <c r="I117" s="71">
        <f>IFERROR(I116/I115,"-")</f>
        <v/>
      </c>
      <c r="J117" s="71">
        <f>IFERROR(J116/J115,"-")</f>
        <v/>
      </c>
      <c r="K117" s="71">
        <f>IFERROR(K116/K115,"-")</f>
        <v/>
      </c>
      <c r="L117" s="71">
        <f>IFERROR(L116/L115,"-")</f>
        <v/>
      </c>
      <c r="M117" s="71">
        <f>IFERROR(M116/M115,"-")</f>
        <v/>
      </c>
      <c r="N117" s="71">
        <f>IFERROR(N116/N115,"-")</f>
        <v/>
      </c>
      <c r="O117" s="71">
        <f>IFERROR(O116/O115,"-")</f>
        <v/>
      </c>
      <c r="P117" s="71">
        <f>IFERROR(P116/P115,"-")</f>
        <v/>
      </c>
    </row>
    <row r="118" ht="15.75" customHeight="1" s="45">
      <c r="A118" s="61" t="n">
        <v>46031</v>
      </c>
      <c r="B118" s="62" t="inlineStr">
        <is>
          <t>Antes-Projeto</t>
        </is>
      </c>
      <c r="C118" s="72" t="inlineStr">
        <is>
          <t>Tempo Médio — 🟡 Amarelo (hh:mm)</t>
        </is>
      </c>
      <c r="D118" s="121" t="n">
        <v>0.02699074074074074</v>
      </c>
      <c r="E118" s="121" t="n">
        <v>0.1739467592592593</v>
      </c>
      <c r="F118" s="121" t="n">
        <v>0.06273148148148149</v>
      </c>
      <c r="G118" s="121" t="n">
        <v>0.03355324074074074</v>
      </c>
      <c r="H118" s="121" t="n">
        <v>0.04354166666666667</v>
      </c>
      <c r="I118" s="121" t="n">
        <v>0.06396990740740741</v>
      </c>
      <c r="J118" s="121" t="n">
        <v>0.08564814814814815</v>
      </c>
      <c r="K118" s="121" t="n">
        <v>0.05436342592592593</v>
      </c>
      <c r="L118" s="121" t="n">
        <v>0.1229976851851852</v>
      </c>
      <c r="M118" s="121" t="n">
        <v>0.02665509259259259</v>
      </c>
      <c r="N118" s="121" t="n">
        <v>0.04629629629629629</v>
      </c>
      <c r="O118" s="121" t="n">
        <v>0.08782407407407407</v>
      </c>
      <c r="P118" s="121" t="n">
        <v>0.06899305555555556</v>
      </c>
    </row>
    <row r="119" ht="15.75" customHeight="1" s="45">
      <c r="A119" s="61" t="n">
        <v>46031</v>
      </c>
      <c r="B119" s="62" t="inlineStr">
        <is>
          <t>Antes-Projeto</t>
        </is>
      </c>
      <c r="C119" s="74" t="inlineStr">
        <is>
          <t>Tempo Médio — 🟠 Laranja (hh:mm)</t>
        </is>
      </c>
      <c r="D119" s="122" t="n">
        <v>0.01335648148148148</v>
      </c>
      <c r="E119" s="122" t="n">
        <v>0.007650462962962963</v>
      </c>
      <c r="F119" s="122" t="n">
        <v>0.009814814814814814</v>
      </c>
      <c r="G119" s="122" t="n">
        <v>0.004583333333333333</v>
      </c>
      <c r="H119" s="122" t="n">
        <v>0.008402777777777778</v>
      </c>
      <c r="I119" s="122" t="n">
        <v>0.007280092592592592</v>
      </c>
      <c r="J119" s="122" t="n">
        <v>0.0109837962962963</v>
      </c>
      <c r="K119" s="122" t="n">
        <v>0.008784722222222222</v>
      </c>
      <c r="L119" s="122" t="n">
        <v>0.01040509259259259</v>
      </c>
      <c r="M119" s="122" t="n">
        <v>0.01875</v>
      </c>
      <c r="N119" s="122" t="n">
        <v>0.009756944444444445</v>
      </c>
      <c r="O119" s="122" t="n">
        <v>0.018125</v>
      </c>
      <c r="P119" s="122" t="n">
        <v>0.01162037037037037</v>
      </c>
    </row>
    <row r="120" ht="15.75" customHeight="1" s="45">
      <c r="A120" s="76" t="n">
        <v>46031</v>
      </c>
      <c r="B120" s="77" t="inlineStr">
        <is>
          <t>Antes-Projeto</t>
        </is>
      </c>
      <c r="C120" s="78" t="inlineStr">
        <is>
          <t>Tempo Médio — 🟢 Verde   (hh:mm)</t>
        </is>
      </c>
      <c r="D120" s="123" t="n">
        <v>0.05097222222222222</v>
      </c>
      <c r="E120" s="123" t="n">
        <v>0.238900462962963</v>
      </c>
      <c r="F120" s="123" t="n">
        <v>0.0996875</v>
      </c>
      <c r="G120" s="123" t="n">
        <v>0.1294560185185185</v>
      </c>
      <c r="H120" s="123" t="n">
        <v>0.1427777777777778</v>
      </c>
      <c r="I120" s="123" t="n">
        <v>0.08640046296296296</v>
      </c>
      <c r="J120" s="123" t="n">
        <v>0.1178356481481481</v>
      </c>
      <c r="K120" s="123" t="n">
        <v>0.06885416666666666</v>
      </c>
      <c r="L120" s="123" t="n">
        <v>0.158587962962963</v>
      </c>
      <c r="M120" s="123" t="n">
        <v>0.06232638888888889</v>
      </c>
      <c r="N120" s="123" t="n">
        <v>0.08716435185185185</v>
      </c>
      <c r="O120" s="123" t="n">
        <v>0.1258912037037037</v>
      </c>
      <c r="P120" s="123" t="n">
        <v>0.1291550925925926</v>
      </c>
    </row>
    <row r="121" ht="15.75" customHeight="1" s="45">
      <c r="A121" s="57" t="n">
        <v>46032</v>
      </c>
      <c r="B121" s="58" t="inlineStr">
        <is>
          <t>Antes-Projeto</t>
        </is>
      </c>
      <c r="C121" s="59" t="inlineStr">
        <is>
          <t>Acolhim. + Atend. Urgência + Atend. UPA</t>
        </is>
      </c>
      <c r="D121" s="60">
        <f>SUM(D122:D124)</f>
        <v/>
      </c>
      <c r="E121" s="60">
        <f>SUM(E122:E124)</f>
        <v/>
      </c>
      <c r="F121" s="60">
        <f>SUM(F122:F124)</f>
        <v/>
      </c>
      <c r="G121" s="60">
        <f>SUM(G122:G124)</f>
        <v/>
      </c>
      <c r="H121" s="60">
        <f>SUM(H122:H124)</f>
        <v/>
      </c>
      <c r="I121" s="60">
        <f>SUM(I122:I124)</f>
        <v/>
      </c>
      <c r="J121" s="60">
        <f>SUM(J122:J124)</f>
        <v/>
      </c>
      <c r="K121" s="60">
        <f>SUM(K122:K124)</f>
        <v/>
      </c>
      <c r="L121" s="60">
        <f>SUM(L122:L124)</f>
        <v/>
      </c>
      <c r="M121" s="60">
        <f>SUM(M122:M124)</f>
        <v/>
      </c>
      <c r="N121" s="60">
        <f>SUM(N122:N124)</f>
        <v/>
      </c>
      <c r="O121" s="60">
        <f>SUM(O122:O124)</f>
        <v/>
      </c>
      <c r="P121" s="60">
        <f>SUM(P122:P124)</f>
        <v/>
      </c>
    </row>
    <row r="122" ht="15.75" customHeight="1" s="45">
      <c r="A122" s="61" t="n">
        <v>46032</v>
      </c>
      <c r="B122" s="62" t="inlineStr">
        <is>
          <t>Antes-Projeto</t>
        </is>
      </c>
      <c r="C122" s="65" t="inlineStr">
        <is>
          <t>Acolhimento c/ Classif. de Risco</t>
        </is>
      </c>
      <c r="D122" s="66" t="n">
        <v>173</v>
      </c>
      <c r="E122" s="66" t="n">
        <v>148</v>
      </c>
      <c r="F122" s="66" t="n">
        <v>137</v>
      </c>
      <c r="G122" s="66" t="n">
        <v>110</v>
      </c>
      <c r="H122" s="66" t="n">
        <v>113</v>
      </c>
      <c r="I122" s="66" t="n">
        <v>162</v>
      </c>
      <c r="J122" s="66" t="n">
        <v>114</v>
      </c>
      <c r="K122" s="66" t="n">
        <v>235</v>
      </c>
      <c r="L122" s="66" t="n">
        <v>110</v>
      </c>
      <c r="M122" s="66" t="n">
        <v>122</v>
      </c>
      <c r="N122" s="66" t="n">
        <v>167</v>
      </c>
      <c r="O122" s="66" t="n">
        <v>239</v>
      </c>
      <c r="P122" s="66" t="n">
        <v>173</v>
      </c>
    </row>
    <row r="123" ht="15.75" customHeight="1" s="45">
      <c r="A123" s="61" t="n">
        <v>46032</v>
      </c>
      <c r="B123" s="62" t="inlineStr">
        <is>
          <t>Antes-Projeto</t>
        </is>
      </c>
      <c r="C123" s="63" t="inlineStr">
        <is>
          <t>Atend. Urgência Obs. ≤ 24h</t>
        </is>
      </c>
      <c r="D123" s="64" t="n">
        <v>10</v>
      </c>
      <c r="E123" s="64" t="n">
        <v>52</v>
      </c>
      <c r="F123" s="64" t="n">
        <v>23</v>
      </c>
      <c r="G123" s="64" t="n">
        <v>29</v>
      </c>
      <c r="H123" s="64" t="n">
        <v>24</v>
      </c>
      <c r="I123" s="64" t="n">
        <v>14</v>
      </c>
      <c r="J123" s="64" t="n">
        <v>86</v>
      </c>
      <c r="K123" s="64" t="n">
        <v>136</v>
      </c>
      <c r="L123" s="64" t="n">
        <v>54</v>
      </c>
      <c r="M123" s="64" t="n">
        <v>2</v>
      </c>
      <c r="N123" s="64" t="n">
        <v>34</v>
      </c>
      <c r="O123" s="64" t="n">
        <v>8</v>
      </c>
      <c r="P123" s="64" t="n">
        <v>33</v>
      </c>
    </row>
    <row r="124" ht="15.75" customHeight="1" s="45">
      <c r="A124" s="61" t="n">
        <v>46032</v>
      </c>
      <c r="B124" s="62" t="inlineStr">
        <is>
          <t>Antes-Projeto</t>
        </is>
      </c>
      <c r="C124" s="65" t="inlineStr">
        <is>
          <t>Atend. Médico em UPA</t>
        </is>
      </c>
      <c r="D124" s="66" t="n">
        <v>125</v>
      </c>
      <c r="E124" s="66" t="n">
        <v>111</v>
      </c>
      <c r="F124" s="66" t="n">
        <v>94</v>
      </c>
      <c r="G124" s="66" t="n">
        <v>88</v>
      </c>
      <c r="H124" s="66" t="n">
        <v>69</v>
      </c>
      <c r="I124" s="66" t="n">
        <v>139</v>
      </c>
      <c r="J124" s="66" t="n">
        <v>80</v>
      </c>
      <c r="K124" s="66" t="n">
        <v>149</v>
      </c>
      <c r="L124" s="66" t="n">
        <v>95</v>
      </c>
      <c r="M124" s="66" t="n">
        <v>51</v>
      </c>
      <c r="N124" s="66" t="n">
        <v>158</v>
      </c>
      <c r="O124" s="66" t="n">
        <v>142</v>
      </c>
      <c r="P124" s="66" t="n">
        <v>125</v>
      </c>
    </row>
    <row r="125" ht="15.75" customHeight="1" s="45">
      <c r="A125" s="61" t="n">
        <v>46032</v>
      </c>
      <c r="B125" s="62" t="inlineStr">
        <is>
          <t>Antes-Projeto</t>
        </is>
      </c>
      <c r="C125" s="63" t="inlineStr">
        <is>
          <t>Exames Laboratoriais</t>
        </is>
      </c>
      <c r="D125" s="64" t="n">
        <v>588</v>
      </c>
      <c r="E125" s="64" t="n">
        <v>504</v>
      </c>
      <c r="F125" s="64" t="n">
        <v>467</v>
      </c>
      <c r="G125" s="64" t="n">
        <v>287</v>
      </c>
      <c r="H125" s="64" t="n">
        <v>327</v>
      </c>
      <c r="I125" s="64" t="n">
        <v>288</v>
      </c>
      <c r="J125" s="64" t="n">
        <v>324</v>
      </c>
      <c r="K125" s="64" t="n">
        <v>866</v>
      </c>
      <c r="L125" s="64" t="n">
        <v>451</v>
      </c>
      <c r="M125" s="64" t="n">
        <v>509</v>
      </c>
      <c r="N125" s="64" t="n">
        <v>680</v>
      </c>
      <c r="O125" s="64" t="n">
        <v>306</v>
      </c>
      <c r="P125" s="64" t="n">
        <v>566</v>
      </c>
    </row>
    <row r="126" ht="15.75" customHeight="1" s="45">
      <c r="A126" s="61" t="n">
        <v>46032</v>
      </c>
      <c r="B126" s="62" t="inlineStr">
        <is>
          <t>Antes-Projeto</t>
        </is>
      </c>
      <c r="C126" s="65" t="inlineStr">
        <is>
          <t>Radiografias</t>
        </is>
      </c>
      <c r="D126" s="66" t="n">
        <v>30</v>
      </c>
      <c r="E126" s="66" t="n">
        <v>17</v>
      </c>
      <c r="F126" s="66" t="n">
        <v>21</v>
      </c>
      <c r="G126" s="66" t="n">
        <v>13</v>
      </c>
      <c r="H126" s="66" t="n">
        <v>11</v>
      </c>
      <c r="I126" s="66" t="n">
        <v>19</v>
      </c>
      <c r="J126" s="66" t="n">
        <v>34</v>
      </c>
      <c r="K126" s="66" t="n">
        <v>12</v>
      </c>
      <c r="L126" s="66" t="n">
        <v>21</v>
      </c>
      <c r="M126" s="66" t="n">
        <v>15</v>
      </c>
      <c r="N126" s="66" t="n">
        <v>40</v>
      </c>
      <c r="O126" s="66" t="n">
        <v>27</v>
      </c>
      <c r="P126" s="66" t="n">
        <v>45</v>
      </c>
    </row>
    <row r="127" ht="15.75" customHeight="1" s="45">
      <c r="A127" s="61" t="n">
        <v>46032</v>
      </c>
      <c r="B127" s="62" t="inlineStr">
        <is>
          <t>Antes-Projeto</t>
        </is>
      </c>
      <c r="C127" s="63" t="inlineStr">
        <is>
          <t>Eletrocardiogramas</t>
        </is>
      </c>
      <c r="D127" s="64" t="n">
        <v>13</v>
      </c>
      <c r="E127" s="64" t="n">
        <v>7</v>
      </c>
      <c r="F127" s="64" t="n">
        <v>19</v>
      </c>
      <c r="G127" s="64" t="n">
        <v>12</v>
      </c>
      <c r="H127" s="64" t="n">
        <v>11</v>
      </c>
      <c r="I127" s="64" t="n">
        <v>16</v>
      </c>
      <c r="J127" s="64" t="n">
        <v>9</v>
      </c>
      <c r="K127" s="64" t="n">
        <v>20</v>
      </c>
      <c r="L127" s="64" t="n">
        <v>22</v>
      </c>
      <c r="M127" s="64" t="n">
        <v>20</v>
      </c>
      <c r="N127" s="64" t="n">
        <v>19</v>
      </c>
      <c r="O127" s="64" t="n">
        <v>5</v>
      </c>
      <c r="P127" s="64" t="n">
        <v>26</v>
      </c>
    </row>
    <row r="128" ht="15.75" customHeight="1" s="45">
      <c r="A128" s="61" t="n">
        <v>46032</v>
      </c>
      <c r="B128" s="62" t="inlineStr">
        <is>
          <t>Antes-Projeto</t>
        </is>
      </c>
      <c r="C128" s="68" t="inlineStr">
        <is>
          <t>GAEs Abertas</t>
        </is>
      </c>
      <c r="D128" s="69" t="n">
        <v>179</v>
      </c>
      <c r="E128" s="69" t="n">
        <v>162</v>
      </c>
      <c r="F128" s="69" t="n">
        <v>142</v>
      </c>
      <c r="G128" s="69" t="n">
        <v>116</v>
      </c>
      <c r="H128" s="69" t="n">
        <v>118</v>
      </c>
      <c r="I128" s="69" t="n">
        <v>163</v>
      </c>
      <c r="J128" s="69" t="n">
        <v>116</v>
      </c>
      <c r="K128" s="69" t="n">
        <v>264</v>
      </c>
      <c r="L128" s="69" t="n">
        <v>120</v>
      </c>
      <c r="M128" s="69" t="n">
        <v>130</v>
      </c>
      <c r="N128" s="69" t="n">
        <v>167</v>
      </c>
      <c r="O128" s="69" t="n">
        <v>254</v>
      </c>
      <c r="P128" s="69" t="n">
        <v>179</v>
      </c>
    </row>
    <row r="129" ht="15.75" customHeight="1" s="45">
      <c r="A129" s="61" t="n">
        <v>46032</v>
      </c>
      <c r="B129" s="62" t="inlineStr">
        <is>
          <t>Antes-Projeto</t>
        </is>
      </c>
      <c r="C129" s="68" t="inlineStr">
        <is>
          <t>GAEs Classificadas</t>
        </is>
      </c>
      <c r="D129" s="69" t="n">
        <v>173</v>
      </c>
      <c r="E129" s="69" t="n">
        <v>146</v>
      </c>
      <c r="F129" s="69" t="n">
        <v>137</v>
      </c>
      <c r="G129" s="69" t="n">
        <v>109</v>
      </c>
      <c r="H129" s="69" t="n">
        <v>113</v>
      </c>
      <c r="I129" s="69" t="n">
        <v>156</v>
      </c>
      <c r="J129" s="69" t="n">
        <v>114</v>
      </c>
      <c r="K129" s="69" t="n">
        <v>232</v>
      </c>
      <c r="L129" s="69" t="n">
        <v>109</v>
      </c>
      <c r="M129" s="69" t="n">
        <v>121</v>
      </c>
      <c r="N129" s="69" t="n">
        <v>153</v>
      </c>
      <c r="O129" s="69" t="n">
        <v>240</v>
      </c>
      <c r="P129" s="69" t="n">
        <v>172</v>
      </c>
    </row>
    <row r="130" ht="15.75" customHeight="1" s="45">
      <c r="A130" s="61" t="n">
        <v>46032</v>
      </c>
      <c r="B130" s="62" t="inlineStr">
        <is>
          <t>Antes-Projeto</t>
        </is>
      </c>
      <c r="C130" s="70" t="inlineStr">
        <is>
          <t>Percentual de GAEs abertas classificadas</t>
        </is>
      </c>
      <c r="D130" s="71">
        <f>IFERROR(D129/D128,"-")</f>
        <v/>
      </c>
      <c r="E130" s="71">
        <f>IFERROR(E129/E128,"-")</f>
        <v/>
      </c>
      <c r="F130" s="71">
        <f>IFERROR(F129/F128,"-")</f>
        <v/>
      </c>
      <c r="G130" s="71">
        <f>IFERROR(G129/G128,"-")</f>
        <v/>
      </c>
      <c r="H130" s="71">
        <f>IFERROR(H129/H128,"-")</f>
        <v/>
      </c>
      <c r="I130" s="71">
        <f>IFERROR(I129/I128,"-")</f>
        <v/>
      </c>
      <c r="J130" s="71">
        <f>IFERROR(J129/J128,"-")</f>
        <v/>
      </c>
      <c r="K130" s="71">
        <f>IFERROR(K129/K128,"-")</f>
        <v/>
      </c>
      <c r="L130" s="71">
        <f>IFERROR(L129/L128,"-")</f>
        <v/>
      </c>
      <c r="M130" s="71">
        <f>IFERROR(M129/M128,"-")</f>
        <v/>
      </c>
      <c r="N130" s="71">
        <f>IFERROR(N129/N128,"-")</f>
        <v/>
      </c>
      <c r="O130" s="71">
        <f>IFERROR(O129/O128,"-")</f>
        <v/>
      </c>
      <c r="P130" s="71">
        <f>IFERROR(P129/P128,"-")</f>
        <v/>
      </c>
    </row>
    <row r="131" ht="15.75" customHeight="1" s="45">
      <c r="A131" s="61" t="n">
        <v>46032</v>
      </c>
      <c r="B131" s="62" t="inlineStr">
        <is>
          <t>Antes-Projeto</t>
        </is>
      </c>
      <c r="C131" s="72" t="inlineStr">
        <is>
          <t>Tempo Médio — 🟡 Amarelo (hh:mm)</t>
        </is>
      </c>
      <c r="D131" s="121" t="n">
        <v>0.05302083333333334</v>
      </c>
      <c r="E131" s="121" t="n">
        <v>0.149849537037037</v>
      </c>
      <c r="F131" s="121" t="n">
        <v>0.07431712962962964</v>
      </c>
      <c r="G131" s="121" t="n">
        <v>0.03096064814814815</v>
      </c>
      <c r="H131" s="121" t="n">
        <v>0.0700462962962963</v>
      </c>
      <c r="I131" s="121" t="n">
        <v>0.06550925925925925</v>
      </c>
      <c r="J131" s="121" t="n">
        <v>0.0836574074074074</v>
      </c>
      <c r="K131" s="121" t="n">
        <v>0.1721064814814815</v>
      </c>
      <c r="L131" s="121" t="n">
        <v>0.08082175925925926</v>
      </c>
      <c r="M131" s="121" t="n">
        <v>0.01162037037037037</v>
      </c>
      <c r="N131" s="121" t="n">
        <v>0.1028240740740741</v>
      </c>
      <c r="O131" s="121" t="n">
        <v>0.03979166666666667</v>
      </c>
      <c r="P131" s="121" t="n">
        <v>0.03240740740740741</v>
      </c>
    </row>
    <row r="132" ht="15.75" customHeight="1" s="45">
      <c r="A132" s="61" t="n">
        <v>46032</v>
      </c>
      <c r="B132" s="62" t="inlineStr">
        <is>
          <t>Antes-Projeto</t>
        </is>
      </c>
      <c r="C132" s="74" t="inlineStr">
        <is>
          <t>Tempo Médio — 🟠 Laranja (hh:mm)</t>
        </is>
      </c>
      <c r="D132" s="122" t="n">
        <v>0.007418981481481481</v>
      </c>
      <c r="E132" s="122" t="n">
        <v>0.005462962962962963</v>
      </c>
      <c r="F132" s="122" t="n">
        <v>0.008645833333333333</v>
      </c>
      <c r="G132" s="122" t="n">
        <v>0.006412037037037037</v>
      </c>
      <c r="H132" s="122" t="n">
        <v>0.004861111111111111</v>
      </c>
      <c r="I132" s="122" t="n">
        <v>0.007233796296296296</v>
      </c>
      <c r="J132" s="122" t="n">
        <v>0.01648148148148148</v>
      </c>
      <c r="K132" s="122" t="n">
        <v>0.01707175925925926</v>
      </c>
      <c r="L132" s="122" t="n">
        <v>0.006041666666666667</v>
      </c>
      <c r="M132" s="122" t="n">
        <v>0.01313657407407407</v>
      </c>
      <c r="N132" s="122" t="n">
        <v>0.009490740740740741</v>
      </c>
      <c r="O132" s="122" t="n">
        <v>0.007337962962962963</v>
      </c>
      <c r="P132" s="122" t="n">
        <v>0.00537037037037037</v>
      </c>
    </row>
    <row r="133" ht="15.75" customHeight="1" s="45">
      <c r="A133" s="76" t="n">
        <v>46032</v>
      </c>
      <c r="B133" s="77" t="inlineStr">
        <is>
          <t>Antes-Projeto</t>
        </is>
      </c>
      <c r="C133" s="78" t="inlineStr">
        <is>
          <t>Tempo Médio — 🟢 Verde   (hh:mm)</t>
        </is>
      </c>
      <c r="D133" s="123" t="n">
        <v>0.1114583333333333</v>
      </c>
      <c r="E133" s="123" t="n">
        <v>0.217662037037037</v>
      </c>
      <c r="F133" s="123" t="n">
        <v>0.1582407407407407</v>
      </c>
      <c r="G133" s="123" t="n">
        <v>0.1028240740740741</v>
      </c>
      <c r="H133" s="123" t="n">
        <v>0.06450231481481482</v>
      </c>
      <c r="I133" s="123" t="n">
        <v>0.1939699074074074</v>
      </c>
      <c r="J133" s="123" t="n">
        <v>0.1201157407407407</v>
      </c>
      <c r="K133" s="123" t="n">
        <v>0.1457407407407408</v>
      </c>
      <c r="L133" s="123" t="n">
        <v>0.1238541666666667</v>
      </c>
      <c r="M133" s="123" t="n">
        <v>0.1020601851851852</v>
      </c>
      <c r="N133" s="123" t="n">
        <v>0.1968287037037037</v>
      </c>
      <c r="O133" s="123" t="n">
        <v>0.218125</v>
      </c>
      <c r="P133" s="123" t="n">
        <v>0.09046296296296297</v>
      </c>
    </row>
    <row r="134" ht="15.75" customHeight="1" s="45">
      <c r="A134" s="57" t="n">
        <v>46033</v>
      </c>
      <c r="B134" s="58" t="inlineStr">
        <is>
          <t>Antes-Projeto</t>
        </is>
      </c>
      <c r="C134" s="59" t="inlineStr">
        <is>
          <t>Acolhim. + Atend. Urgência + Atend. UPA</t>
        </is>
      </c>
      <c r="D134" s="60">
        <f>SUM(D135:D137)</f>
        <v/>
      </c>
      <c r="E134" s="60">
        <f>SUM(E135:E137)</f>
        <v/>
      </c>
      <c r="F134" s="60">
        <f>SUM(F135:F137)</f>
        <v/>
      </c>
      <c r="G134" s="60">
        <f>SUM(G135:G137)</f>
        <v/>
      </c>
      <c r="H134" s="60">
        <f>SUM(H135:H137)</f>
        <v/>
      </c>
      <c r="I134" s="60">
        <f>SUM(I135:I137)</f>
        <v/>
      </c>
      <c r="J134" s="60">
        <f>SUM(J135:J137)</f>
        <v/>
      </c>
      <c r="K134" s="60">
        <f>SUM(K135:K137)</f>
        <v/>
      </c>
      <c r="L134" s="60">
        <f>SUM(L135:L137)</f>
        <v/>
      </c>
      <c r="M134" s="60">
        <f>SUM(M135:M137)</f>
        <v/>
      </c>
      <c r="N134" s="60">
        <f>SUM(N135:N137)</f>
        <v/>
      </c>
      <c r="O134" s="60">
        <f>SUM(O135:O137)</f>
        <v/>
      </c>
      <c r="P134" s="60">
        <f>SUM(P135:P137)</f>
        <v/>
      </c>
    </row>
    <row r="135" ht="15.75" customHeight="1" s="45">
      <c r="A135" s="61" t="n">
        <v>46033</v>
      </c>
      <c r="B135" s="62" t="inlineStr">
        <is>
          <t>Antes-Projeto</t>
        </is>
      </c>
      <c r="C135" s="63" t="inlineStr">
        <is>
          <t>Acolhimento c/ Classif. de Risco</t>
        </is>
      </c>
      <c r="D135" s="64" t="n">
        <v>201</v>
      </c>
      <c r="E135" s="64" t="n">
        <v>121</v>
      </c>
      <c r="F135" s="64" t="n">
        <v>128</v>
      </c>
      <c r="G135" s="64" t="n">
        <v>93</v>
      </c>
      <c r="H135" s="64" t="n">
        <v>109</v>
      </c>
      <c r="I135" s="64" t="n">
        <v>161</v>
      </c>
      <c r="J135" s="64" t="n">
        <v>60</v>
      </c>
      <c r="K135" s="64" t="n">
        <v>222</v>
      </c>
      <c r="L135" s="64" t="n">
        <v>117</v>
      </c>
      <c r="M135" s="64" t="n">
        <v>158</v>
      </c>
      <c r="N135" s="64" t="n">
        <v>164</v>
      </c>
      <c r="O135" s="64" t="n">
        <v>202</v>
      </c>
      <c r="P135" s="64" t="n">
        <v>176</v>
      </c>
    </row>
    <row r="136" ht="15.75" customHeight="1" s="45">
      <c r="A136" s="61" t="n">
        <v>46033</v>
      </c>
      <c r="B136" s="62" t="inlineStr">
        <is>
          <t>Antes-Projeto</t>
        </is>
      </c>
      <c r="C136" s="65" t="inlineStr">
        <is>
          <t>Atend. Urgência Obs. ≤ 24h</t>
        </is>
      </c>
      <c r="D136" s="66" t="n">
        <v>35</v>
      </c>
      <c r="E136" s="66" t="n">
        <v>25</v>
      </c>
      <c r="F136" s="66" t="n">
        <v>26</v>
      </c>
      <c r="G136" s="66" t="n">
        <v>1</v>
      </c>
      <c r="H136" s="66" t="n">
        <v>13</v>
      </c>
      <c r="I136" s="66" t="n">
        <v>17</v>
      </c>
      <c r="J136" s="66" t="n">
        <v>23</v>
      </c>
      <c r="K136" s="66" t="n">
        <v>37</v>
      </c>
      <c r="L136" s="66" t="n">
        <v>64</v>
      </c>
      <c r="M136" s="66" t="n">
        <v>40</v>
      </c>
      <c r="N136" s="66" t="n">
        <v>72</v>
      </c>
      <c r="O136" s="66" t="n">
        <v>11</v>
      </c>
      <c r="P136" s="66" t="n">
        <v>54</v>
      </c>
    </row>
    <row r="137" ht="15.75" customHeight="1" s="45">
      <c r="A137" s="61" t="n">
        <v>46033</v>
      </c>
      <c r="B137" s="62" t="inlineStr">
        <is>
          <t>Antes-Projeto</t>
        </is>
      </c>
      <c r="C137" s="63" t="inlineStr">
        <is>
          <t>Atend. Médico em UPA</t>
        </is>
      </c>
      <c r="D137" s="64" t="n">
        <v>116</v>
      </c>
      <c r="E137" s="64" t="n">
        <v>75</v>
      </c>
      <c r="F137" s="64" t="n">
        <v>75</v>
      </c>
      <c r="G137" s="64" t="n">
        <v>28</v>
      </c>
      <c r="H137" s="64" t="n">
        <v>92</v>
      </c>
      <c r="I137" s="64" t="n">
        <v>124</v>
      </c>
      <c r="J137" s="64" t="n">
        <v>44</v>
      </c>
      <c r="K137" s="64" t="n">
        <v>128</v>
      </c>
      <c r="L137" s="64" t="n">
        <v>90</v>
      </c>
      <c r="M137" s="64" t="n">
        <v>121</v>
      </c>
      <c r="N137" s="64" t="n">
        <v>168</v>
      </c>
      <c r="O137" s="64" t="n">
        <v>176</v>
      </c>
      <c r="P137" s="64" t="n">
        <v>71</v>
      </c>
    </row>
    <row r="138" ht="15.75" customHeight="1" s="45">
      <c r="A138" s="61" t="n">
        <v>46033</v>
      </c>
      <c r="B138" s="62" t="inlineStr">
        <is>
          <t>Antes-Projeto</t>
        </is>
      </c>
      <c r="C138" s="65" t="inlineStr">
        <is>
          <t>Exames Laboratoriais</t>
        </is>
      </c>
      <c r="D138" s="66" t="n">
        <v>652</v>
      </c>
      <c r="E138" s="66" t="n">
        <v>265</v>
      </c>
      <c r="F138" s="66" t="n">
        <v>348</v>
      </c>
      <c r="G138" s="66" t="n">
        <v>81</v>
      </c>
      <c r="H138" s="66" t="n">
        <v>307</v>
      </c>
      <c r="I138" s="66" t="n">
        <v>467</v>
      </c>
      <c r="J138" s="66" t="n">
        <v>177</v>
      </c>
      <c r="K138" s="66" t="n">
        <v>940</v>
      </c>
      <c r="L138" s="66" t="n">
        <v>426</v>
      </c>
      <c r="M138" s="66" t="n">
        <v>682</v>
      </c>
      <c r="N138" s="66" t="n">
        <v>771</v>
      </c>
      <c r="O138" s="66" t="n">
        <v>436</v>
      </c>
      <c r="P138" s="66" t="n">
        <v>144</v>
      </c>
    </row>
    <row r="139" ht="15.75" customHeight="1" s="45">
      <c r="A139" s="61" t="n">
        <v>46033</v>
      </c>
      <c r="B139" s="62" t="inlineStr">
        <is>
          <t>Antes-Projeto</t>
        </is>
      </c>
      <c r="C139" s="63" t="inlineStr">
        <is>
          <t>Radiografias</t>
        </is>
      </c>
      <c r="D139" s="64" t="n">
        <v>22</v>
      </c>
      <c r="E139" s="64" t="n">
        <v>5</v>
      </c>
      <c r="F139" s="64" t="n">
        <v>16</v>
      </c>
      <c r="G139" s="64" t="n">
        <v>4</v>
      </c>
      <c r="H139" s="64" t="n">
        <v>10</v>
      </c>
      <c r="I139" s="64" t="n">
        <v>21</v>
      </c>
      <c r="J139" s="64" t="n">
        <v>14</v>
      </c>
      <c r="K139" s="64" t="n">
        <v>20</v>
      </c>
      <c r="L139" s="64" t="n">
        <v>19</v>
      </c>
      <c r="M139" s="64" t="n">
        <v>29</v>
      </c>
      <c r="N139" s="64" t="n">
        <v>26</v>
      </c>
      <c r="O139" s="64" t="n">
        <v>33</v>
      </c>
      <c r="P139" s="64" t="n">
        <v>33</v>
      </c>
    </row>
    <row r="140" ht="15.75" customHeight="1" s="45">
      <c r="A140" s="61" t="n">
        <v>46033</v>
      </c>
      <c r="B140" s="62" t="inlineStr">
        <is>
          <t>Antes-Projeto</t>
        </is>
      </c>
      <c r="C140" s="65" t="inlineStr">
        <is>
          <t>Eletrocardiogramas</t>
        </is>
      </c>
      <c r="D140" s="66" t="n">
        <v>10</v>
      </c>
      <c r="E140" s="66" t="n">
        <v>4</v>
      </c>
      <c r="F140" s="66" t="n">
        <v>19</v>
      </c>
      <c r="G140" s="66" t="n">
        <v>3</v>
      </c>
      <c r="H140" s="66" t="n">
        <v>6</v>
      </c>
      <c r="I140" s="66" t="n">
        <v>15</v>
      </c>
      <c r="J140" s="66" t="n">
        <v>5</v>
      </c>
      <c r="K140" s="66" t="n">
        <v>17</v>
      </c>
      <c r="L140" s="66" t="n">
        <v>13</v>
      </c>
      <c r="M140" s="66" t="n">
        <v>20</v>
      </c>
      <c r="N140" s="66" t="n">
        <v>11</v>
      </c>
      <c r="O140" s="66" t="n">
        <v>15</v>
      </c>
      <c r="P140" s="66" t="n">
        <v>16</v>
      </c>
    </row>
    <row r="141" ht="15.75" customHeight="1" s="45">
      <c r="A141" s="61" t="n">
        <v>46033</v>
      </c>
      <c r="B141" s="62" t="inlineStr">
        <is>
          <t>Antes-Projeto</t>
        </is>
      </c>
      <c r="C141" s="68" t="inlineStr">
        <is>
          <t>GAEs Abertas</t>
        </is>
      </c>
      <c r="D141" s="69" t="n">
        <v>209</v>
      </c>
      <c r="E141" s="69" t="n">
        <v>125</v>
      </c>
      <c r="F141" s="69" t="n">
        <v>134</v>
      </c>
      <c r="G141" s="69" t="n">
        <v>95</v>
      </c>
      <c r="H141" s="69" t="n">
        <v>128</v>
      </c>
      <c r="I141" s="69" t="n">
        <v>163</v>
      </c>
      <c r="J141" s="69" t="n">
        <v>62</v>
      </c>
      <c r="K141" s="69" t="n">
        <v>251</v>
      </c>
      <c r="L141" s="69" t="n">
        <v>123</v>
      </c>
      <c r="M141" s="69" t="n">
        <v>167</v>
      </c>
      <c r="N141" s="69" t="n">
        <v>164</v>
      </c>
      <c r="O141" s="69" t="n">
        <v>218</v>
      </c>
      <c r="P141" s="69" t="n">
        <v>180</v>
      </c>
    </row>
    <row r="142" ht="15.75" customHeight="1" s="45">
      <c r="A142" s="61" t="n">
        <v>46033</v>
      </c>
      <c r="B142" s="62" t="inlineStr">
        <is>
          <t>Antes-Projeto</t>
        </is>
      </c>
      <c r="C142" s="68" t="inlineStr">
        <is>
          <t>GAEs Classificadas</t>
        </is>
      </c>
      <c r="D142" s="69" t="n">
        <v>200</v>
      </c>
      <c r="E142" s="69" t="n">
        <v>120</v>
      </c>
      <c r="F142" s="69" t="n">
        <v>128</v>
      </c>
      <c r="G142" s="69" t="n">
        <v>93</v>
      </c>
      <c r="H142" s="69" t="n">
        <v>103</v>
      </c>
      <c r="I142" s="69" t="n">
        <v>148</v>
      </c>
      <c r="J142" s="69" t="n">
        <v>56</v>
      </c>
      <c r="K142" s="69" t="n">
        <v>222</v>
      </c>
      <c r="L142" s="69" t="n">
        <v>115</v>
      </c>
      <c r="M142" s="69" t="n">
        <v>158</v>
      </c>
      <c r="N142" s="69" t="n">
        <v>157</v>
      </c>
      <c r="O142" s="69" t="n">
        <v>199</v>
      </c>
      <c r="P142" s="69" t="n">
        <v>174</v>
      </c>
    </row>
    <row r="143" ht="15.75" customHeight="1" s="45">
      <c r="A143" s="61" t="n">
        <v>46033</v>
      </c>
      <c r="B143" s="62" t="inlineStr">
        <is>
          <t>Antes-Projeto</t>
        </is>
      </c>
      <c r="C143" s="70" t="inlineStr">
        <is>
          <t>Percentual de GAEs abertas classificadas</t>
        </is>
      </c>
      <c r="D143" s="71">
        <f>IFERROR(D142/D141,"-")</f>
        <v/>
      </c>
      <c r="E143" s="71">
        <f>IFERROR(E142/E141,"-")</f>
        <v/>
      </c>
      <c r="F143" s="71">
        <f>IFERROR(F142/F141,"-")</f>
        <v/>
      </c>
      <c r="G143" s="71">
        <f>IFERROR(G142/G141,"-")</f>
        <v/>
      </c>
      <c r="H143" s="71">
        <f>IFERROR(H142/H141,"-")</f>
        <v/>
      </c>
      <c r="I143" s="71">
        <f>IFERROR(I142/I141,"-")</f>
        <v/>
      </c>
      <c r="J143" s="71">
        <f>IFERROR(J142/J141,"-")</f>
        <v/>
      </c>
      <c r="K143" s="71">
        <f>IFERROR(K142/K141,"-")</f>
        <v/>
      </c>
      <c r="L143" s="71">
        <f>IFERROR(L142/L141,"-")</f>
        <v/>
      </c>
      <c r="M143" s="71">
        <f>IFERROR(M142/M141,"-")</f>
        <v/>
      </c>
      <c r="N143" s="71">
        <f>IFERROR(N142/N141,"-")</f>
        <v/>
      </c>
      <c r="O143" s="71">
        <f>IFERROR(O142/O141,"-")</f>
        <v/>
      </c>
      <c r="P143" s="71">
        <f>IFERROR(P142/P141,"-")</f>
        <v/>
      </c>
    </row>
    <row r="144" ht="15.75" customHeight="1" s="45">
      <c r="A144" s="61" t="n">
        <v>46033</v>
      </c>
      <c r="B144" s="62" t="inlineStr">
        <is>
          <t>Antes-Projeto</t>
        </is>
      </c>
      <c r="C144" s="72" t="inlineStr">
        <is>
          <t>Tempo Médio — 🟡 Amarelo (hh:mm)</t>
        </is>
      </c>
      <c r="D144" s="121" t="n">
        <v>0.09138888888888889</v>
      </c>
      <c r="E144" s="121" t="n">
        <v>0.02219907407407407</v>
      </c>
      <c r="F144" s="121" t="n">
        <v>0.1108796296296296</v>
      </c>
      <c r="G144" s="121" t="n">
        <v>0.01663194444444445</v>
      </c>
      <c r="H144" s="121" t="n">
        <v>0.03988425925925926</v>
      </c>
      <c r="I144" s="121" t="n">
        <v>0.05549768518518518</v>
      </c>
      <c r="J144" s="121" t="n">
        <v>0.2109722222222222</v>
      </c>
      <c r="K144" s="121" t="n">
        <v>0.1730324074074074</v>
      </c>
      <c r="L144" s="121" t="n">
        <v>0.1356365740740741</v>
      </c>
      <c r="M144" s="121" t="n">
        <v>0.02483796296296296</v>
      </c>
      <c r="N144" s="121" t="n">
        <v>0.06923611111111111</v>
      </c>
      <c r="O144" s="121" t="n">
        <v>0.1010300925925926</v>
      </c>
      <c r="P144" s="121" t="n">
        <v>0.1146296296296296</v>
      </c>
    </row>
    <row r="145" ht="15.75" customHeight="1" s="45">
      <c r="A145" s="61" t="n">
        <v>46033</v>
      </c>
      <c r="B145" s="62" t="inlineStr">
        <is>
          <t>Antes-Projeto</t>
        </is>
      </c>
      <c r="C145" s="74" t="inlineStr">
        <is>
          <t>Tempo Médio — 🟠 Laranja (hh:mm)</t>
        </is>
      </c>
      <c r="D145" s="122" t="n">
        <v>0.01351851851851852</v>
      </c>
      <c r="E145" s="122" t="n">
        <v>0.02532407407407408</v>
      </c>
      <c r="F145" s="122" t="n">
        <v>0.01927083333333333</v>
      </c>
      <c r="G145" s="122" t="n">
        <v>0.1120833333333333</v>
      </c>
      <c r="H145" s="122" t="n">
        <v>0.006331018518518519</v>
      </c>
      <c r="I145" s="122" t="n">
        <v>0.006770833333333334</v>
      </c>
      <c r="J145" s="122" t="n">
        <v>0.0128125</v>
      </c>
      <c r="K145" s="122" t="n">
        <v>0.01399305555555556</v>
      </c>
      <c r="L145" s="122" t="n">
        <v>0.01337962962962963</v>
      </c>
      <c r="M145" s="122" t="n">
        <v>0.007951388888888888</v>
      </c>
      <c r="N145" s="122" t="n">
        <v>0.01356481481481481</v>
      </c>
      <c r="O145" s="122" t="n">
        <v>0.01143518518518519</v>
      </c>
      <c r="P145" s="122" t="n">
        <v>0.01128472222222222</v>
      </c>
    </row>
    <row r="146" ht="15.75" customHeight="1" s="45">
      <c r="A146" s="76" t="n">
        <v>46033</v>
      </c>
      <c r="B146" s="77" t="inlineStr">
        <is>
          <t>Antes-Projeto</t>
        </is>
      </c>
      <c r="C146" s="78" t="inlineStr">
        <is>
          <t>Tempo Médio — 🟢 Verde   (hh:mm)</t>
        </is>
      </c>
      <c r="D146" s="123" t="n">
        <v>0.1032060185185185</v>
      </c>
      <c r="E146" s="123" t="n">
        <v>0.03451388888888889</v>
      </c>
      <c r="F146" s="123" t="n">
        <v>0.1779166666666667</v>
      </c>
      <c r="G146" s="123" t="n">
        <v>0.05291666666666667</v>
      </c>
      <c r="H146" s="123" t="n">
        <v>0.1262268518518518</v>
      </c>
      <c r="I146" s="123" t="n">
        <v>0.1768402777777778</v>
      </c>
      <c r="J146" s="123" t="n">
        <v>0.4447685185185185</v>
      </c>
      <c r="K146" s="123" t="n">
        <v>0.09277777777777778</v>
      </c>
      <c r="L146" s="123" t="n">
        <v>0.2986921296296297</v>
      </c>
      <c r="M146" s="123" t="n">
        <v>0.07328703703703704</v>
      </c>
      <c r="N146" s="123" t="n">
        <v>0.09343750000000001</v>
      </c>
      <c r="O146" s="123" t="n">
        <v>0.1765972222222222</v>
      </c>
      <c r="P146" s="123" t="n">
        <v>0.06846064814814815</v>
      </c>
    </row>
    <row r="147" ht="15.75" customHeight="1" s="45">
      <c r="A147" s="57" t="n">
        <v>46034</v>
      </c>
      <c r="B147" s="58" t="inlineStr">
        <is>
          <t>Antes-Projeto</t>
        </is>
      </c>
      <c r="C147" s="59" t="inlineStr">
        <is>
          <t>Acolhim. + Atend. Urgência + Atend. UPA</t>
        </is>
      </c>
      <c r="D147" s="60">
        <f>SUM(D148:D150)</f>
        <v/>
      </c>
      <c r="E147" s="60">
        <f>SUM(E148:E150)</f>
        <v/>
      </c>
      <c r="F147" s="60">
        <f>SUM(F148:F150)</f>
        <v/>
      </c>
      <c r="G147" s="60">
        <f>SUM(G148:G150)</f>
        <v/>
      </c>
      <c r="H147" s="60">
        <f>SUM(H148:H150)</f>
        <v/>
      </c>
      <c r="I147" s="60">
        <f>SUM(I148:I150)</f>
        <v/>
      </c>
      <c r="J147" s="60">
        <f>SUM(J148:J150)</f>
        <v/>
      </c>
      <c r="K147" s="60">
        <f>SUM(K148:K150)</f>
        <v/>
      </c>
      <c r="L147" s="60">
        <f>SUM(L148:L150)</f>
        <v/>
      </c>
      <c r="M147" s="60">
        <f>SUM(M148:M150)</f>
        <v/>
      </c>
      <c r="N147" s="60">
        <f>SUM(N148:N150)</f>
        <v/>
      </c>
      <c r="O147" s="60">
        <f>SUM(O148:O150)</f>
        <v/>
      </c>
      <c r="P147" s="60">
        <f>SUM(P148:P150)</f>
        <v/>
      </c>
    </row>
    <row r="148" ht="15.75" customHeight="1" s="45">
      <c r="A148" s="61" t="n">
        <v>46034</v>
      </c>
      <c r="B148" s="62" t="inlineStr">
        <is>
          <t>Antes-Projeto</t>
        </is>
      </c>
      <c r="C148" s="65" t="inlineStr">
        <is>
          <t>Acolhimento c/ Classif. de Risco</t>
        </is>
      </c>
      <c r="D148" s="66" t="n">
        <v>264</v>
      </c>
      <c r="E148" s="66" t="n">
        <v>175</v>
      </c>
      <c r="F148" s="66" t="n">
        <v>167</v>
      </c>
      <c r="G148" s="66" t="n">
        <v>140</v>
      </c>
      <c r="H148" s="66" t="n">
        <v>134</v>
      </c>
      <c r="I148" s="66" t="n">
        <v>179</v>
      </c>
      <c r="J148" s="66" t="n">
        <v>117</v>
      </c>
      <c r="K148" s="66" t="n">
        <v>285</v>
      </c>
      <c r="L148" s="66" t="n">
        <v>136</v>
      </c>
      <c r="M148" s="66" t="n">
        <v>212</v>
      </c>
      <c r="N148" s="66" t="n">
        <v>216</v>
      </c>
      <c r="O148" s="66" t="n">
        <v>281</v>
      </c>
      <c r="P148" s="66" t="n">
        <v>204</v>
      </c>
    </row>
    <row r="149" ht="15.75" customHeight="1" s="45">
      <c r="A149" s="61" t="n">
        <v>46034</v>
      </c>
      <c r="B149" s="62" t="inlineStr">
        <is>
          <t>Antes-Projeto</t>
        </is>
      </c>
      <c r="C149" s="63" t="inlineStr">
        <is>
          <t>Atend. Urgência Obs. ≤ 24h</t>
        </is>
      </c>
      <c r="D149" s="64" t="n">
        <v>53</v>
      </c>
      <c r="E149" s="64" t="n">
        <v>27</v>
      </c>
      <c r="F149" s="64" t="n">
        <v>23</v>
      </c>
      <c r="G149" s="64" t="n">
        <v>30</v>
      </c>
      <c r="H149" s="64" t="n">
        <v>13</v>
      </c>
      <c r="I149" s="64" t="n">
        <v>26</v>
      </c>
      <c r="J149" s="64" t="n">
        <v>36</v>
      </c>
      <c r="K149" s="64" t="n">
        <v>54</v>
      </c>
      <c r="L149" s="64" t="n">
        <v>61</v>
      </c>
      <c r="M149" s="64" t="n">
        <v>61</v>
      </c>
      <c r="N149" s="64" t="n">
        <v>32</v>
      </c>
      <c r="O149" s="64" t="n">
        <v>12</v>
      </c>
      <c r="P149" s="64" t="n">
        <v>41</v>
      </c>
    </row>
    <row r="150" ht="15.75" customHeight="1" s="45">
      <c r="A150" s="61" t="n">
        <v>46034</v>
      </c>
      <c r="B150" s="62" t="inlineStr">
        <is>
          <t>Antes-Projeto</t>
        </is>
      </c>
      <c r="C150" s="65" t="inlineStr">
        <is>
          <t>Atend. Médico em UPA</t>
        </is>
      </c>
      <c r="D150" s="66" t="n">
        <v>158</v>
      </c>
      <c r="E150" s="66" t="n">
        <v>92</v>
      </c>
      <c r="F150" s="66" t="n">
        <v>79</v>
      </c>
      <c r="G150" s="66" t="n">
        <v>67</v>
      </c>
      <c r="H150" s="66" t="n">
        <v>97</v>
      </c>
      <c r="I150" s="66" t="n">
        <v>144</v>
      </c>
      <c r="J150" s="66" t="n">
        <v>119</v>
      </c>
      <c r="K150" s="66" t="n">
        <v>176</v>
      </c>
      <c r="L150" s="66" t="n">
        <v>66</v>
      </c>
      <c r="M150" s="66" t="n">
        <v>129</v>
      </c>
      <c r="N150" s="66" t="n">
        <v>223</v>
      </c>
      <c r="O150" s="66" t="n">
        <v>217</v>
      </c>
      <c r="P150" s="66" t="n">
        <v>145</v>
      </c>
    </row>
    <row r="151" ht="15.75" customHeight="1" s="45">
      <c r="A151" s="61" t="n">
        <v>46034</v>
      </c>
      <c r="B151" s="62" t="inlineStr">
        <is>
          <t>Antes-Projeto</t>
        </is>
      </c>
      <c r="C151" s="63" t="inlineStr">
        <is>
          <t>Exames Laboratoriais</t>
        </is>
      </c>
      <c r="D151" s="64" t="n">
        <v>784</v>
      </c>
      <c r="E151" s="64" t="n">
        <v>389</v>
      </c>
      <c r="F151" s="64" t="n">
        <v>467</v>
      </c>
      <c r="G151" s="64" t="n">
        <v>365</v>
      </c>
      <c r="H151" s="64" t="n">
        <v>298</v>
      </c>
      <c r="I151" s="64" t="n">
        <v>721</v>
      </c>
      <c r="J151" s="64" t="n">
        <v>367</v>
      </c>
      <c r="K151" s="64" t="n">
        <v>885</v>
      </c>
      <c r="L151" s="64" t="n">
        <v>439</v>
      </c>
      <c r="M151" s="64" t="n">
        <v>626</v>
      </c>
      <c r="N151" s="64" t="n">
        <v>913</v>
      </c>
      <c r="O151" s="64" t="n">
        <v>559</v>
      </c>
      <c r="P151" s="64" t="n">
        <v>616</v>
      </c>
    </row>
    <row r="152" ht="15.75" customHeight="1" s="45">
      <c r="A152" s="61" t="n">
        <v>46034</v>
      </c>
      <c r="B152" s="62" t="inlineStr">
        <is>
          <t>Antes-Projeto</t>
        </is>
      </c>
      <c r="C152" s="65" t="inlineStr">
        <is>
          <t>Radiografias</t>
        </is>
      </c>
      <c r="D152" s="66" t="n">
        <v>20</v>
      </c>
      <c r="E152" s="66" t="n">
        <v>22</v>
      </c>
      <c r="F152" s="66" t="n">
        <v>22</v>
      </c>
      <c r="G152" s="66" t="n">
        <v>17</v>
      </c>
      <c r="H152" s="66" t="n">
        <v>19</v>
      </c>
      <c r="I152" s="66" t="n">
        <v>29</v>
      </c>
      <c r="J152" s="66" t="n">
        <v>20</v>
      </c>
      <c r="K152" s="66" t="n">
        <v>11</v>
      </c>
      <c r="L152" s="66" t="n">
        <v>27</v>
      </c>
      <c r="M152" s="66" t="n">
        <v>37</v>
      </c>
      <c r="N152" s="66" t="n">
        <v>46</v>
      </c>
      <c r="O152" s="66" t="n">
        <v>56</v>
      </c>
      <c r="P152" s="66" t="n">
        <v>62</v>
      </c>
    </row>
    <row r="153" ht="15.75" customHeight="1" s="45">
      <c r="A153" s="61" t="n">
        <v>46034</v>
      </c>
      <c r="B153" s="62" t="inlineStr">
        <is>
          <t>Antes-Projeto</t>
        </is>
      </c>
      <c r="C153" s="63" t="inlineStr">
        <is>
          <t>Eletrocardiogramas</t>
        </is>
      </c>
      <c r="D153" s="64" t="n">
        <v>20</v>
      </c>
      <c r="E153" s="64" t="n">
        <v>16</v>
      </c>
      <c r="F153" s="64" t="n">
        <v>7</v>
      </c>
      <c r="G153" s="64" t="n">
        <v>9</v>
      </c>
      <c r="H153" s="64" t="n">
        <v>10</v>
      </c>
      <c r="I153" s="64" t="n">
        <v>23</v>
      </c>
      <c r="J153" s="64" t="n">
        <v>10</v>
      </c>
      <c r="K153" s="64" t="n">
        <v>27</v>
      </c>
      <c r="L153" s="64" t="n">
        <v>16</v>
      </c>
      <c r="M153" s="64" t="n">
        <v>31</v>
      </c>
      <c r="N153" s="64" t="n">
        <v>21</v>
      </c>
      <c r="O153" s="64" t="n">
        <v>14</v>
      </c>
      <c r="P153" s="64" t="n">
        <v>31</v>
      </c>
    </row>
    <row r="154" ht="15.75" customHeight="1" s="45">
      <c r="A154" s="61" t="n">
        <v>46034</v>
      </c>
      <c r="B154" s="62" t="inlineStr">
        <is>
          <t>Antes-Projeto</t>
        </is>
      </c>
      <c r="C154" s="68" t="inlineStr">
        <is>
          <t>GAEs Abertas</t>
        </is>
      </c>
      <c r="D154" s="69" t="n">
        <v>279</v>
      </c>
      <c r="E154" s="69" t="n">
        <v>179</v>
      </c>
      <c r="F154" s="69" t="n">
        <v>174</v>
      </c>
      <c r="G154" s="69" t="n">
        <v>143</v>
      </c>
      <c r="H154" s="69" t="n">
        <v>137</v>
      </c>
      <c r="I154" s="69" t="n">
        <v>188</v>
      </c>
      <c r="J154" s="69" t="n">
        <v>117</v>
      </c>
      <c r="K154" s="69" t="n">
        <v>305</v>
      </c>
      <c r="L154" s="69" t="n">
        <v>148</v>
      </c>
      <c r="M154" s="69" t="n">
        <v>219</v>
      </c>
      <c r="N154" s="69" t="n">
        <v>216</v>
      </c>
      <c r="O154" s="69" t="n">
        <v>293</v>
      </c>
      <c r="P154" s="69" t="n">
        <v>211</v>
      </c>
    </row>
    <row r="155" ht="15.75" customHeight="1" s="45">
      <c r="A155" s="61" t="n">
        <v>46034</v>
      </c>
      <c r="B155" s="62" t="inlineStr">
        <is>
          <t>Antes-Projeto</t>
        </is>
      </c>
      <c r="C155" s="68" t="inlineStr">
        <is>
          <t>GAEs Classificadas</t>
        </is>
      </c>
      <c r="D155" s="69" t="n">
        <v>264</v>
      </c>
      <c r="E155" s="69" t="n">
        <v>175</v>
      </c>
      <c r="F155" s="69" t="n">
        <v>167</v>
      </c>
      <c r="G155" s="69" t="n">
        <v>140</v>
      </c>
      <c r="H155" s="69" t="n">
        <v>134</v>
      </c>
      <c r="I155" s="69" t="n">
        <v>175</v>
      </c>
      <c r="J155" s="69" t="n">
        <v>113</v>
      </c>
      <c r="K155" s="69" t="n">
        <v>279</v>
      </c>
      <c r="L155" s="69" t="n">
        <v>135</v>
      </c>
      <c r="M155" s="69" t="n">
        <v>210</v>
      </c>
      <c r="N155" s="69" t="n">
        <v>205</v>
      </c>
      <c r="O155" s="69" t="n">
        <v>281</v>
      </c>
      <c r="P155" s="69" t="n">
        <v>204</v>
      </c>
    </row>
    <row r="156" ht="15.75" customHeight="1" s="45">
      <c r="A156" s="61" t="n">
        <v>46034</v>
      </c>
      <c r="B156" s="62" t="inlineStr">
        <is>
          <t>Antes-Projeto</t>
        </is>
      </c>
      <c r="C156" s="70" t="inlineStr">
        <is>
          <t>Percentual de GAEs abertas classificadas</t>
        </is>
      </c>
      <c r="D156" s="71">
        <f>IFERROR(D155/D154,"-")</f>
        <v/>
      </c>
      <c r="E156" s="71">
        <f>IFERROR(E155/E154,"-")</f>
        <v/>
      </c>
      <c r="F156" s="71">
        <f>IFERROR(F155/F154,"-")</f>
        <v/>
      </c>
      <c r="G156" s="71">
        <f>IFERROR(G155/G154,"-")</f>
        <v/>
      </c>
      <c r="H156" s="71">
        <f>IFERROR(H155/H154,"-")</f>
        <v/>
      </c>
      <c r="I156" s="71">
        <f>IFERROR(I155/I154,"-")</f>
        <v/>
      </c>
      <c r="J156" s="71">
        <f>IFERROR(J155/J154,"-")</f>
        <v/>
      </c>
      <c r="K156" s="71">
        <f>IFERROR(K155/K154,"-")</f>
        <v/>
      </c>
      <c r="L156" s="71">
        <f>IFERROR(L155/L154,"-")</f>
        <v/>
      </c>
      <c r="M156" s="71">
        <f>IFERROR(M155/M154,"-")</f>
        <v/>
      </c>
      <c r="N156" s="71">
        <f>IFERROR(N155/N154,"-")</f>
        <v/>
      </c>
      <c r="O156" s="71">
        <f>IFERROR(O155/O154,"-")</f>
        <v/>
      </c>
      <c r="P156" s="71">
        <f>IFERROR(P155/P154,"-")</f>
        <v/>
      </c>
    </row>
    <row r="157" ht="15.75" customHeight="1" s="45">
      <c r="A157" s="61" t="n">
        <v>46034</v>
      </c>
      <c r="B157" s="62" t="inlineStr">
        <is>
          <t>Antes-Projeto</t>
        </is>
      </c>
      <c r="C157" s="72" t="inlineStr">
        <is>
          <t>Tempo Médio — 🟡 Amarelo (hh:mm)</t>
        </is>
      </c>
      <c r="D157" s="121" t="n">
        <v>0.05574074074074074</v>
      </c>
      <c r="E157" s="121" t="n">
        <v>0.06366898148148148</v>
      </c>
      <c r="F157" s="121" t="n">
        <v>0.05311342592592593</v>
      </c>
      <c r="G157" s="121" t="n">
        <v>0.1087037037037037</v>
      </c>
      <c r="H157" s="121" t="n">
        <v>0.06449074074074074</v>
      </c>
      <c r="I157" s="121" t="n">
        <v>0.02577546296296296</v>
      </c>
      <c r="J157" s="121" t="n">
        <v>0.08954861111111111</v>
      </c>
      <c r="K157" s="121" t="n">
        <v>0.1208912037037037</v>
      </c>
      <c r="L157" s="121" t="n">
        <v>0.1706597222222222</v>
      </c>
      <c r="M157" s="121" t="n">
        <v>0.03747685185185185</v>
      </c>
      <c r="N157" s="121" t="n">
        <v>0.0842013888888889</v>
      </c>
      <c r="O157" s="121" t="n">
        <v>0.1013888888888889</v>
      </c>
      <c r="P157" s="121" t="n">
        <v>0.03569444444444445</v>
      </c>
    </row>
    <row r="158" ht="15.75" customHeight="1" s="45">
      <c r="A158" s="61" t="n">
        <v>46034</v>
      </c>
      <c r="B158" s="62" t="inlineStr">
        <is>
          <t>Antes-Projeto</t>
        </is>
      </c>
      <c r="C158" s="74" t="inlineStr">
        <is>
          <t>Tempo Médio — 🟠 Laranja (hh:mm)</t>
        </is>
      </c>
      <c r="D158" s="122" t="n">
        <v>0.008425925925925925</v>
      </c>
      <c r="E158" s="122" t="n">
        <v>0.006979166666666667</v>
      </c>
      <c r="F158" s="122" t="n">
        <v>0.0065625</v>
      </c>
      <c r="G158" s="122" t="n">
        <v>0.006157407407407407</v>
      </c>
      <c r="H158" s="122" t="n">
        <v>0.007997685185185186</v>
      </c>
      <c r="I158" s="122" t="n">
        <v>0.004895833333333334</v>
      </c>
      <c r="J158" s="122" t="n">
        <v>0.03766203703703704</v>
      </c>
      <c r="K158" s="122" t="n">
        <v>0.01789351851851852</v>
      </c>
      <c r="L158" s="122" t="n">
        <v>0.02918981481481481</v>
      </c>
      <c r="M158" s="122" t="n">
        <v>0.009131944444444444</v>
      </c>
      <c r="N158" s="122" t="n">
        <v>0.01871527777777778</v>
      </c>
      <c r="O158" s="122" t="n">
        <v>0.0115625</v>
      </c>
      <c r="P158" s="122" t="n">
        <v>0.0028125</v>
      </c>
    </row>
    <row r="159" ht="15.75" customHeight="1" s="45">
      <c r="A159" s="76" t="n">
        <v>46034</v>
      </c>
      <c r="B159" s="77" t="inlineStr">
        <is>
          <t>Antes-Projeto</t>
        </is>
      </c>
      <c r="C159" s="78" t="inlineStr">
        <is>
          <t>Tempo Médio — 🟢 Verde   (hh:mm)</t>
        </is>
      </c>
      <c r="D159" s="123" t="n">
        <v>0.03524305555555556</v>
      </c>
      <c r="E159" s="123" t="n">
        <v>0.141087962962963</v>
      </c>
      <c r="F159" s="123" t="n">
        <v>0.03321759259259259</v>
      </c>
      <c r="G159" s="123" t="n">
        <v>0.1405555555555555</v>
      </c>
      <c r="H159" s="123" t="n">
        <v>0.1011226851851852</v>
      </c>
      <c r="I159" s="123" t="n">
        <v>0.09784722222222222</v>
      </c>
      <c r="J159" s="123" t="n">
        <v>0.20875</v>
      </c>
      <c r="K159" s="123" t="n">
        <v>0.13625</v>
      </c>
      <c r="L159" s="123" t="n">
        <v>0.1900347222222222</v>
      </c>
      <c r="M159" s="123" t="n">
        <v>0.09688657407407407</v>
      </c>
      <c r="N159" s="123" t="n">
        <v>0.1057175925925926</v>
      </c>
      <c r="O159" s="123" t="n">
        <v>0.09277777777777778</v>
      </c>
      <c r="P159" s="123" t="n">
        <v>0.1139236111111111</v>
      </c>
    </row>
    <row r="160" ht="15.75" customHeight="1" s="45">
      <c r="A160" s="57" t="n">
        <v>46035</v>
      </c>
      <c r="B160" s="58" t="inlineStr">
        <is>
          <t>Antes-Projeto</t>
        </is>
      </c>
      <c r="C160" s="59" t="inlineStr">
        <is>
          <t>Acolhim. + Atend. Urgência + Atend. UPA</t>
        </is>
      </c>
      <c r="D160" s="60">
        <f>SUM(D161:D163)</f>
        <v/>
      </c>
      <c r="E160" s="60">
        <f>SUM(E161:E163)</f>
        <v/>
      </c>
      <c r="F160" s="60">
        <f>SUM(F161:F163)</f>
        <v/>
      </c>
      <c r="G160" s="60">
        <f>SUM(G161:G163)</f>
        <v/>
      </c>
      <c r="H160" s="60">
        <f>SUM(H161:H163)</f>
        <v/>
      </c>
      <c r="I160" s="60">
        <f>SUM(I161:I163)</f>
        <v/>
      </c>
      <c r="J160" s="60">
        <f>SUM(J161:J163)</f>
        <v/>
      </c>
      <c r="K160" s="60">
        <f>SUM(K161:K163)</f>
        <v/>
      </c>
      <c r="L160" s="60">
        <f>SUM(L161:L163)</f>
        <v/>
      </c>
      <c r="M160" s="60">
        <f>SUM(M161:M163)</f>
        <v/>
      </c>
      <c r="N160" s="60">
        <f>SUM(N161:N163)</f>
        <v/>
      </c>
      <c r="O160" s="60">
        <f>SUM(O161:O163)</f>
        <v/>
      </c>
      <c r="P160" s="60">
        <f>SUM(P161:P163)</f>
        <v/>
      </c>
    </row>
    <row r="161" ht="15.75" customHeight="1" s="45">
      <c r="A161" s="61" t="n">
        <v>46035</v>
      </c>
      <c r="B161" s="62" t="inlineStr">
        <is>
          <t>Antes-Projeto</t>
        </is>
      </c>
      <c r="C161" s="63" t="inlineStr">
        <is>
          <t>Acolhimento c/ Classif. de Risco</t>
        </is>
      </c>
      <c r="D161" s="64" t="n">
        <v>231</v>
      </c>
      <c r="E161" s="64" t="n">
        <v>158</v>
      </c>
      <c r="F161" s="64" t="n">
        <v>147</v>
      </c>
      <c r="G161" s="64" t="n">
        <v>133</v>
      </c>
      <c r="H161" s="64" t="n">
        <v>135</v>
      </c>
      <c r="I161" s="64" t="n">
        <v>198</v>
      </c>
      <c r="J161" s="64" t="n">
        <v>111</v>
      </c>
      <c r="K161" s="64" t="n">
        <v>275</v>
      </c>
      <c r="L161" s="64" t="n">
        <v>149</v>
      </c>
      <c r="M161" s="64" t="n">
        <v>175</v>
      </c>
      <c r="N161" s="64" t="n">
        <v>203</v>
      </c>
      <c r="O161" s="64" t="n">
        <v>264</v>
      </c>
      <c r="P161" s="64" t="n">
        <v>187</v>
      </c>
    </row>
    <row r="162" ht="15.75" customHeight="1" s="45">
      <c r="A162" s="61" t="n">
        <v>46035</v>
      </c>
      <c r="B162" s="62" t="inlineStr">
        <is>
          <t>Antes-Projeto</t>
        </is>
      </c>
      <c r="C162" s="65" t="inlineStr">
        <is>
          <t>Atend. Urgência Obs. ≤ 24h</t>
        </is>
      </c>
      <c r="D162" s="66" t="n">
        <v>16</v>
      </c>
      <c r="E162" s="66" t="n">
        <v>24</v>
      </c>
      <c r="F162" s="66" t="n">
        <v>24</v>
      </c>
      <c r="G162" s="66" t="n">
        <v>36</v>
      </c>
      <c r="H162" s="66" t="n">
        <v>27</v>
      </c>
      <c r="I162" s="66" t="n">
        <v>17</v>
      </c>
      <c r="J162" s="66" t="n">
        <v>35</v>
      </c>
      <c r="K162" s="66" t="n">
        <v>51</v>
      </c>
      <c r="L162" s="66" t="n">
        <v>56</v>
      </c>
      <c r="M162" s="66" t="n">
        <v>45</v>
      </c>
      <c r="N162" s="66" t="n">
        <v>36</v>
      </c>
      <c r="O162" s="66" t="n">
        <v>4</v>
      </c>
      <c r="P162" s="66" t="n">
        <v>24</v>
      </c>
    </row>
    <row r="163" ht="15.75" customHeight="1" s="45">
      <c r="A163" s="61" t="n">
        <v>46035</v>
      </c>
      <c r="B163" s="62" t="inlineStr">
        <is>
          <t>Antes-Projeto</t>
        </is>
      </c>
      <c r="C163" s="63" t="inlineStr">
        <is>
          <t>Atend. Médico em UPA</t>
        </is>
      </c>
      <c r="D163" s="64" t="n">
        <v>157</v>
      </c>
      <c r="E163" s="64" t="n">
        <v>122</v>
      </c>
      <c r="F163" s="64" t="n">
        <v>98</v>
      </c>
      <c r="G163" s="64" t="n">
        <v>80</v>
      </c>
      <c r="H163" s="64" t="n">
        <v>108</v>
      </c>
      <c r="I163" s="64" t="n">
        <v>163</v>
      </c>
      <c r="J163" s="64" t="n">
        <v>72</v>
      </c>
      <c r="K163" s="64" t="n">
        <v>215</v>
      </c>
      <c r="L163" s="64" t="n">
        <v>107</v>
      </c>
      <c r="M163" s="64" t="n">
        <v>112</v>
      </c>
      <c r="N163" s="64" t="n">
        <v>191</v>
      </c>
      <c r="O163" s="64" t="n">
        <v>246</v>
      </c>
      <c r="P163" s="64" t="n">
        <v>93</v>
      </c>
    </row>
    <row r="164" ht="15.75" customHeight="1" s="45">
      <c r="A164" s="61" t="n">
        <v>46035</v>
      </c>
      <c r="B164" s="62" t="inlineStr">
        <is>
          <t>Antes-Projeto</t>
        </is>
      </c>
      <c r="C164" s="65" t="inlineStr">
        <is>
          <t>Exames Laboratoriais</t>
        </is>
      </c>
      <c r="D164" s="66" t="n">
        <v>551</v>
      </c>
      <c r="E164" s="66" t="n">
        <v>224</v>
      </c>
      <c r="F164" s="66" t="n">
        <v>677</v>
      </c>
      <c r="G164" s="66" t="n">
        <v>243</v>
      </c>
      <c r="H164" s="66" t="n">
        <v>388</v>
      </c>
      <c r="I164" s="66" t="n">
        <v>448</v>
      </c>
      <c r="J164" s="66" t="n">
        <v>266</v>
      </c>
      <c r="K164" s="66" t="n">
        <v>882</v>
      </c>
      <c r="L164" s="66" t="n">
        <v>474</v>
      </c>
      <c r="M164" s="66" t="n">
        <v>539</v>
      </c>
      <c r="N164" s="66" t="n">
        <v>874</v>
      </c>
      <c r="O164" s="66" t="n">
        <v>382</v>
      </c>
      <c r="P164" s="66" t="n">
        <v>283</v>
      </c>
    </row>
    <row r="165" ht="15.75" customHeight="1" s="45">
      <c r="A165" s="61" t="n">
        <v>46035</v>
      </c>
      <c r="B165" s="62" t="inlineStr">
        <is>
          <t>Antes-Projeto</t>
        </is>
      </c>
      <c r="C165" s="63" t="inlineStr">
        <is>
          <t>Radiografias</t>
        </is>
      </c>
      <c r="D165" s="64" t="n">
        <v>46</v>
      </c>
      <c r="E165" s="64" t="n">
        <v>24</v>
      </c>
      <c r="F165" s="64" t="n">
        <v>46</v>
      </c>
      <c r="G165" s="64" t="n">
        <v>17</v>
      </c>
      <c r="H165" s="64" t="n">
        <v>16</v>
      </c>
      <c r="I165" s="64" t="n">
        <v>23</v>
      </c>
      <c r="J165" s="64" t="n">
        <v>16</v>
      </c>
      <c r="K165" s="64" t="n">
        <v>10</v>
      </c>
      <c r="L165" s="64" t="n">
        <v>18</v>
      </c>
      <c r="M165" s="64" t="n">
        <v>32</v>
      </c>
      <c r="N165" s="64" t="n">
        <v>54</v>
      </c>
      <c r="O165" s="64" t="n">
        <v>54</v>
      </c>
      <c r="P165" s="64" t="n">
        <v>22</v>
      </c>
    </row>
    <row r="166" ht="15.75" customHeight="1" s="45">
      <c r="A166" s="61" t="n">
        <v>46035</v>
      </c>
      <c r="B166" s="62" t="inlineStr">
        <is>
          <t>Antes-Projeto</t>
        </is>
      </c>
      <c r="C166" s="65" t="inlineStr">
        <is>
          <t>Eletrocardiogramas</t>
        </is>
      </c>
      <c r="D166" s="66" t="n">
        <v>17</v>
      </c>
      <c r="E166" s="66" t="n">
        <v>10</v>
      </c>
      <c r="F166" s="66" t="n">
        <v>20</v>
      </c>
      <c r="G166" s="66" t="n">
        <v>2</v>
      </c>
      <c r="H166" s="66" t="n">
        <v>5</v>
      </c>
      <c r="I166" s="66" t="n">
        <v>15</v>
      </c>
      <c r="J166" s="66" t="n">
        <v>7</v>
      </c>
      <c r="K166" s="66" t="n">
        <v>28</v>
      </c>
      <c r="L166" s="66" t="n">
        <v>16</v>
      </c>
      <c r="M166" s="66" t="n">
        <v>13</v>
      </c>
      <c r="N166" s="66" t="n">
        <v>24</v>
      </c>
      <c r="O166" s="66" t="n">
        <v>11</v>
      </c>
      <c r="P166" s="66" t="n">
        <v>18</v>
      </c>
    </row>
    <row r="167" ht="15.75" customHeight="1" s="45">
      <c r="A167" s="61" t="n">
        <v>46035</v>
      </c>
      <c r="B167" s="62" t="inlineStr">
        <is>
          <t>Antes-Projeto</t>
        </is>
      </c>
      <c r="C167" s="68" t="inlineStr">
        <is>
          <t>GAEs Abertas</t>
        </is>
      </c>
      <c r="D167" s="69" t="n">
        <v>255</v>
      </c>
      <c r="E167" s="69" t="n">
        <v>159</v>
      </c>
      <c r="F167" s="69" t="n">
        <v>155</v>
      </c>
      <c r="G167" s="69" t="n">
        <v>136</v>
      </c>
      <c r="H167" s="69" t="n">
        <v>138</v>
      </c>
      <c r="I167" s="69" t="n">
        <v>204</v>
      </c>
      <c r="J167" s="69" t="n">
        <v>112</v>
      </c>
      <c r="K167" s="69" t="n">
        <v>314</v>
      </c>
      <c r="L167" s="69" t="n">
        <v>170</v>
      </c>
      <c r="M167" s="69" t="n">
        <v>184</v>
      </c>
      <c r="N167" s="69" t="n">
        <v>203</v>
      </c>
      <c r="O167" s="69" t="n">
        <v>275</v>
      </c>
      <c r="P167" s="69" t="n">
        <v>192</v>
      </c>
    </row>
    <row r="168" ht="15.75" customHeight="1" s="45">
      <c r="A168" s="61" t="n">
        <v>46035</v>
      </c>
      <c r="B168" s="62" t="inlineStr">
        <is>
          <t>Antes-Projeto</t>
        </is>
      </c>
      <c r="C168" s="68" t="inlineStr">
        <is>
          <t>GAEs Classificadas</t>
        </is>
      </c>
      <c r="D168" s="69" t="n">
        <v>231</v>
      </c>
      <c r="E168" s="69" t="n">
        <v>158</v>
      </c>
      <c r="F168" s="69" t="n">
        <v>147</v>
      </c>
      <c r="G168" s="69" t="n">
        <v>134</v>
      </c>
      <c r="H168" s="69" t="n">
        <v>134</v>
      </c>
      <c r="I168" s="69" t="n">
        <v>198</v>
      </c>
      <c r="J168" s="69" t="n">
        <v>106</v>
      </c>
      <c r="K168" s="69" t="n">
        <v>272</v>
      </c>
      <c r="L168" s="69" t="n">
        <v>149</v>
      </c>
      <c r="M168" s="69" t="n">
        <v>175</v>
      </c>
      <c r="N168" s="69" t="n">
        <v>198</v>
      </c>
      <c r="O168" s="69" t="n">
        <v>263</v>
      </c>
      <c r="P168" s="69" t="n">
        <v>187</v>
      </c>
    </row>
    <row r="169" ht="15.75" customHeight="1" s="45">
      <c r="A169" s="61" t="n">
        <v>46035</v>
      </c>
      <c r="B169" s="62" t="inlineStr">
        <is>
          <t>Antes-Projeto</t>
        </is>
      </c>
      <c r="C169" s="70" t="inlineStr">
        <is>
          <t>Percentual de GAEs abertas classificadas</t>
        </is>
      </c>
      <c r="D169" s="71">
        <f>IFERROR(D168/D167,"-")</f>
        <v/>
      </c>
      <c r="E169" s="71">
        <f>IFERROR(E168/E167,"-")</f>
        <v/>
      </c>
      <c r="F169" s="71">
        <f>IFERROR(F168/F167,"-")</f>
        <v/>
      </c>
      <c r="G169" s="71">
        <f>IFERROR(G168/G167,"-")</f>
        <v/>
      </c>
      <c r="H169" s="71">
        <f>IFERROR(H168/H167,"-")</f>
        <v/>
      </c>
      <c r="I169" s="71">
        <f>IFERROR(I168/I167,"-")</f>
        <v/>
      </c>
      <c r="J169" s="71">
        <f>IFERROR(J168/J167,"-")</f>
        <v/>
      </c>
      <c r="K169" s="71">
        <f>IFERROR(K168/K167,"-")</f>
        <v/>
      </c>
      <c r="L169" s="71">
        <f>IFERROR(L168/L167,"-")</f>
        <v/>
      </c>
      <c r="M169" s="71">
        <f>IFERROR(M168/M167,"-")</f>
        <v/>
      </c>
      <c r="N169" s="71">
        <f>IFERROR(N168/N167,"-")</f>
        <v/>
      </c>
      <c r="O169" s="71">
        <f>IFERROR(O168/O167,"-")</f>
        <v/>
      </c>
      <c r="P169" s="71">
        <f>IFERROR(P168/P167,"-")</f>
        <v/>
      </c>
    </row>
    <row r="170" ht="15.75" customHeight="1" s="45">
      <c r="A170" s="61" t="n">
        <v>46035</v>
      </c>
      <c r="B170" s="62" t="inlineStr">
        <is>
          <t>Antes-Projeto</t>
        </is>
      </c>
      <c r="C170" s="72" t="inlineStr">
        <is>
          <t>Tempo Médio — 🟡 Amarelo (hh:mm)</t>
        </is>
      </c>
      <c r="D170" s="121" t="n">
        <v>0.06682870370370371</v>
      </c>
      <c r="E170" s="121" t="n">
        <v>0.02925925925925926</v>
      </c>
      <c r="F170" s="121" t="n">
        <v>0.1072106481481482</v>
      </c>
      <c r="G170" s="121" t="n">
        <v>0.1016203703703704</v>
      </c>
      <c r="H170" s="121" t="n">
        <v>0.0770949074074074</v>
      </c>
      <c r="I170" s="121" t="n">
        <v>0.08106481481481481</v>
      </c>
      <c r="J170" s="121" t="n">
        <v>0.3207986111111111</v>
      </c>
      <c r="K170" s="121" t="n">
        <v>0.1144212962962963</v>
      </c>
      <c r="L170" s="121" t="n">
        <v>0.1255324074074074</v>
      </c>
      <c r="M170" s="121" t="n">
        <v>0.03054398148148148</v>
      </c>
      <c r="N170" s="121" t="n">
        <v>0.06546296296296296</v>
      </c>
      <c r="O170" s="121" t="n">
        <v>0.04027777777777778</v>
      </c>
      <c r="P170" s="121" t="n">
        <v>0.1254282407407407</v>
      </c>
    </row>
    <row r="171" ht="15.75" customHeight="1" s="45">
      <c r="A171" s="61" t="n">
        <v>46035</v>
      </c>
      <c r="B171" s="62" t="inlineStr">
        <is>
          <t>Antes-Projeto</t>
        </is>
      </c>
      <c r="C171" s="74" t="inlineStr">
        <is>
          <t>Tempo Médio — 🟠 Laranja (hh:mm)</t>
        </is>
      </c>
      <c r="D171" s="122" t="n">
        <v>0.009641203703703704</v>
      </c>
      <c r="E171" s="122" t="n">
        <v>0.006886574074074074</v>
      </c>
      <c r="F171" s="122" t="n">
        <v>0.009710648148148149</v>
      </c>
      <c r="G171" s="122" t="n">
        <v>0.0193287037037037</v>
      </c>
      <c r="H171" s="124" t="n">
        <v>0</v>
      </c>
      <c r="I171" s="122" t="n">
        <v>0.006203703703703703</v>
      </c>
      <c r="J171" s="122" t="n">
        <v>0.01100694444444444</v>
      </c>
      <c r="K171" s="122" t="n">
        <v>0.01625</v>
      </c>
      <c r="L171" s="122" t="n">
        <v>0.01400462962962963</v>
      </c>
      <c r="M171" s="122" t="n">
        <v>0.003657407407407407</v>
      </c>
      <c r="N171" s="122" t="n">
        <v>0.008981481481481481</v>
      </c>
      <c r="O171" s="122" t="n">
        <v>0.007881944444444445</v>
      </c>
      <c r="P171" s="122" t="n">
        <v>0.05332175925925926</v>
      </c>
    </row>
    <row r="172" ht="15.75" customHeight="1" s="45">
      <c r="A172" s="76" t="n">
        <v>46035</v>
      </c>
      <c r="B172" s="77" t="inlineStr">
        <is>
          <t>Antes-Projeto</t>
        </is>
      </c>
      <c r="C172" s="78" t="inlineStr">
        <is>
          <t>Tempo Médio — 🟢 Verde   (hh:mm)</t>
        </is>
      </c>
      <c r="D172" s="123" t="n">
        <v>0.06016203703703703</v>
      </c>
      <c r="E172" s="123" t="n">
        <v>0.05452546296296296</v>
      </c>
      <c r="F172" s="123" t="n">
        <v>0.02167824074074074</v>
      </c>
      <c r="G172" s="123" t="n">
        <v>0.2163657407407407</v>
      </c>
      <c r="H172" s="123" t="n">
        <v>0.1826736111111111</v>
      </c>
      <c r="I172" s="123" t="n">
        <v>0.1099768518518519</v>
      </c>
      <c r="J172" s="123" t="n">
        <v>0.3515162037037037</v>
      </c>
      <c r="K172" s="123" t="n">
        <v>0.1265625</v>
      </c>
      <c r="L172" s="123" t="n">
        <v>0.2159143518518518</v>
      </c>
      <c r="M172" s="123" t="n">
        <v>0.05414351851851852</v>
      </c>
      <c r="N172" s="123" t="n">
        <v>0.1454861111111111</v>
      </c>
      <c r="O172" s="123" t="n">
        <v>0.09302083333333333</v>
      </c>
      <c r="P172" s="123" t="n">
        <v>0.1040393518518519</v>
      </c>
    </row>
    <row r="173" ht="15.75" customHeight="1" s="45">
      <c r="A173" s="57" t="n">
        <v>46036</v>
      </c>
      <c r="B173" s="58" t="inlineStr">
        <is>
          <t>Antes-Projeto</t>
        </is>
      </c>
      <c r="C173" s="59" t="inlineStr">
        <is>
          <t>Acolhim. + Atend. Urgência + Atend. UPA</t>
        </is>
      </c>
      <c r="D173" s="60">
        <f>SUM(D174:D176)</f>
        <v/>
      </c>
      <c r="E173" s="60">
        <f>SUM(E174:E176)</f>
        <v/>
      </c>
      <c r="F173" s="60">
        <f>SUM(F174:F176)</f>
        <v/>
      </c>
      <c r="G173" s="60">
        <f>SUM(G174:G176)</f>
        <v/>
      </c>
      <c r="H173" s="60">
        <f>SUM(H174:H176)</f>
        <v/>
      </c>
      <c r="I173" s="60">
        <f>SUM(I174:I176)</f>
        <v/>
      </c>
      <c r="J173" s="60">
        <f>SUM(J174:J176)</f>
        <v/>
      </c>
      <c r="K173" s="60">
        <f>SUM(K174:K176)</f>
        <v/>
      </c>
      <c r="L173" s="60">
        <f>SUM(L174:L176)</f>
        <v/>
      </c>
      <c r="M173" s="60">
        <f>SUM(M174:M176)</f>
        <v/>
      </c>
      <c r="N173" s="60">
        <f>SUM(N174:N176)</f>
        <v/>
      </c>
      <c r="O173" s="60">
        <f>SUM(O174:O176)</f>
        <v/>
      </c>
      <c r="P173" s="60">
        <f>SUM(P174:P176)</f>
        <v/>
      </c>
    </row>
    <row r="174" ht="15.75" customHeight="1" s="45">
      <c r="A174" s="61" t="n">
        <v>46036</v>
      </c>
      <c r="B174" s="62" t="inlineStr">
        <is>
          <t>Antes-Projeto</t>
        </is>
      </c>
      <c r="C174" s="65" t="inlineStr">
        <is>
          <t>Acolhimento c/ Classif. de Risco</t>
        </is>
      </c>
      <c r="D174" s="66" t="n">
        <v>225</v>
      </c>
      <c r="E174" s="66" t="n">
        <v>166</v>
      </c>
      <c r="F174" s="66" t="n">
        <v>135</v>
      </c>
      <c r="G174" s="66" t="n">
        <v>135</v>
      </c>
      <c r="H174" s="66" t="n">
        <v>136</v>
      </c>
      <c r="I174" s="66" t="n">
        <v>176</v>
      </c>
      <c r="J174" s="66" t="n">
        <v>114</v>
      </c>
      <c r="K174" s="66" t="n">
        <v>234</v>
      </c>
      <c r="L174" s="66" t="n">
        <v>147</v>
      </c>
      <c r="M174" s="66" t="n">
        <v>200</v>
      </c>
      <c r="N174" s="66" t="n">
        <v>209</v>
      </c>
      <c r="O174" s="66" t="n">
        <v>267</v>
      </c>
      <c r="P174" s="66" t="n">
        <v>190</v>
      </c>
    </row>
    <row r="175" ht="15.75" customHeight="1" s="45">
      <c r="A175" s="61" t="n">
        <v>46036</v>
      </c>
      <c r="B175" s="62" t="inlineStr">
        <is>
          <t>Antes-Projeto</t>
        </is>
      </c>
      <c r="C175" s="63" t="inlineStr">
        <is>
          <t>Atend. Urgência Obs. ≤ 24h</t>
        </is>
      </c>
      <c r="D175" s="64" t="n">
        <v>22</v>
      </c>
      <c r="E175" s="64" t="n">
        <v>27</v>
      </c>
      <c r="F175" s="64" t="n">
        <v>25</v>
      </c>
      <c r="G175" s="64" t="n">
        <v>30</v>
      </c>
      <c r="H175" s="64" t="n">
        <v>24</v>
      </c>
      <c r="I175" s="64" t="n">
        <v>42</v>
      </c>
      <c r="J175" s="64" t="n">
        <v>27</v>
      </c>
      <c r="K175" s="64" t="n">
        <v>58</v>
      </c>
      <c r="L175" s="64" t="n">
        <v>61</v>
      </c>
      <c r="M175" s="64" t="n">
        <v>46</v>
      </c>
      <c r="N175" s="64" t="n">
        <v>28</v>
      </c>
      <c r="O175" s="64" t="n">
        <v>10</v>
      </c>
      <c r="P175" s="64" t="n">
        <v>24</v>
      </c>
    </row>
    <row r="176" ht="15.75" customHeight="1" s="45">
      <c r="A176" s="61" t="n">
        <v>46036</v>
      </c>
      <c r="B176" s="62" t="inlineStr">
        <is>
          <t>Antes-Projeto</t>
        </is>
      </c>
      <c r="C176" s="65" t="inlineStr">
        <is>
          <t>Atend. Médico em UPA</t>
        </is>
      </c>
      <c r="D176" s="66" t="n">
        <v>170</v>
      </c>
      <c r="E176" s="66" t="n">
        <v>109</v>
      </c>
      <c r="F176" s="66" t="n">
        <v>84</v>
      </c>
      <c r="G176" s="66" t="n">
        <v>109</v>
      </c>
      <c r="H176" s="66" t="n">
        <v>121</v>
      </c>
      <c r="I176" s="66" t="n">
        <v>148</v>
      </c>
      <c r="J176" s="66" t="n">
        <v>140</v>
      </c>
      <c r="K176" s="66" t="n">
        <v>155</v>
      </c>
      <c r="L176" s="66" t="n">
        <v>102</v>
      </c>
      <c r="M176" s="66" t="n">
        <v>90</v>
      </c>
      <c r="N176" s="66" t="n">
        <v>216</v>
      </c>
      <c r="O176" s="66" t="n">
        <v>174</v>
      </c>
      <c r="P176" s="66" t="n">
        <v>85</v>
      </c>
    </row>
    <row r="177" ht="15.75" customHeight="1" s="45">
      <c r="A177" s="61" t="n">
        <v>46036</v>
      </c>
      <c r="B177" s="62" t="inlineStr">
        <is>
          <t>Antes-Projeto</t>
        </is>
      </c>
      <c r="C177" s="63" t="inlineStr">
        <is>
          <t>Exames Laboratoriais</t>
        </is>
      </c>
      <c r="D177" s="64" t="n">
        <v>969</v>
      </c>
      <c r="E177" s="64" t="n">
        <v>481</v>
      </c>
      <c r="F177" s="64" t="n">
        <v>505</v>
      </c>
      <c r="G177" s="64" t="n">
        <v>300</v>
      </c>
      <c r="H177" s="64" t="n">
        <v>378</v>
      </c>
      <c r="I177" s="64" t="n">
        <v>480</v>
      </c>
      <c r="J177" s="64" t="n">
        <v>368</v>
      </c>
      <c r="K177" s="64" t="n">
        <v>798</v>
      </c>
      <c r="L177" s="64" t="n">
        <v>564</v>
      </c>
      <c r="M177" s="64" t="n">
        <v>491</v>
      </c>
      <c r="N177" s="64" t="n">
        <v>804</v>
      </c>
      <c r="O177" s="64" t="n">
        <v>438</v>
      </c>
      <c r="P177" s="64" t="n">
        <v>494</v>
      </c>
    </row>
    <row r="178" ht="15.75" customHeight="1" s="45">
      <c r="A178" s="61" t="n">
        <v>46036</v>
      </c>
      <c r="B178" s="62" t="inlineStr">
        <is>
          <t>Antes-Projeto</t>
        </is>
      </c>
      <c r="C178" s="65" t="inlineStr">
        <is>
          <t>Radiografias</t>
        </is>
      </c>
      <c r="D178" s="66" t="n">
        <v>40</v>
      </c>
      <c r="E178" s="66" t="n">
        <v>24</v>
      </c>
      <c r="F178" s="66" t="n">
        <v>13</v>
      </c>
      <c r="G178" s="66" t="n">
        <v>16</v>
      </c>
      <c r="H178" s="66" t="n">
        <v>12</v>
      </c>
      <c r="I178" s="66" t="n">
        <v>35</v>
      </c>
      <c r="J178" s="66" t="n">
        <v>14</v>
      </c>
      <c r="K178" s="66" t="n">
        <v>16</v>
      </c>
      <c r="L178" s="66" t="n">
        <v>37</v>
      </c>
      <c r="M178" s="66" t="n">
        <v>57</v>
      </c>
      <c r="N178" s="66" t="n">
        <v>47</v>
      </c>
      <c r="O178" s="66" t="n">
        <v>37</v>
      </c>
      <c r="P178" s="66" t="n">
        <v>25</v>
      </c>
    </row>
    <row r="179" ht="15.75" customHeight="1" s="45">
      <c r="A179" s="61" t="n">
        <v>46036</v>
      </c>
      <c r="B179" s="62" t="inlineStr">
        <is>
          <t>Antes-Projeto</t>
        </is>
      </c>
      <c r="C179" s="63" t="inlineStr">
        <is>
          <t>Eletrocardiogramas</t>
        </is>
      </c>
      <c r="D179" s="64" t="n">
        <v>19</v>
      </c>
      <c r="E179" s="64" t="n">
        <v>26</v>
      </c>
      <c r="F179" s="64" t="n">
        <v>12</v>
      </c>
      <c r="G179" s="64" t="n">
        <v>8</v>
      </c>
      <c r="H179" s="64" t="n">
        <v>10</v>
      </c>
      <c r="I179" s="64" t="n">
        <v>28</v>
      </c>
      <c r="J179" s="64" t="n">
        <v>5</v>
      </c>
      <c r="K179" s="64" t="n">
        <v>25</v>
      </c>
      <c r="L179" s="64" t="n">
        <v>23</v>
      </c>
      <c r="M179" s="64" t="n">
        <v>17</v>
      </c>
      <c r="N179" s="64" t="n">
        <v>27</v>
      </c>
      <c r="O179" s="64" t="n">
        <v>11</v>
      </c>
      <c r="P179" s="64" t="n">
        <v>11</v>
      </c>
    </row>
    <row r="180" ht="15.75" customHeight="1" s="45">
      <c r="A180" s="61" t="n">
        <v>46036</v>
      </c>
      <c r="B180" s="62" t="inlineStr">
        <is>
          <t>Antes-Projeto</t>
        </is>
      </c>
      <c r="C180" s="68" t="inlineStr">
        <is>
          <t>GAEs Abertas</t>
        </is>
      </c>
      <c r="D180" s="69" t="n">
        <v>232</v>
      </c>
      <c r="E180" s="69" t="n">
        <v>171</v>
      </c>
      <c r="F180" s="69" t="n">
        <v>141</v>
      </c>
      <c r="G180" s="69" t="n">
        <v>138</v>
      </c>
      <c r="H180" s="69" t="n">
        <v>140</v>
      </c>
      <c r="I180" s="69" t="n">
        <v>183</v>
      </c>
      <c r="J180" s="69" t="n">
        <v>114</v>
      </c>
      <c r="K180" s="69" t="n">
        <v>270</v>
      </c>
      <c r="L180" s="69" t="n">
        <v>157</v>
      </c>
      <c r="M180" s="69" t="n">
        <v>212</v>
      </c>
      <c r="N180" s="69" t="n">
        <v>209</v>
      </c>
      <c r="O180" s="69" t="n">
        <v>274</v>
      </c>
      <c r="P180" s="69" t="n">
        <v>202</v>
      </c>
    </row>
    <row r="181" ht="15.75" customHeight="1" s="45">
      <c r="A181" s="61" t="n">
        <v>46036</v>
      </c>
      <c r="B181" s="62" t="inlineStr">
        <is>
          <t>Antes-Projeto</t>
        </is>
      </c>
      <c r="C181" s="68" t="inlineStr">
        <is>
          <t>GAEs Classificadas</t>
        </is>
      </c>
      <c r="D181" s="69" t="n">
        <v>225</v>
      </c>
      <c r="E181" s="69" t="n">
        <v>166</v>
      </c>
      <c r="F181" s="69" t="n">
        <v>135</v>
      </c>
      <c r="G181" s="69" t="n">
        <v>135</v>
      </c>
      <c r="H181" s="69" t="n">
        <v>136</v>
      </c>
      <c r="I181" s="69" t="n">
        <v>174</v>
      </c>
      <c r="J181" s="69" t="n">
        <v>111</v>
      </c>
      <c r="K181" s="69" t="n">
        <v>233</v>
      </c>
      <c r="L181" s="69" t="n">
        <v>146</v>
      </c>
      <c r="M181" s="69" t="n">
        <v>201</v>
      </c>
      <c r="N181" s="69" t="n">
        <v>197</v>
      </c>
      <c r="O181" s="69" t="n">
        <v>266</v>
      </c>
      <c r="P181" s="69" t="n">
        <v>189</v>
      </c>
    </row>
    <row r="182" ht="15.75" customHeight="1" s="45">
      <c r="A182" s="61" t="n">
        <v>46036</v>
      </c>
      <c r="B182" s="62" t="inlineStr">
        <is>
          <t>Antes-Projeto</t>
        </is>
      </c>
      <c r="C182" s="70" t="inlineStr">
        <is>
          <t>Percentual de GAEs abertas classificadas</t>
        </is>
      </c>
      <c r="D182" s="71">
        <f>IFERROR(D181/D180,"-")</f>
        <v/>
      </c>
      <c r="E182" s="71">
        <f>IFERROR(E181/E180,"-")</f>
        <v/>
      </c>
      <c r="F182" s="71">
        <f>IFERROR(F181/F180,"-")</f>
        <v/>
      </c>
      <c r="G182" s="71">
        <f>IFERROR(G181/G180,"-")</f>
        <v/>
      </c>
      <c r="H182" s="71">
        <f>IFERROR(H181/H180,"-")</f>
        <v/>
      </c>
      <c r="I182" s="71">
        <f>IFERROR(I181/I180,"-")</f>
        <v/>
      </c>
      <c r="J182" s="71">
        <f>IFERROR(J181/J180,"-")</f>
        <v/>
      </c>
      <c r="K182" s="71">
        <f>IFERROR(K181/K180,"-")</f>
        <v/>
      </c>
      <c r="L182" s="71">
        <f>IFERROR(L181/L180,"-")</f>
        <v/>
      </c>
      <c r="M182" s="71">
        <f>IFERROR(M181/M180,"-")</f>
        <v/>
      </c>
      <c r="N182" s="71">
        <f>IFERROR(N181/N180,"-")</f>
        <v/>
      </c>
      <c r="O182" s="71">
        <f>IFERROR(O181/O180,"-")</f>
        <v/>
      </c>
      <c r="P182" s="71">
        <f>IFERROR(P181/P180,"-")</f>
        <v/>
      </c>
    </row>
    <row r="183" ht="15.75" customHeight="1" s="45">
      <c r="A183" s="61" t="n">
        <v>46036</v>
      </c>
      <c r="B183" s="62" t="inlineStr">
        <is>
          <t>Antes-Projeto</t>
        </is>
      </c>
      <c r="C183" s="72" t="inlineStr">
        <is>
          <t>Tempo Médio — 🟡 Amarelo (hh:mm)</t>
        </is>
      </c>
      <c r="D183" s="121" t="n">
        <v>0.05336805555555556</v>
      </c>
      <c r="E183" s="121" t="n">
        <v>0.9235185185185185</v>
      </c>
      <c r="F183" s="121" t="n">
        <v>0.07819444444444444</v>
      </c>
      <c r="G183" s="121" t="n">
        <v>0.06197916666666667</v>
      </c>
      <c r="H183" s="121" t="n">
        <v>0.04929398148148148</v>
      </c>
      <c r="I183" s="121" t="n">
        <v>0.04821759259259259</v>
      </c>
      <c r="J183" s="121" t="n">
        <v>0.1531828703703704</v>
      </c>
      <c r="K183" s="121" t="n">
        <v>0.1047337962962963</v>
      </c>
      <c r="L183" s="121" t="n">
        <v>0.1268171296296296</v>
      </c>
      <c r="M183" s="121" t="n">
        <v>0.03681712962962963</v>
      </c>
      <c r="N183" s="121" t="n">
        <v>0.03704861111111111</v>
      </c>
      <c r="O183" s="121" t="n">
        <v>0.1393055555555555</v>
      </c>
      <c r="P183" s="121" t="n">
        <v>0.158275462962963</v>
      </c>
    </row>
    <row r="184" ht="15.75" customHeight="1" s="45">
      <c r="A184" s="61" t="n">
        <v>46036</v>
      </c>
      <c r="B184" s="62" t="inlineStr">
        <is>
          <t>Antes-Projeto</t>
        </is>
      </c>
      <c r="C184" s="74" t="inlineStr">
        <is>
          <t>Tempo Médio — 🟠 Laranja (hh:mm)</t>
        </is>
      </c>
      <c r="D184" s="122" t="n">
        <v>0.01001157407407407</v>
      </c>
      <c r="E184" s="122" t="n">
        <v>0.02651620370370371</v>
      </c>
      <c r="F184" s="122" t="n">
        <v>0.005960648148148148</v>
      </c>
      <c r="G184" s="122" t="n">
        <v>0.01119212962962963</v>
      </c>
      <c r="H184" s="122" t="n">
        <v>0.008206018518518519</v>
      </c>
      <c r="I184" s="122" t="n">
        <v>0.006678240740740741</v>
      </c>
      <c r="J184" s="122" t="n">
        <v>0.009953703703703704</v>
      </c>
      <c r="K184" s="122" t="n">
        <v>0.01893518518518519</v>
      </c>
      <c r="L184" s="122" t="n">
        <v>0.02017361111111111</v>
      </c>
      <c r="M184" s="122" t="n">
        <v>0.009699074074074074</v>
      </c>
      <c r="N184" s="122" t="n">
        <v>0.008912037037037038</v>
      </c>
      <c r="O184" s="122" t="n">
        <v>0.0108912037037037</v>
      </c>
      <c r="P184" s="122" t="n">
        <v>0.01391203703703704</v>
      </c>
    </row>
    <row r="185" ht="15.75" customHeight="1" s="45">
      <c r="A185" s="76" t="n">
        <v>46036</v>
      </c>
      <c r="B185" s="77" t="inlineStr">
        <is>
          <t>Antes-Projeto</t>
        </is>
      </c>
      <c r="C185" s="78" t="inlineStr">
        <is>
          <t>Tempo Médio — 🟢 Verde   (hh:mm)</t>
        </is>
      </c>
      <c r="D185" s="123" t="n">
        <v>0.07759259259259259</v>
      </c>
      <c r="E185" s="123" t="n">
        <v>0.1268402777777778</v>
      </c>
      <c r="F185" s="123" t="n">
        <v>0.07819444444444444</v>
      </c>
      <c r="G185" s="123" t="n">
        <v>0.1140393518518519</v>
      </c>
      <c r="H185" s="123" t="n">
        <v>0.07693287037037037</v>
      </c>
      <c r="I185" s="123" t="n">
        <v>0.07496527777777778</v>
      </c>
      <c r="J185" s="123" t="n">
        <v>0.2158101851851852</v>
      </c>
      <c r="K185" s="123" t="n">
        <v>0.07773148148148148</v>
      </c>
      <c r="L185" s="123" t="n">
        <v>0.1915625</v>
      </c>
      <c r="M185" s="123" t="n">
        <v>0.0262037037037037</v>
      </c>
      <c r="N185" s="123" t="n">
        <v>0.0605787037037037</v>
      </c>
      <c r="O185" s="123" t="n">
        <v>0.2168171296296296</v>
      </c>
      <c r="P185" s="123" t="n">
        <v>0.126875</v>
      </c>
    </row>
    <row r="186" ht="15.75" customHeight="1" s="45">
      <c r="A186" s="57" t="n">
        <v>46037</v>
      </c>
      <c r="B186" s="58" t="inlineStr">
        <is>
          <t>Antes-Projeto</t>
        </is>
      </c>
      <c r="C186" s="59" t="inlineStr">
        <is>
          <t>Acolhim. + Atend. Urgência + Atend. UPA</t>
        </is>
      </c>
      <c r="D186" s="60">
        <f>SUM(D187:D189)</f>
        <v/>
      </c>
      <c r="E186" s="60">
        <f>SUM(E187:E189)</f>
        <v/>
      </c>
      <c r="F186" s="60">
        <f>SUM(F187:F189)</f>
        <v/>
      </c>
      <c r="G186" s="60">
        <f>SUM(G187:G189)</f>
        <v/>
      </c>
      <c r="H186" s="60">
        <f>SUM(H187:H189)</f>
        <v/>
      </c>
      <c r="I186" s="60">
        <f>SUM(I187:I189)</f>
        <v/>
      </c>
      <c r="J186" s="60">
        <f>SUM(J187:J189)</f>
        <v/>
      </c>
      <c r="K186" s="60">
        <f>SUM(K187:K189)</f>
        <v/>
      </c>
      <c r="L186" s="60">
        <f>SUM(L187:L189)</f>
        <v/>
      </c>
      <c r="M186" s="60">
        <f>SUM(M187:M189)</f>
        <v/>
      </c>
      <c r="N186" s="60">
        <f>SUM(N187:N189)</f>
        <v/>
      </c>
      <c r="O186" s="60">
        <f>SUM(O187:O189)</f>
        <v/>
      </c>
      <c r="P186" s="60">
        <f>SUM(P187:P189)</f>
        <v/>
      </c>
    </row>
    <row r="187" ht="15.75" customHeight="1" s="45">
      <c r="A187" s="61" t="n">
        <v>46037</v>
      </c>
      <c r="B187" s="62" t="inlineStr">
        <is>
          <t>Antes-Projeto</t>
        </is>
      </c>
      <c r="C187" s="63" t="inlineStr">
        <is>
          <t>Acolhimento c/ Classif. de Risco</t>
        </is>
      </c>
      <c r="D187" s="64" t="n">
        <v>220</v>
      </c>
      <c r="E187" s="64" t="n">
        <v>145</v>
      </c>
      <c r="F187" s="64" t="n">
        <v>149</v>
      </c>
      <c r="G187" s="64" t="n">
        <v>144</v>
      </c>
      <c r="H187" s="64" t="n">
        <v>154</v>
      </c>
      <c r="I187" s="64" t="n">
        <v>184</v>
      </c>
      <c r="J187" s="64" t="n">
        <v>66</v>
      </c>
      <c r="K187" s="64" t="n">
        <v>258</v>
      </c>
      <c r="L187" s="64" t="n">
        <v>139</v>
      </c>
      <c r="M187" s="64" t="n">
        <v>171</v>
      </c>
      <c r="N187" s="64" t="n">
        <v>202</v>
      </c>
      <c r="O187" s="64" t="n">
        <v>245</v>
      </c>
      <c r="P187" s="64" t="n">
        <v>195</v>
      </c>
    </row>
    <row r="188" ht="15.75" customHeight="1" s="45">
      <c r="A188" s="61" t="n">
        <v>46037</v>
      </c>
      <c r="B188" s="62" t="inlineStr">
        <is>
          <t>Antes-Projeto</t>
        </is>
      </c>
      <c r="C188" s="65" t="inlineStr">
        <is>
          <t>Atend. Urgência Obs. ≤ 24h</t>
        </is>
      </c>
      <c r="D188" s="66" t="n">
        <v>22</v>
      </c>
      <c r="E188" s="66" t="n">
        <v>39</v>
      </c>
      <c r="F188" s="66" t="n">
        <v>26</v>
      </c>
      <c r="G188" s="66" t="n">
        <v>49</v>
      </c>
      <c r="H188" s="66" t="n">
        <v>66</v>
      </c>
      <c r="I188" s="66" t="n">
        <v>21</v>
      </c>
      <c r="J188" s="66" t="n">
        <v>25</v>
      </c>
      <c r="K188" s="66" t="n">
        <v>91</v>
      </c>
      <c r="L188" s="66" t="n">
        <v>49</v>
      </c>
      <c r="M188" s="66" t="n">
        <v>31</v>
      </c>
      <c r="N188" s="66" t="n">
        <v>32</v>
      </c>
      <c r="O188" s="66" t="n">
        <v>5</v>
      </c>
      <c r="P188" s="66" t="n">
        <v>29</v>
      </c>
    </row>
    <row r="189" ht="15.75" customHeight="1" s="45">
      <c r="A189" s="61" t="n">
        <v>46037</v>
      </c>
      <c r="B189" s="62" t="inlineStr">
        <is>
          <t>Antes-Projeto</t>
        </is>
      </c>
      <c r="C189" s="63" t="inlineStr">
        <is>
          <t>Atend. Médico em UPA</t>
        </is>
      </c>
      <c r="D189" s="64" t="n">
        <v>180</v>
      </c>
      <c r="E189" s="64" t="n">
        <v>101</v>
      </c>
      <c r="F189" s="64" t="n">
        <v>103</v>
      </c>
      <c r="G189" s="64" t="n">
        <v>109</v>
      </c>
      <c r="H189" s="64" t="n">
        <v>140</v>
      </c>
      <c r="I189" s="64" t="n">
        <v>160</v>
      </c>
      <c r="J189" s="64" t="n">
        <v>27</v>
      </c>
      <c r="K189" s="64" t="n">
        <v>169</v>
      </c>
      <c r="L189" s="64" t="n">
        <v>105</v>
      </c>
      <c r="M189" s="64" t="n">
        <v>99</v>
      </c>
      <c r="N189" s="64" t="n">
        <v>204</v>
      </c>
      <c r="O189" s="64" t="n">
        <v>230</v>
      </c>
      <c r="P189" s="64" t="n">
        <v>152</v>
      </c>
    </row>
    <row r="190" ht="15.75" customHeight="1" s="45">
      <c r="A190" s="61" t="n">
        <v>46037</v>
      </c>
      <c r="B190" s="62" t="inlineStr">
        <is>
          <t>Antes-Projeto</t>
        </is>
      </c>
      <c r="C190" s="65" t="inlineStr">
        <is>
          <t>Exames Laboratoriais</t>
        </is>
      </c>
      <c r="D190" s="66" t="n">
        <v>667</v>
      </c>
      <c r="E190" s="66" t="n">
        <v>337</v>
      </c>
      <c r="F190" s="66" t="n">
        <v>539</v>
      </c>
      <c r="G190" s="66" t="n">
        <v>280</v>
      </c>
      <c r="H190" s="66" t="n">
        <v>402</v>
      </c>
      <c r="I190" s="66" t="n">
        <v>533</v>
      </c>
      <c r="J190" s="66" t="n">
        <v>181</v>
      </c>
      <c r="K190" s="66" t="n">
        <v>1023</v>
      </c>
      <c r="L190" s="66" t="n">
        <v>625</v>
      </c>
      <c r="M190" s="66" t="n">
        <v>486</v>
      </c>
      <c r="N190" s="66" t="n">
        <v>624</v>
      </c>
      <c r="O190" s="66" t="n">
        <v>409</v>
      </c>
      <c r="P190" s="66" t="n">
        <v>484</v>
      </c>
    </row>
    <row r="191" ht="15.75" customHeight="1" s="45">
      <c r="A191" s="61" t="n">
        <v>46037</v>
      </c>
      <c r="B191" s="62" t="inlineStr">
        <is>
          <t>Antes-Projeto</t>
        </is>
      </c>
      <c r="C191" s="63" t="inlineStr">
        <is>
          <t>Radiografias</t>
        </is>
      </c>
      <c r="D191" s="64" t="n">
        <v>31</v>
      </c>
      <c r="E191" s="64" t="n">
        <v>22</v>
      </c>
      <c r="F191" s="64" t="n">
        <v>30</v>
      </c>
      <c r="G191" s="64" t="n">
        <v>17</v>
      </c>
      <c r="H191" s="64" t="n">
        <v>19</v>
      </c>
      <c r="I191" s="64" t="n">
        <v>26</v>
      </c>
      <c r="J191" s="64" t="n">
        <v>9</v>
      </c>
      <c r="K191" s="64" t="n">
        <v>18</v>
      </c>
      <c r="L191" s="64" t="n">
        <v>34</v>
      </c>
      <c r="M191" s="64" t="n">
        <v>37</v>
      </c>
      <c r="N191" s="64" t="n">
        <v>42</v>
      </c>
      <c r="O191" s="64" t="n">
        <v>51</v>
      </c>
      <c r="P191" s="64" t="n">
        <v>38</v>
      </c>
    </row>
    <row r="192" ht="15.75" customHeight="1" s="45">
      <c r="A192" s="61" t="n">
        <v>46037</v>
      </c>
      <c r="B192" s="62" t="inlineStr">
        <is>
          <t>Antes-Projeto</t>
        </is>
      </c>
      <c r="C192" s="65" t="inlineStr">
        <is>
          <t>Eletrocardiogramas</t>
        </is>
      </c>
      <c r="D192" s="66" t="n">
        <v>11</v>
      </c>
      <c r="E192" s="66" t="n">
        <v>17</v>
      </c>
      <c r="F192" s="66" t="n">
        <v>19</v>
      </c>
      <c r="G192" s="66" t="n">
        <v>17</v>
      </c>
      <c r="H192" s="66" t="n">
        <v>8</v>
      </c>
      <c r="I192" s="66" t="n">
        <v>9</v>
      </c>
      <c r="J192" s="66" t="n">
        <v>2</v>
      </c>
      <c r="K192" s="66" t="n">
        <v>23</v>
      </c>
      <c r="L192" s="66" t="n">
        <v>20</v>
      </c>
      <c r="M192" s="66" t="n">
        <v>18</v>
      </c>
      <c r="N192" s="66" t="n">
        <v>18</v>
      </c>
      <c r="O192" s="66" t="n">
        <v>14</v>
      </c>
      <c r="P192" s="66" t="n">
        <v>26</v>
      </c>
    </row>
    <row r="193" ht="15.75" customHeight="1" s="45">
      <c r="A193" s="61" t="n">
        <v>46037</v>
      </c>
      <c r="B193" s="62" t="inlineStr">
        <is>
          <t>Antes-Projeto</t>
        </is>
      </c>
      <c r="C193" s="68" t="inlineStr">
        <is>
          <t>GAEs Abertas</t>
        </is>
      </c>
      <c r="D193" s="69" t="n">
        <v>230</v>
      </c>
      <c r="E193" s="69" t="n">
        <v>148</v>
      </c>
      <c r="F193" s="69" t="n">
        <v>153</v>
      </c>
      <c r="G193" s="69" t="n">
        <v>144</v>
      </c>
      <c r="H193" s="69" t="n">
        <v>155</v>
      </c>
      <c r="I193" s="69" t="n">
        <v>188</v>
      </c>
      <c r="J193" s="69" t="n">
        <v>73</v>
      </c>
      <c r="K193" s="69" t="n">
        <v>285</v>
      </c>
      <c r="L193" s="69" t="n">
        <v>154</v>
      </c>
      <c r="M193" s="69" t="n">
        <v>181</v>
      </c>
      <c r="N193" s="69" t="n">
        <v>202</v>
      </c>
      <c r="O193" s="69" t="n">
        <v>252</v>
      </c>
      <c r="P193" s="69" t="n">
        <v>207</v>
      </c>
    </row>
    <row r="194" ht="15.75" customHeight="1" s="45">
      <c r="A194" s="61" t="n">
        <v>46037</v>
      </c>
      <c r="B194" s="62" t="inlineStr">
        <is>
          <t>Antes-Projeto</t>
        </is>
      </c>
      <c r="C194" s="68" t="inlineStr">
        <is>
          <t>GAEs Classificadas</t>
        </is>
      </c>
      <c r="D194" s="69" t="n">
        <v>220</v>
      </c>
      <c r="E194" s="69" t="n">
        <v>145</v>
      </c>
      <c r="F194" s="69" t="n">
        <v>150</v>
      </c>
      <c r="G194" s="69" t="n">
        <v>142</v>
      </c>
      <c r="H194" s="69" t="n">
        <v>152</v>
      </c>
      <c r="I194" s="69" t="n">
        <v>178</v>
      </c>
      <c r="J194" s="69" t="n">
        <v>66</v>
      </c>
      <c r="K194" s="69" t="n">
        <v>256</v>
      </c>
      <c r="L194" s="69" t="n">
        <v>140</v>
      </c>
      <c r="M194" s="69" t="n">
        <v>169</v>
      </c>
      <c r="N194" s="69" t="n">
        <v>189</v>
      </c>
      <c r="O194" s="69" t="n">
        <v>245</v>
      </c>
      <c r="P194" s="69" t="n">
        <v>195</v>
      </c>
    </row>
    <row r="195" ht="15.75" customHeight="1" s="45">
      <c r="A195" s="61" t="n">
        <v>46037</v>
      </c>
      <c r="B195" s="62" t="inlineStr">
        <is>
          <t>Antes-Projeto</t>
        </is>
      </c>
      <c r="C195" s="70" t="inlineStr">
        <is>
          <t>Percentual de GAEs abertas classificadas</t>
        </is>
      </c>
      <c r="D195" s="71">
        <f>IFERROR(D194/D193,"-")</f>
        <v/>
      </c>
      <c r="E195" s="71">
        <f>IFERROR(E194/E193,"-")</f>
        <v/>
      </c>
      <c r="F195" s="71">
        <f>IFERROR(F194/F193,"-")</f>
        <v/>
      </c>
      <c r="G195" s="71">
        <f>IFERROR(G194/G193,"-")</f>
        <v/>
      </c>
      <c r="H195" s="71">
        <f>IFERROR(H194/H193,"-")</f>
        <v/>
      </c>
      <c r="I195" s="71">
        <f>IFERROR(I194/I193,"-")</f>
        <v/>
      </c>
      <c r="J195" s="71">
        <f>IFERROR(J194/J193,"-")</f>
        <v/>
      </c>
      <c r="K195" s="71">
        <f>IFERROR(K194/K193,"-")</f>
        <v/>
      </c>
      <c r="L195" s="71">
        <f>IFERROR(L194/L193,"-")</f>
        <v/>
      </c>
      <c r="M195" s="71">
        <f>IFERROR(M194/M193,"-")</f>
        <v/>
      </c>
      <c r="N195" s="71">
        <f>IFERROR(N194/N193,"-")</f>
        <v/>
      </c>
      <c r="O195" s="71">
        <f>IFERROR(O194/O193,"-")</f>
        <v/>
      </c>
      <c r="P195" s="71">
        <f>IFERROR(P194/P193,"-")</f>
        <v/>
      </c>
    </row>
    <row r="196" ht="15.75" customHeight="1" s="45">
      <c r="A196" s="61" t="n">
        <v>46037</v>
      </c>
      <c r="B196" s="62" t="inlineStr">
        <is>
          <t>Antes-Projeto</t>
        </is>
      </c>
      <c r="C196" s="72" t="inlineStr">
        <is>
          <t>Tempo Médio — 🟡 Amarelo (hh:mm)</t>
        </is>
      </c>
      <c r="D196" s="121" t="n">
        <v>0.04548611111111111</v>
      </c>
      <c r="E196" s="121" t="n">
        <v>0.06327546296296296</v>
      </c>
      <c r="F196" s="121" t="n">
        <v>0.05623842592592593</v>
      </c>
      <c r="G196" s="121" t="n">
        <v>0.03803240740740741</v>
      </c>
      <c r="H196" s="121" t="n">
        <v>0.04153935185185186</v>
      </c>
      <c r="I196" s="121" t="n">
        <v>0.05898148148148148</v>
      </c>
      <c r="J196" s="121" t="n">
        <v>0.3731712962962963</v>
      </c>
      <c r="K196" s="121" t="n">
        <v>0.1144097222222222</v>
      </c>
      <c r="L196" s="121" t="n">
        <v>0.1223726851851852</v>
      </c>
      <c r="M196" s="121" t="n">
        <v>0.02008101851851852</v>
      </c>
      <c r="N196" s="121" t="n">
        <v>0.04702546296296296</v>
      </c>
      <c r="O196" s="121" t="n">
        <v>0.03527777777777778</v>
      </c>
      <c r="P196" s="121" t="n">
        <v>0.09428240740740741</v>
      </c>
    </row>
    <row r="197" ht="15.75" customHeight="1" s="45">
      <c r="A197" s="61" t="n">
        <v>46037</v>
      </c>
      <c r="B197" s="62" t="inlineStr">
        <is>
          <t>Antes-Projeto</t>
        </is>
      </c>
      <c r="C197" s="74" t="inlineStr">
        <is>
          <t>Tempo Médio — 🟠 Laranja (hh:mm)</t>
        </is>
      </c>
      <c r="D197" s="122" t="n">
        <v>0.006388888888888889</v>
      </c>
      <c r="E197" s="122" t="n">
        <v>0.009722222222222222</v>
      </c>
      <c r="F197" s="122" t="n">
        <v>0.005104166666666667</v>
      </c>
      <c r="G197" s="122" t="n">
        <v>0.005462962962962963</v>
      </c>
      <c r="H197" s="122" t="n">
        <v>0.004016203703703704</v>
      </c>
      <c r="I197" s="122" t="n">
        <v>0.004710648148148148</v>
      </c>
      <c r="J197" s="122" t="n">
        <v>0.05096064814814815</v>
      </c>
      <c r="K197" s="122" t="n">
        <v>0.008923611111111111</v>
      </c>
      <c r="L197" s="122" t="n">
        <v>0.01302083333333333</v>
      </c>
      <c r="M197" s="122" t="n">
        <v>0.005138888888888889</v>
      </c>
      <c r="N197" s="122" t="n">
        <v>0.01509259259259259</v>
      </c>
      <c r="O197" s="122" t="n">
        <v>0.01083333333333333</v>
      </c>
      <c r="P197" s="122" t="n">
        <v>0.01503472222222222</v>
      </c>
    </row>
    <row r="198" ht="15.75" customHeight="1" s="45">
      <c r="A198" s="76" t="n">
        <v>46037</v>
      </c>
      <c r="B198" s="77" t="inlineStr">
        <is>
          <t>Antes-Projeto</t>
        </is>
      </c>
      <c r="C198" s="78" t="inlineStr">
        <is>
          <t>Tempo Médio — 🟢 Verde   (hh:mm)</t>
        </is>
      </c>
      <c r="D198" s="123" t="n">
        <v>0.07792824074074074</v>
      </c>
      <c r="E198" s="123" t="n">
        <v>0.1232986111111111</v>
      </c>
      <c r="F198" s="123" t="n">
        <v>0.08425925925925926</v>
      </c>
      <c r="G198" s="123" t="n">
        <v>0.1623263888888889</v>
      </c>
      <c r="H198" s="123" t="n">
        <v>0.1913194444444444</v>
      </c>
      <c r="I198" s="123" t="n">
        <v>0.1708796296296296</v>
      </c>
      <c r="J198" s="123" t="n">
        <v>0.4384490740740741</v>
      </c>
      <c r="K198" s="123" t="n">
        <v>0.07291666666666667</v>
      </c>
      <c r="L198" s="123" t="n">
        <v>0.1955902777777778</v>
      </c>
      <c r="M198" s="123" t="n">
        <v>0.06620370370370371</v>
      </c>
      <c r="N198" s="123" t="n">
        <v>0.1112615740740741</v>
      </c>
      <c r="O198" s="123" t="n">
        <v>0.05700231481481482</v>
      </c>
      <c r="P198" s="123" t="n">
        <v>0.121400462962963</v>
      </c>
    </row>
    <row r="199" ht="15.75" customHeight="1" s="45">
      <c r="A199" s="57" t="n">
        <v>46038</v>
      </c>
      <c r="B199" s="58" t="inlineStr">
        <is>
          <t>Antes-Projeto</t>
        </is>
      </c>
      <c r="C199" s="59" t="inlineStr">
        <is>
          <t>Acolhim. + Atend. Urgência + Atend. UPA</t>
        </is>
      </c>
      <c r="D199" s="60">
        <f>SUM(D200:D202)</f>
        <v/>
      </c>
      <c r="E199" s="60">
        <f>SUM(E200:E202)</f>
        <v/>
      </c>
      <c r="F199" s="60">
        <f>SUM(F200:F202)</f>
        <v/>
      </c>
      <c r="G199" s="60">
        <f>SUM(G200:G202)</f>
        <v/>
      </c>
      <c r="H199" s="60">
        <f>SUM(H200:H202)</f>
        <v/>
      </c>
      <c r="I199" s="60">
        <f>SUM(I200:I202)</f>
        <v/>
      </c>
      <c r="J199" s="60">
        <f>SUM(J200:J202)</f>
        <v/>
      </c>
      <c r="K199" s="60">
        <f>SUM(K200:K202)</f>
        <v/>
      </c>
      <c r="L199" s="60">
        <f>SUM(L200:L202)</f>
        <v/>
      </c>
      <c r="M199" s="60">
        <f>SUM(M200:M202)</f>
        <v/>
      </c>
      <c r="N199" s="60">
        <f>SUM(N200:N202)</f>
        <v/>
      </c>
      <c r="O199" s="60">
        <f>SUM(O200:O202)</f>
        <v/>
      </c>
      <c r="P199" s="60">
        <f>SUM(P200:P202)</f>
        <v/>
      </c>
    </row>
    <row r="200" ht="15.75" customHeight="1" s="45">
      <c r="A200" s="61" t="n">
        <v>46038</v>
      </c>
      <c r="B200" s="62" t="inlineStr">
        <is>
          <t>Antes-Projeto</t>
        </is>
      </c>
      <c r="C200" s="65" t="inlineStr">
        <is>
          <t>Acolhimento c/ Classif. de Risco</t>
        </is>
      </c>
      <c r="D200" s="66" t="n">
        <v>192</v>
      </c>
      <c r="E200" s="66" t="n">
        <v>109</v>
      </c>
      <c r="F200" s="66" t="n">
        <v>97</v>
      </c>
      <c r="G200" s="66" t="n">
        <v>116</v>
      </c>
      <c r="H200" s="66" t="n">
        <v>86</v>
      </c>
      <c r="I200" s="66" t="n">
        <v>87</v>
      </c>
      <c r="J200" s="66" t="n">
        <v>77</v>
      </c>
      <c r="K200" s="66" t="n">
        <v>137</v>
      </c>
      <c r="L200" s="66" t="n">
        <v>83</v>
      </c>
      <c r="M200" s="66" t="n">
        <v>136</v>
      </c>
      <c r="N200" s="66" t="n">
        <v>166</v>
      </c>
      <c r="O200" s="66" t="n">
        <v>159</v>
      </c>
      <c r="P200" s="66" t="n">
        <v>185</v>
      </c>
    </row>
    <row r="201" ht="15.75" customHeight="1" s="45">
      <c r="A201" s="61" t="n">
        <v>46038</v>
      </c>
      <c r="B201" s="62" t="inlineStr">
        <is>
          <t>Antes-Projeto</t>
        </is>
      </c>
      <c r="C201" s="63" t="inlineStr">
        <is>
          <t>Atend. Urgência Obs. ≤ 24h</t>
        </is>
      </c>
      <c r="D201" s="64" t="n">
        <v>50</v>
      </c>
      <c r="E201" s="64" t="n">
        <v>55</v>
      </c>
      <c r="F201" s="64" t="n">
        <v>35</v>
      </c>
      <c r="G201" s="64" t="n">
        <v>40</v>
      </c>
      <c r="H201" s="64" t="n">
        <v>33</v>
      </c>
      <c r="I201" s="64" t="n">
        <v>26</v>
      </c>
      <c r="J201" s="64" t="n">
        <v>37</v>
      </c>
      <c r="K201" s="64" t="n">
        <v>89</v>
      </c>
      <c r="L201" s="64" t="n">
        <v>36</v>
      </c>
      <c r="M201" s="64" t="n">
        <v>37</v>
      </c>
      <c r="N201" s="64" t="n">
        <v>37</v>
      </c>
      <c r="O201" s="64" t="n">
        <v>12</v>
      </c>
      <c r="P201" s="64" t="n">
        <v>64</v>
      </c>
    </row>
    <row r="202" ht="15.75" customHeight="1" s="45">
      <c r="A202" s="61" t="n">
        <v>46038</v>
      </c>
      <c r="B202" s="62" t="inlineStr">
        <is>
          <t>Antes-Projeto</t>
        </is>
      </c>
      <c r="C202" s="65" t="inlineStr">
        <is>
          <t>Atend. Médico em UPA</t>
        </is>
      </c>
      <c r="D202" s="66" t="n">
        <v>172</v>
      </c>
      <c r="E202" s="66" t="n">
        <v>52</v>
      </c>
      <c r="F202" s="66" t="n">
        <v>52</v>
      </c>
      <c r="G202" s="66" t="n">
        <v>71</v>
      </c>
      <c r="H202" s="66" t="n">
        <v>74</v>
      </c>
      <c r="I202" s="66" t="n">
        <v>92</v>
      </c>
      <c r="J202" s="66" t="n">
        <v>46</v>
      </c>
      <c r="K202" s="66" t="n">
        <v>97</v>
      </c>
      <c r="L202" s="66" t="n">
        <v>73</v>
      </c>
      <c r="M202" s="66" t="n">
        <v>56</v>
      </c>
      <c r="N202" s="66" t="n">
        <v>168</v>
      </c>
      <c r="O202" s="66" t="n">
        <v>157</v>
      </c>
      <c r="P202" s="66" t="n">
        <v>97</v>
      </c>
    </row>
    <row r="203" ht="15.75" customHeight="1" s="45">
      <c r="A203" s="61" t="n">
        <v>46038</v>
      </c>
      <c r="B203" s="62" t="inlineStr">
        <is>
          <t>Antes-Projeto</t>
        </is>
      </c>
      <c r="C203" s="63" t="inlineStr">
        <is>
          <t>Exames Laboratoriais</t>
        </is>
      </c>
      <c r="D203" s="64" t="n">
        <v>335</v>
      </c>
      <c r="E203" s="64" t="n">
        <v>307</v>
      </c>
      <c r="F203" s="64" t="n">
        <v>426</v>
      </c>
      <c r="G203" s="64" t="n">
        <v>219</v>
      </c>
      <c r="H203" s="64" t="n">
        <v>359</v>
      </c>
      <c r="I203" s="64" t="n">
        <v>496</v>
      </c>
      <c r="J203" s="64" t="n">
        <v>305</v>
      </c>
      <c r="K203" s="64" t="n">
        <v>896</v>
      </c>
      <c r="L203" s="64" t="n">
        <v>494</v>
      </c>
      <c r="M203" s="64" t="n">
        <v>433</v>
      </c>
      <c r="N203" s="64" t="n">
        <v>561</v>
      </c>
      <c r="O203" s="64" t="n">
        <v>406</v>
      </c>
      <c r="P203" s="64" t="n">
        <v>640</v>
      </c>
    </row>
    <row r="204" ht="15.75" customHeight="1" s="45">
      <c r="A204" s="61" t="n">
        <v>46038</v>
      </c>
      <c r="B204" s="62" t="inlineStr">
        <is>
          <t>Antes-Projeto</t>
        </is>
      </c>
      <c r="C204" s="65" t="inlineStr">
        <is>
          <t>Radiografias</t>
        </is>
      </c>
      <c r="D204" s="66" t="n">
        <v>27</v>
      </c>
      <c r="E204" s="66" t="n">
        <v>13</v>
      </c>
      <c r="F204" s="66" t="n">
        <v>13</v>
      </c>
      <c r="G204" s="66" t="n">
        <v>15</v>
      </c>
      <c r="H204" s="66" t="n">
        <v>14</v>
      </c>
      <c r="I204" s="66" t="n">
        <v>9</v>
      </c>
      <c r="J204" s="66" t="n">
        <v>18</v>
      </c>
      <c r="K204" s="66" t="n">
        <v>6</v>
      </c>
      <c r="L204" s="66" t="n">
        <v>23</v>
      </c>
      <c r="M204" s="66" t="n">
        <v>28</v>
      </c>
      <c r="N204" s="66" t="n">
        <v>34</v>
      </c>
      <c r="O204" s="66" t="n">
        <v>27</v>
      </c>
      <c r="P204" s="66" t="n">
        <v>28</v>
      </c>
    </row>
    <row r="205" ht="15.75" customHeight="1" s="45">
      <c r="A205" s="61" t="n">
        <v>46038</v>
      </c>
      <c r="B205" s="62" t="inlineStr">
        <is>
          <t>Antes-Projeto</t>
        </is>
      </c>
      <c r="C205" s="63" t="inlineStr">
        <is>
          <t>Eletrocardiogramas</t>
        </is>
      </c>
      <c r="D205" s="64" t="n">
        <v>6</v>
      </c>
      <c r="E205" s="64" t="n">
        <v>6</v>
      </c>
      <c r="F205" s="64" t="n">
        <v>8</v>
      </c>
      <c r="G205" s="64" t="n">
        <v>13</v>
      </c>
      <c r="H205" s="64" t="n">
        <v>5</v>
      </c>
      <c r="I205" s="64" t="n">
        <v>12</v>
      </c>
      <c r="J205" s="64" t="n">
        <v>4</v>
      </c>
      <c r="K205" s="64" t="n">
        <v>14</v>
      </c>
      <c r="L205" s="64" t="n">
        <v>17</v>
      </c>
      <c r="M205" s="64" t="n">
        <v>10</v>
      </c>
      <c r="N205" s="64" t="n">
        <v>17</v>
      </c>
      <c r="O205" s="64" t="n">
        <v>14</v>
      </c>
      <c r="P205" s="64" t="n">
        <v>20</v>
      </c>
    </row>
    <row r="206" ht="15.75" customHeight="1" s="45">
      <c r="A206" s="61" t="n">
        <v>46038</v>
      </c>
      <c r="B206" s="62" t="inlineStr">
        <is>
          <t>Antes-Projeto</t>
        </is>
      </c>
      <c r="C206" s="68" t="inlineStr">
        <is>
          <t>GAEs Abertas</t>
        </is>
      </c>
      <c r="D206" s="69" t="n">
        <v>195</v>
      </c>
      <c r="E206" s="69" t="n">
        <v>121</v>
      </c>
      <c r="F206" s="69" t="n">
        <v>108</v>
      </c>
      <c r="G206" s="69" t="n">
        <v>121</v>
      </c>
      <c r="H206" s="69" t="n">
        <v>89</v>
      </c>
      <c r="I206" s="69" t="n">
        <v>87</v>
      </c>
      <c r="J206" s="69" t="n">
        <v>80</v>
      </c>
      <c r="K206" s="69" t="n">
        <v>170</v>
      </c>
      <c r="L206" s="69" t="n">
        <v>90</v>
      </c>
      <c r="M206" s="69" t="n">
        <v>142</v>
      </c>
      <c r="N206" s="69" t="n">
        <v>166</v>
      </c>
      <c r="O206" s="69" t="n">
        <v>167</v>
      </c>
      <c r="P206" s="69" t="n">
        <v>186</v>
      </c>
    </row>
    <row r="207" ht="15.75" customHeight="1" s="45">
      <c r="A207" s="61" t="n">
        <v>46038</v>
      </c>
      <c r="B207" s="62" t="inlineStr">
        <is>
          <t>Antes-Projeto</t>
        </is>
      </c>
      <c r="C207" s="68" t="inlineStr">
        <is>
          <t>GAEs Classificadas</t>
        </is>
      </c>
      <c r="D207" s="69" t="n">
        <v>192</v>
      </c>
      <c r="E207" s="69" t="n">
        <v>109</v>
      </c>
      <c r="F207" s="69" t="n">
        <v>96</v>
      </c>
      <c r="G207" s="69" t="n">
        <v>116</v>
      </c>
      <c r="H207" s="69" t="n">
        <v>84</v>
      </c>
      <c r="I207" s="69" t="n">
        <v>87</v>
      </c>
      <c r="J207" s="69" t="n">
        <v>77</v>
      </c>
      <c r="K207" s="69" t="n">
        <v>137</v>
      </c>
      <c r="L207" s="69" t="n">
        <v>81</v>
      </c>
      <c r="M207" s="69" t="n">
        <v>135</v>
      </c>
      <c r="N207" s="69" t="n">
        <v>149</v>
      </c>
      <c r="O207" s="69" t="n">
        <v>157</v>
      </c>
      <c r="P207" s="69" t="n">
        <v>185</v>
      </c>
    </row>
    <row r="208" ht="15.75" customHeight="1" s="45">
      <c r="A208" s="61" t="n">
        <v>46038</v>
      </c>
      <c r="B208" s="62" t="inlineStr">
        <is>
          <t>Antes-Projeto</t>
        </is>
      </c>
      <c r="C208" s="70" t="inlineStr">
        <is>
          <t>Percentual de GAEs abertas classificadas</t>
        </is>
      </c>
      <c r="D208" s="71">
        <f>IFERROR(D207/D206,"-")</f>
        <v/>
      </c>
      <c r="E208" s="71">
        <f>IFERROR(E207/E206,"-")</f>
        <v/>
      </c>
      <c r="F208" s="71">
        <f>IFERROR(F207/F206,"-")</f>
        <v/>
      </c>
      <c r="G208" s="71">
        <f>IFERROR(G207/G206,"-")</f>
        <v/>
      </c>
      <c r="H208" s="71">
        <f>IFERROR(H207/H206,"-")</f>
        <v/>
      </c>
      <c r="I208" s="71">
        <f>IFERROR(I207/I206,"-")</f>
        <v/>
      </c>
      <c r="J208" s="71">
        <f>IFERROR(J207/J206,"-")</f>
        <v/>
      </c>
      <c r="K208" s="71">
        <f>IFERROR(K207/K206,"-")</f>
        <v/>
      </c>
      <c r="L208" s="71">
        <f>IFERROR(L207/L206,"-")</f>
        <v/>
      </c>
      <c r="M208" s="71">
        <f>IFERROR(M207/M206,"-")</f>
        <v/>
      </c>
      <c r="N208" s="71">
        <f>IFERROR(N207/N206,"-")</f>
        <v/>
      </c>
      <c r="O208" s="71">
        <f>IFERROR(O207/O206,"-")</f>
        <v/>
      </c>
      <c r="P208" s="71">
        <f>IFERROR(P207/P206,"-")</f>
        <v/>
      </c>
    </row>
    <row r="209" ht="15.75" customHeight="1" s="45">
      <c r="A209" s="61" t="n">
        <v>46038</v>
      </c>
      <c r="B209" s="62" t="inlineStr">
        <is>
          <t>Antes-Projeto</t>
        </is>
      </c>
      <c r="C209" s="72" t="inlineStr">
        <is>
          <t>Tempo Médio — 🟡 Amarelo (hh:mm)</t>
        </is>
      </c>
      <c r="D209" s="121" t="n">
        <v>0.05487268518518518</v>
      </c>
      <c r="E209" s="121" t="n">
        <v>0.05460648148148148</v>
      </c>
      <c r="F209" s="121" t="n">
        <v>0.08033564814814814</v>
      </c>
      <c r="G209" s="121" t="n">
        <v>0.3845717592592592</v>
      </c>
      <c r="H209" s="121" t="n">
        <v>0.07537037037037037</v>
      </c>
      <c r="I209" s="121" t="n">
        <v>0.05810185185185185</v>
      </c>
      <c r="J209" s="121" t="n">
        <v>0.3430555555555556</v>
      </c>
      <c r="K209" s="121" t="n">
        <v>0.7029050925925926</v>
      </c>
      <c r="L209" s="121" t="n">
        <v>0.3107291666666667</v>
      </c>
      <c r="M209" s="121" t="n">
        <v>0.04803240740740741</v>
      </c>
      <c r="N209" s="121" t="n">
        <v>0.20625</v>
      </c>
      <c r="O209" s="121" t="n">
        <v>0.04005787037037037</v>
      </c>
      <c r="P209" s="121" t="n">
        <v>0.1152777777777778</v>
      </c>
    </row>
    <row r="210" ht="15.75" customHeight="1" s="45">
      <c r="A210" s="61" t="n">
        <v>46038</v>
      </c>
      <c r="B210" s="62" t="inlineStr">
        <is>
          <t>Antes-Projeto</t>
        </is>
      </c>
      <c r="C210" s="74" t="inlineStr">
        <is>
          <t>Tempo Médio — 🟠 Laranja (hh:mm)</t>
        </is>
      </c>
      <c r="D210" s="122" t="n">
        <v>0.007476851851851852</v>
      </c>
      <c r="E210" s="122" t="n">
        <v>0.005856481481481482</v>
      </c>
      <c r="F210" s="122" t="n">
        <v>0.00525462962962963</v>
      </c>
      <c r="G210" s="122" t="n">
        <v>0.00537037037037037</v>
      </c>
      <c r="H210" s="122" t="n">
        <v>0.008553240740740741</v>
      </c>
      <c r="I210" s="122" t="n">
        <v>0.043125</v>
      </c>
      <c r="J210" s="122" t="n">
        <v>0.006400462962962963</v>
      </c>
      <c r="K210" s="122" t="n">
        <v>0.01321759259259259</v>
      </c>
      <c r="L210" s="122" t="n">
        <v>0.009722222222222222</v>
      </c>
      <c r="M210" s="122" t="n">
        <v>0.01679398148148148</v>
      </c>
      <c r="N210" s="122" t="n">
        <v>0.05508101851851852</v>
      </c>
      <c r="O210" s="122" t="n">
        <v>0.005416666666666667</v>
      </c>
      <c r="P210" s="122" t="n">
        <v>0.01212962962962963</v>
      </c>
    </row>
    <row r="211" ht="15.75" customHeight="1" s="45">
      <c r="A211" s="76" t="n">
        <v>46038</v>
      </c>
      <c r="B211" s="77" t="inlineStr">
        <is>
          <t>Antes-Projeto</t>
        </is>
      </c>
      <c r="C211" s="78" t="inlineStr">
        <is>
          <t>Tempo Médio — 🟢 Verde   (hh:mm)</t>
        </is>
      </c>
      <c r="D211" s="123" t="n">
        <v>0.06548611111111111</v>
      </c>
      <c r="E211" s="123" t="n">
        <v>0.1959375</v>
      </c>
      <c r="F211" s="123" t="n">
        <v>0.05443287037037037</v>
      </c>
      <c r="G211" s="123" t="n">
        <v>0.6297337962962963</v>
      </c>
      <c r="H211" s="123" t="n">
        <v>0.1496412037037037</v>
      </c>
      <c r="I211" s="123" t="n">
        <v>0.06538194444444445</v>
      </c>
      <c r="J211" s="123" t="n">
        <v>0.6215277777777778</v>
      </c>
      <c r="K211" s="123" t="n">
        <v>0.07734953703703704</v>
      </c>
      <c r="L211" s="123" t="n">
        <v>0.1379861111111111</v>
      </c>
      <c r="M211" s="123" t="n">
        <v>0.6912731481481481</v>
      </c>
      <c r="N211" s="123" t="n">
        <v>0.4879513888888889</v>
      </c>
      <c r="O211" s="123" t="n">
        <v>0.07640046296296296</v>
      </c>
      <c r="P211" s="123" t="n">
        <v>0.2442592592592593</v>
      </c>
    </row>
    <row r="212" ht="15.75" customHeight="1" s="45">
      <c r="A212" s="57" t="n">
        <v>46039</v>
      </c>
      <c r="B212" s="58" t="inlineStr">
        <is>
          <t>Antes-Projeto</t>
        </is>
      </c>
      <c r="C212" s="59" t="inlineStr">
        <is>
          <t>Acolhim. + Atend. Urgência + Atend. UPA</t>
        </is>
      </c>
      <c r="D212" s="60">
        <f>SUM(D213:D215)</f>
        <v/>
      </c>
      <c r="E212" s="60">
        <f>SUM(E213:E215)</f>
        <v/>
      </c>
      <c r="F212" s="60">
        <f>SUM(F213:F215)</f>
        <v/>
      </c>
      <c r="G212" s="60">
        <f>SUM(G213:G215)</f>
        <v/>
      </c>
      <c r="H212" s="60">
        <f>SUM(H213:H215)</f>
        <v/>
      </c>
      <c r="I212" s="60">
        <f>SUM(I213:I215)</f>
        <v/>
      </c>
      <c r="J212" s="60">
        <f>SUM(J213:J215)</f>
        <v/>
      </c>
      <c r="K212" s="60">
        <f>SUM(K213:K215)</f>
        <v/>
      </c>
      <c r="L212" s="60">
        <f>SUM(L213:L215)</f>
        <v/>
      </c>
      <c r="M212" s="60">
        <f>SUM(M213:M215)</f>
        <v/>
      </c>
      <c r="N212" s="60">
        <f>SUM(N213:N215)</f>
        <v/>
      </c>
      <c r="O212" s="60">
        <f>SUM(O213:O215)</f>
        <v/>
      </c>
      <c r="P212" s="60">
        <f>SUM(P213:P215)</f>
        <v/>
      </c>
    </row>
    <row r="213" ht="15.75" customHeight="1" s="45">
      <c r="A213" s="61" t="n">
        <v>46039</v>
      </c>
      <c r="B213" s="62" t="inlineStr">
        <is>
          <t>Antes-Projeto</t>
        </is>
      </c>
      <c r="C213" s="63" t="inlineStr">
        <is>
          <t>Acolhimento c/ Classif. de Risco</t>
        </is>
      </c>
      <c r="D213" s="64" t="n">
        <v>16</v>
      </c>
      <c r="E213" s="64" t="n">
        <v>6</v>
      </c>
      <c r="F213" s="64" t="n">
        <v>11</v>
      </c>
      <c r="G213" s="64" t="n">
        <v>13</v>
      </c>
      <c r="H213" s="64" t="n">
        <v>3</v>
      </c>
      <c r="I213" s="64" t="n">
        <v>12</v>
      </c>
      <c r="J213" s="64" t="n">
        <v>8</v>
      </c>
      <c r="K213" s="64" t="n">
        <v>24</v>
      </c>
      <c r="L213" s="64" t="n">
        <v>56</v>
      </c>
      <c r="M213" s="64" t="n">
        <v>15</v>
      </c>
      <c r="N213" s="64" t="n">
        <v>106</v>
      </c>
      <c r="O213" s="64" t="n">
        <v>13</v>
      </c>
      <c r="P213" s="64" t="n">
        <v>12</v>
      </c>
    </row>
    <row r="214" ht="15.75" customHeight="1" s="45">
      <c r="A214" s="61" t="n">
        <v>46039</v>
      </c>
      <c r="B214" s="62" t="inlineStr">
        <is>
          <t>Antes-Projeto</t>
        </is>
      </c>
      <c r="C214" s="65" t="inlineStr">
        <is>
          <t>Atend. Urgência Obs. ≤ 24h</t>
        </is>
      </c>
      <c r="D214" s="66" t="n">
        <v>16</v>
      </c>
      <c r="E214" s="66" t="n">
        <v>46</v>
      </c>
      <c r="F214" s="66" t="n">
        <v>42</v>
      </c>
      <c r="G214" s="66" t="n">
        <v>33</v>
      </c>
      <c r="H214" s="66" t="n">
        <v>24</v>
      </c>
      <c r="I214" s="66" t="n">
        <v>25</v>
      </c>
      <c r="J214" s="66" t="n">
        <v>23</v>
      </c>
      <c r="K214" s="66" t="n">
        <v>53</v>
      </c>
      <c r="L214" s="66" t="n">
        <v>27</v>
      </c>
      <c r="M214" s="66" t="n">
        <v>59</v>
      </c>
      <c r="N214" s="66" t="n">
        <v>59</v>
      </c>
      <c r="O214" s="66" t="n">
        <v>10</v>
      </c>
      <c r="P214" s="66" t="n">
        <v>43</v>
      </c>
    </row>
    <row r="215" ht="15.75" customHeight="1" s="45">
      <c r="A215" s="61" t="n">
        <v>46039</v>
      </c>
      <c r="B215" s="62" t="inlineStr">
        <is>
          <t>Antes-Projeto</t>
        </is>
      </c>
      <c r="C215" s="63" t="inlineStr">
        <is>
          <t>Atend. Médico em UPA</t>
        </is>
      </c>
      <c r="D215" s="64" t="n">
        <v>7</v>
      </c>
      <c r="E215" s="64" t="n">
        <v>2</v>
      </c>
      <c r="F215" s="64" t="n">
        <v>2</v>
      </c>
      <c r="G215" s="64" t="n">
        <v>2</v>
      </c>
      <c r="H215" s="64" t="n">
        <v>3</v>
      </c>
      <c r="I215" s="64" t="n">
        <v>16</v>
      </c>
      <c r="J215" s="64" t="n">
        <v>17</v>
      </c>
      <c r="K215" s="64" t="n">
        <v>22</v>
      </c>
      <c r="L215" s="64" t="n">
        <v>30</v>
      </c>
      <c r="M215" s="64" t="n">
        <v>16</v>
      </c>
      <c r="N215" s="64" t="n">
        <v>96</v>
      </c>
      <c r="O215" s="64" t="n">
        <v>3</v>
      </c>
      <c r="P215" s="64" t="n">
        <v>3</v>
      </c>
    </row>
    <row r="216" ht="15.75" customHeight="1" s="45">
      <c r="A216" s="61" t="n">
        <v>46039</v>
      </c>
      <c r="B216" s="62" t="inlineStr">
        <is>
          <t>Antes-Projeto</t>
        </is>
      </c>
      <c r="C216" s="65" t="inlineStr">
        <is>
          <t>Exames Laboratoriais</t>
        </is>
      </c>
      <c r="D216" s="66" t="n">
        <v>4</v>
      </c>
      <c r="E216" s="66" t="n">
        <v>1</v>
      </c>
      <c r="F216" s="67" t="n">
        <v>0</v>
      </c>
      <c r="G216" s="67" t="n">
        <v>0</v>
      </c>
      <c r="H216" s="67" t="n">
        <v>0</v>
      </c>
      <c r="I216" s="67" t="n">
        <v>0</v>
      </c>
      <c r="J216" s="66" t="n">
        <v>16</v>
      </c>
      <c r="K216" s="66" t="n">
        <v>71</v>
      </c>
      <c r="L216" s="66" t="n">
        <v>26</v>
      </c>
      <c r="M216" s="66" t="n">
        <v>12</v>
      </c>
      <c r="N216" s="67" t="n">
        <v>0</v>
      </c>
      <c r="O216" s="66" t="n">
        <v>1</v>
      </c>
      <c r="P216" s="66" t="n">
        <v>37</v>
      </c>
    </row>
    <row r="217" ht="15.75" customHeight="1" s="45">
      <c r="A217" s="61" t="n">
        <v>46039</v>
      </c>
      <c r="B217" s="62" t="inlineStr">
        <is>
          <t>Antes-Projeto</t>
        </is>
      </c>
      <c r="C217" s="63" t="inlineStr">
        <is>
          <t>Radiografias</t>
        </is>
      </c>
      <c r="D217" s="67" t="n">
        <v>0</v>
      </c>
      <c r="E217" s="67" t="n">
        <v>0</v>
      </c>
      <c r="F217" s="67" t="n">
        <v>0</v>
      </c>
      <c r="G217" s="67" t="n">
        <v>0</v>
      </c>
      <c r="H217" s="67" t="n">
        <v>0</v>
      </c>
      <c r="I217" s="64" t="n">
        <v>3</v>
      </c>
      <c r="J217" s="67" t="n">
        <v>0</v>
      </c>
      <c r="K217" s="64" t="n">
        <v>1</v>
      </c>
      <c r="L217" s="64" t="n">
        <v>3</v>
      </c>
      <c r="M217" s="64" t="n">
        <v>7</v>
      </c>
      <c r="N217" s="67" t="n">
        <v>0</v>
      </c>
      <c r="O217" s="64" t="n">
        <v>2</v>
      </c>
      <c r="P217" s="64" t="n">
        <v>5</v>
      </c>
    </row>
    <row r="218" ht="15.75" customHeight="1" s="45">
      <c r="A218" s="61" t="n">
        <v>46039</v>
      </c>
      <c r="B218" s="62" t="inlineStr">
        <is>
          <t>Antes-Projeto</t>
        </is>
      </c>
      <c r="C218" s="65" t="inlineStr">
        <is>
          <t>Eletrocardiogramas</t>
        </is>
      </c>
      <c r="D218" s="67" t="n">
        <v>0</v>
      </c>
      <c r="E218" s="66" t="n">
        <v>1</v>
      </c>
      <c r="F218" s="67" t="n">
        <v>0</v>
      </c>
      <c r="G218" s="66" t="n">
        <v>1</v>
      </c>
      <c r="H218" s="66" t="n">
        <v>1</v>
      </c>
      <c r="I218" s="67" t="n">
        <v>0</v>
      </c>
      <c r="J218" s="66" t="n">
        <v>1</v>
      </c>
      <c r="K218" s="66" t="n">
        <v>5</v>
      </c>
      <c r="L218" s="66" t="n">
        <v>4</v>
      </c>
      <c r="M218" s="66" t="n">
        <v>1</v>
      </c>
      <c r="N218" s="67" t="n">
        <v>0</v>
      </c>
      <c r="O218" s="66" t="n">
        <v>1</v>
      </c>
      <c r="P218" s="66" t="n">
        <v>1</v>
      </c>
    </row>
    <row r="219" ht="15.75" customHeight="1" s="45">
      <c r="A219" s="61" t="n">
        <v>46039</v>
      </c>
      <c r="B219" s="62" t="inlineStr">
        <is>
          <t>Antes-Projeto</t>
        </is>
      </c>
      <c r="C219" s="68" t="inlineStr">
        <is>
          <t>GAEs Abertas</t>
        </is>
      </c>
      <c r="D219" s="69" t="n">
        <v>76</v>
      </c>
      <c r="E219" s="69" t="n">
        <v>29</v>
      </c>
      <c r="F219" s="69" t="n">
        <v>35</v>
      </c>
      <c r="G219" s="69" t="n">
        <v>25</v>
      </c>
      <c r="H219" s="69" t="n">
        <v>25</v>
      </c>
      <c r="I219" s="69" t="n">
        <v>53</v>
      </c>
      <c r="J219" s="69" t="n">
        <v>25</v>
      </c>
      <c r="K219" s="69" t="n">
        <v>69</v>
      </c>
      <c r="L219" s="69" t="n">
        <v>106</v>
      </c>
      <c r="M219" s="69" t="n">
        <v>73</v>
      </c>
      <c r="N219" s="69" t="n">
        <v>107</v>
      </c>
      <c r="O219" s="69" t="n">
        <v>37</v>
      </c>
      <c r="P219" s="69" t="n">
        <v>48</v>
      </c>
    </row>
    <row r="220" ht="15.75" customHeight="1" s="45">
      <c r="A220" s="61" t="n">
        <v>46039</v>
      </c>
      <c r="B220" s="62" t="inlineStr">
        <is>
          <t>Antes-Projeto</t>
        </is>
      </c>
      <c r="C220" s="68" t="inlineStr">
        <is>
          <t>GAEs Classificadas</t>
        </is>
      </c>
      <c r="D220" s="69" t="n">
        <v>52</v>
      </c>
      <c r="E220" s="69" t="n">
        <v>24</v>
      </c>
      <c r="F220" s="69" t="n">
        <v>26</v>
      </c>
      <c r="G220" s="69" t="n">
        <v>22</v>
      </c>
      <c r="H220" s="69" t="n">
        <v>18</v>
      </c>
      <c r="I220" s="69" t="n">
        <v>41</v>
      </c>
      <c r="J220" s="69" t="n">
        <v>23</v>
      </c>
      <c r="K220" s="69" t="n">
        <v>61</v>
      </c>
      <c r="L220" s="69" t="n">
        <v>83</v>
      </c>
      <c r="M220" s="69" t="n">
        <v>49</v>
      </c>
      <c r="N220" s="69" t="n">
        <v>100</v>
      </c>
      <c r="O220" s="69" t="n">
        <v>32</v>
      </c>
      <c r="P220" s="69" t="n">
        <v>36</v>
      </c>
    </row>
    <row r="221" ht="15.75" customHeight="1" s="45">
      <c r="A221" s="61" t="n">
        <v>46039</v>
      </c>
      <c r="B221" s="62" t="inlineStr">
        <is>
          <t>Antes-Projeto</t>
        </is>
      </c>
      <c r="C221" s="70" t="inlineStr">
        <is>
          <t>Percentual de GAEs abertas classificadas</t>
        </is>
      </c>
      <c r="D221" s="71">
        <f>IFERROR(D220/D219,"-")</f>
        <v/>
      </c>
      <c r="E221" s="71">
        <f>IFERROR(E220/E219,"-")</f>
        <v/>
      </c>
      <c r="F221" s="71">
        <f>IFERROR(F220/F219,"-")</f>
        <v/>
      </c>
      <c r="G221" s="71">
        <f>IFERROR(G220/G219,"-")</f>
        <v/>
      </c>
      <c r="H221" s="71">
        <f>IFERROR(H220/H219,"-")</f>
        <v/>
      </c>
      <c r="I221" s="71">
        <f>IFERROR(I220/I219,"-")</f>
        <v/>
      </c>
      <c r="J221" s="71">
        <f>IFERROR(J220/J219,"-")</f>
        <v/>
      </c>
      <c r="K221" s="71">
        <f>IFERROR(K220/K219,"-")</f>
        <v/>
      </c>
      <c r="L221" s="71">
        <f>IFERROR(L220/L219,"-")</f>
        <v/>
      </c>
      <c r="M221" s="71">
        <f>IFERROR(M220/M219,"-")</f>
        <v/>
      </c>
      <c r="N221" s="71">
        <f>IFERROR(N220/N219,"-")</f>
        <v/>
      </c>
      <c r="O221" s="71">
        <f>IFERROR(O220/O219,"-")</f>
        <v/>
      </c>
      <c r="P221" s="71">
        <f>IFERROR(P220/P219,"-")</f>
        <v/>
      </c>
    </row>
    <row r="222" ht="15.75" customHeight="1" s="45">
      <c r="A222" s="61" t="n">
        <v>46039</v>
      </c>
      <c r="B222" s="62" t="inlineStr">
        <is>
          <t>Antes-Projeto</t>
        </is>
      </c>
      <c r="C222" s="72" t="inlineStr">
        <is>
          <t>Tempo Médio — 🟡 Amarelo (hh:mm)</t>
        </is>
      </c>
      <c r="D222" s="121" t="n">
        <v>0.1361921296296296</v>
      </c>
      <c r="E222" s="121" t="n">
        <v>0.1766203703703704</v>
      </c>
      <c r="F222" s="121" t="n">
        <v>0.08500000000000001</v>
      </c>
      <c r="G222" s="121" t="n">
        <v>0.07716435185185185</v>
      </c>
      <c r="H222" s="121" t="n">
        <v>0.0021875</v>
      </c>
      <c r="I222" s="121" t="n">
        <v>0.1269907407407407</v>
      </c>
      <c r="J222" s="121" t="n">
        <v>0.02100694444444445</v>
      </c>
      <c r="K222" s="121" t="n">
        <v>0.03667824074074074</v>
      </c>
      <c r="L222" s="121" t="n">
        <v>0.09641203703703703</v>
      </c>
      <c r="M222" s="121" t="n">
        <v>0.01358796296296296</v>
      </c>
      <c r="N222" s="121" t="n">
        <v>0.2241087962962963</v>
      </c>
      <c r="O222" s="121" t="n">
        <v>0.2710069444444445</v>
      </c>
      <c r="P222" s="121" t="n">
        <v>0.07627314814814815</v>
      </c>
    </row>
    <row r="223" ht="15.75" customHeight="1" s="45">
      <c r="A223" s="61" t="n">
        <v>46039</v>
      </c>
      <c r="B223" s="62" t="inlineStr">
        <is>
          <t>Antes-Projeto</t>
        </is>
      </c>
      <c r="C223" s="74" t="inlineStr">
        <is>
          <t>Tempo Médio — 🟠 Laranja (hh:mm)</t>
        </is>
      </c>
      <c r="D223" s="122" t="n">
        <v>0.006435185185185185</v>
      </c>
      <c r="E223" s="122" t="n"/>
      <c r="F223" s="122" t="n">
        <v>0.0503125</v>
      </c>
      <c r="G223" s="122" t="n">
        <v>0.02443287037037037</v>
      </c>
      <c r="H223" s="122" t="n">
        <v>0.07091435185185185</v>
      </c>
      <c r="I223" s="122" t="n">
        <v>0.02038194444444445</v>
      </c>
      <c r="J223" s="122" t="n">
        <v>0.02863425925925926</v>
      </c>
      <c r="K223" s="122" t="n">
        <v>0.0121875</v>
      </c>
      <c r="L223" s="122" t="n">
        <v>0.1274305555555555</v>
      </c>
      <c r="M223" s="122" t="n">
        <v>0.01273148148148148</v>
      </c>
      <c r="N223" s="122" t="n">
        <v>0.08115740740740741</v>
      </c>
      <c r="O223" s="122" t="n">
        <v>0.01122685185185185</v>
      </c>
      <c r="P223" s="122" t="n">
        <v>0.03082175925925926</v>
      </c>
    </row>
    <row r="224" ht="15.75" customHeight="1" s="45">
      <c r="A224" s="76" t="n">
        <v>46039</v>
      </c>
      <c r="B224" s="77" t="inlineStr">
        <is>
          <t>Antes-Projeto</t>
        </is>
      </c>
      <c r="C224" s="78" t="inlineStr">
        <is>
          <t>Tempo Médio — 🟢 Verde   (hh:mm)</t>
        </is>
      </c>
      <c r="D224" s="123" t="n">
        <v>0.2707407407407407</v>
      </c>
      <c r="E224" s="123" t="n">
        <v>0.1818865740740741</v>
      </c>
      <c r="F224" s="123" t="n"/>
      <c r="G224" s="123" t="n">
        <v>0.1008680555555556</v>
      </c>
      <c r="H224" s="123" t="n">
        <v>0.004143518518518519</v>
      </c>
      <c r="I224" s="123" t="n">
        <v>0.2245949074074074</v>
      </c>
      <c r="J224" s="123" t="n">
        <v>0.09071759259259259</v>
      </c>
      <c r="K224" s="123" t="n">
        <v>0.06819444444444445</v>
      </c>
      <c r="L224" s="123" t="n">
        <v>0.1665162037037037</v>
      </c>
      <c r="M224" s="123" t="n">
        <v>0.004189814814814815</v>
      </c>
      <c r="N224" s="123" t="n">
        <v>0.8908217592592592</v>
      </c>
      <c r="O224" s="123" t="n">
        <v>0.3071643518518519</v>
      </c>
      <c r="P224" s="123" t="n">
        <v>0.1397337962962963</v>
      </c>
    </row>
    <row r="225" ht="15.75" customHeight="1" s="45">
      <c r="A225" s="57" t="n">
        <v>46040</v>
      </c>
      <c r="B225" s="58" t="inlineStr">
        <is>
          <t>Antes-Projeto</t>
        </is>
      </c>
      <c r="C225" s="59" t="inlineStr">
        <is>
          <t>Acolhim. + Atend. Urgência + Atend. UPA</t>
        </is>
      </c>
      <c r="D225" s="60">
        <f>SUM(D226:D228)</f>
        <v/>
      </c>
      <c r="E225" s="60">
        <f>SUM(E226:E228)</f>
        <v/>
      </c>
      <c r="F225" s="60">
        <f>SUM(F226:F228)</f>
        <v/>
      </c>
      <c r="G225" s="60">
        <f>SUM(G226:G228)</f>
        <v/>
      </c>
      <c r="H225" s="60">
        <f>SUM(H226:H228)</f>
        <v/>
      </c>
      <c r="I225" s="60">
        <f>SUM(I226:I228)</f>
        <v/>
      </c>
      <c r="J225" s="60">
        <f>SUM(J226:J228)</f>
        <v/>
      </c>
      <c r="K225" s="60">
        <f>SUM(K226:K228)</f>
        <v/>
      </c>
      <c r="L225" s="60">
        <f>SUM(L226:L228)</f>
        <v/>
      </c>
      <c r="M225" s="60">
        <f>SUM(M226:M228)</f>
        <v/>
      </c>
      <c r="N225" s="60">
        <f>SUM(N226:N228)</f>
        <v/>
      </c>
      <c r="O225" s="60">
        <f>SUM(O226:O228)</f>
        <v/>
      </c>
      <c r="P225" s="60">
        <f>SUM(P226:P228)</f>
        <v/>
      </c>
    </row>
    <row r="226" ht="15.75" customHeight="1" s="45">
      <c r="A226" s="61" t="n">
        <v>46040</v>
      </c>
      <c r="B226" s="62" t="inlineStr">
        <is>
          <t>Antes-Projeto</t>
        </is>
      </c>
      <c r="C226" s="65" t="inlineStr">
        <is>
          <t>Acolhimento c/ Classif. de Risco</t>
        </is>
      </c>
      <c r="D226" s="66" t="n">
        <v>98</v>
      </c>
      <c r="E226" s="66" t="n">
        <v>24</v>
      </c>
      <c r="F226" s="66" t="n">
        <v>49</v>
      </c>
      <c r="G226" s="66" t="n">
        <v>48</v>
      </c>
      <c r="H226" s="66" t="n">
        <v>69</v>
      </c>
      <c r="I226" s="66" t="n">
        <v>65</v>
      </c>
      <c r="J226" s="66" t="n">
        <v>25</v>
      </c>
      <c r="K226" s="66" t="n">
        <v>120</v>
      </c>
      <c r="L226" s="66" t="n">
        <v>43</v>
      </c>
      <c r="M226" s="66" t="n">
        <v>50</v>
      </c>
      <c r="N226" s="66" t="n">
        <v>199</v>
      </c>
      <c r="O226" s="66" t="n">
        <v>139</v>
      </c>
      <c r="P226" s="66" t="n">
        <v>74</v>
      </c>
    </row>
    <row r="227" ht="15.75" customHeight="1" s="45">
      <c r="A227" s="61" t="n">
        <v>46040</v>
      </c>
      <c r="B227" s="62" t="inlineStr">
        <is>
          <t>Antes-Projeto</t>
        </is>
      </c>
      <c r="C227" s="63" t="inlineStr">
        <is>
          <t>Atend. Urgência Obs. ≤ 24h</t>
        </is>
      </c>
      <c r="D227" s="64" t="n">
        <v>14</v>
      </c>
      <c r="E227" s="64" t="n">
        <v>86</v>
      </c>
      <c r="F227" s="64" t="n">
        <v>28</v>
      </c>
      <c r="G227" s="64" t="n">
        <v>126</v>
      </c>
      <c r="H227" s="64" t="n">
        <v>34</v>
      </c>
      <c r="I227" s="64" t="n">
        <v>26</v>
      </c>
      <c r="J227" s="64" t="n">
        <v>129</v>
      </c>
      <c r="K227" s="64" t="n">
        <v>132</v>
      </c>
      <c r="L227" s="64" t="n">
        <v>58</v>
      </c>
      <c r="M227" s="64" t="n">
        <v>39</v>
      </c>
      <c r="N227" s="64" t="n">
        <v>37</v>
      </c>
      <c r="O227" s="64" t="n">
        <v>12</v>
      </c>
      <c r="P227" s="64" t="n">
        <v>36</v>
      </c>
    </row>
    <row r="228" ht="15.75" customHeight="1" s="45">
      <c r="A228" s="61" t="n">
        <v>46040</v>
      </c>
      <c r="B228" s="62" t="inlineStr">
        <is>
          <t>Antes-Projeto</t>
        </is>
      </c>
      <c r="C228" s="65" t="inlineStr">
        <is>
          <t>Atend. Médico em UPA</t>
        </is>
      </c>
      <c r="D228" s="66" t="n">
        <v>90</v>
      </c>
      <c r="E228" s="66" t="n">
        <v>57</v>
      </c>
      <c r="F228" s="66" t="n">
        <v>41</v>
      </c>
      <c r="G228" s="66" t="n">
        <v>59</v>
      </c>
      <c r="H228" s="66" t="n">
        <v>50</v>
      </c>
      <c r="I228" s="66" t="n">
        <v>74</v>
      </c>
      <c r="J228" s="66" t="n">
        <v>58</v>
      </c>
      <c r="K228" s="66" t="n">
        <v>82</v>
      </c>
      <c r="L228" s="66" t="n">
        <v>41</v>
      </c>
      <c r="M228" s="66" t="n">
        <v>39</v>
      </c>
      <c r="N228" s="66" t="n">
        <v>194</v>
      </c>
      <c r="O228" s="66" t="n">
        <v>84</v>
      </c>
      <c r="P228" s="66" t="n">
        <v>66</v>
      </c>
    </row>
    <row r="229" ht="15.75" customHeight="1" s="45">
      <c r="A229" s="61" t="n">
        <v>46040</v>
      </c>
      <c r="B229" s="62" t="inlineStr">
        <is>
          <t>Antes-Projeto</t>
        </is>
      </c>
      <c r="C229" s="63" t="inlineStr">
        <is>
          <t>Exames Laboratoriais</t>
        </is>
      </c>
      <c r="D229" s="64" t="n">
        <v>309</v>
      </c>
      <c r="E229" s="64" t="n">
        <v>87</v>
      </c>
      <c r="F229" s="64" t="n">
        <v>137</v>
      </c>
      <c r="G229" s="64" t="n">
        <v>132</v>
      </c>
      <c r="H229" s="64" t="n">
        <v>234</v>
      </c>
      <c r="I229" s="67" t="n">
        <v>0</v>
      </c>
      <c r="J229" s="64" t="n">
        <v>93</v>
      </c>
      <c r="K229" s="64" t="n">
        <v>429</v>
      </c>
      <c r="L229" s="64" t="n">
        <v>237</v>
      </c>
      <c r="M229" s="64" t="n">
        <v>329</v>
      </c>
      <c r="N229" s="64" t="n">
        <v>263</v>
      </c>
      <c r="O229" s="64" t="n">
        <v>127</v>
      </c>
      <c r="P229" s="64" t="n">
        <v>443</v>
      </c>
    </row>
    <row r="230" ht="15.75" customHeight="1" s="45">
      <c r="A230" s="61" t="n">
        <v>46040</v>
      </c>
      <c r="B230" s="62" t="inlineStr">
        <is>
          <t>Antes-Projeto</t>
        </is>
      </c>
      <c r="C230" s="65" t="inlineStr">
        <is>
          <t>Radiografias</t>
        </is>
      </c>
      <c r="D230" s="66" t="n">
        <v>14</v>
      </c>
      <c r="E230" s="66" t="n">
        <v>8</v>
      </c>
      <c r="F230" s="66" t="n">
        <v>12</v>
      </c>
      <c r="G230" s="66" t="n">
        <v>13</v>
      </c>
      <c r="H230" s="66" t="n">
        <v>2</v>
      </c>
      <c r="I230" s="66" t="n">
        <v>23</v>
      </c>
      <c r="J230" s="66" t="n">
        <v>14</v>
      </c>
      <c r="K230" s="66" t="n">
        <v>5</v>
      </c>
      <c r="L230" s="66" t="n">
        <v>15</v>
      </c>
      <c r="M230" s="66" t="n">
        <v>20</v>
      </c>
      <c r="N230" s="66" t="n">
        <v>22</v>
      </c>
      <c r="O230" s="66" t="n">
        <v>25</v>
      </c>
      <c r="P230" s="66" t="n">
        <v>30</v>
      </c>
    </row>
    <row r="231" ht="15.75" customHeight="1" s="45">
      <c r="A231" s="61" t="n">
        <v>46040</v>
      </c>
      <c r="B231" s="62" t="inlineStr">
        <is>
          <t>Antes-Projeto</t>
        </is>
      </c>
      <c r="C231" s="63" t="inlineStr">
        <is>
          <t>Eletrocardiogramas</t>
        </is>
      </c>
      <c r="D231" s="64" t="n">
        <v>5</v>
      </c>
      <c r="E231" s="64" t="n">
        <v>6</v>
      </c>
      <c r="F231" s="64" t="n">
        <v>14</v>
      </c>
      <c r="G231" s="64" t="n">
        <v>3</v>
      </c>
      <c r="H231" s="64" t="n">
        <v>4</v>
      </c>
      <c r="I231" s="64" t="n">
        <v>5</v>
      </c>
      <c r="J231" s="64" t="n">
        <v>9</v>
      </c>
      <c r="K231" s="64" t="n">
        <v>4</v>
      </c>
      <c r="L231" s="64" t="n">
        <v>17</v>
      </c>
      <c r="M231" s="64" t="n">
        <v>9</v>
      </c>
      <c r="N231" s="64" t="n">
        <v>16</v>
      </c>
      <c r="O231" s="64" t="n">
        <v>4</v>
      </c>
      <c r="P231" s="64" t="n">
        <v>17</v>
      </c>
    </row>
    <row r="232" ht="15.75" customHeight="1" s="45">
      <c r="A232" s="61" t="n">
        <v>46040</v>
      </c>
      <c r="B232" s="62" t="inlineStr">
        <is>
          <t>Antes-Projeto</t>
        </is>
      </c>
      <c r="C232" s="68" t="inlineStr">
        <is>
          <t>GAEs Abertas</t>
        </is>
      </c>
      <c r="D232" s="69" t="n">
        <v>183</v>
      </c>
      <c r="E232" s="69" t="n">
        <v>109</v>
      </c>
      <c r="F232" s="69" t="n">
        <v>132</v>
      </c>
      <c r="G232" s="69" t="n">
        <v>111</v>
      </c>
      <c r="H232" s="69" t="n">
        <v>155</v>
      </c>
      <c r="I232" s="69" t="n">
        <v>159</v>
      </c>
      <c r="J232" s="69" t="n">
        <v>79</v>
      </c>
      <c r="K232" s="69" t="n">
        <v>264</v>
      </c>
      <c r="L232" s="69" t="n">
        <v>181</v>
      </c>
      <c r="M232" s="69" t="n">
        <v>142</v>
      </c>
      <c r="N232" s="69" t="n">
        <v>200</v>
      </c>
      <c r="O232" s="69" t="n">
        <v>364</v>
      </c>
      <c r="P232" s="69" t="n">
        <v>160</v>
      </c>
    </row>
    <row r="233" ht="15.75" customHeight="1" s="45">
      <c r="A233" s="61" t="n">
        <v>46040</v>
      </c>
      <c r="B233" s="62" t="inlineStr">
        <is>
          <t>Antes-Projeto</t>
        </is>
      </c>
      <c r="C233" s="68" t="inlineStr">
        <is>
          <t>GAEs Classificadas</t>
        </is>
      </c>
      <c r="D233" s="69" t="n">
        <v>170</v>
      </c>
      <c r="E233" s="69" t="n">
        <v>70</v>
      </c>
      <c r="F233" s="69" t="n">
        <v>118</v>
      </c>
      <c r="G233" s="69" t="n">
        <v>96</v>
      </c>
      <c r="H233" s="69" t="n">
        <v>145</v>
      </c>
      <c r="I233" s="69" t="n">
        <v>146</v>
      </c>
      <c r="J233" s="69" t="n">
        <v>78</v>
      </c>
      <c r="K233" s="69" t="n">
        <v>230</v>
      </c>
      <c r="L233" s="69" t="n">
        <v>106</v>
      </c>
      <c r="M233" s="69" t="n">
        <v>124</v>
      </c>
      <c r="N233" s="69" t="n">
        <v>191</v>
      </c>
      <c r="O233" s="69" t="n">
        <v>234</v>
      </c>
      <c r="P233" s="69" t="n">
        <v>147</v>
      </c>
    </row>
    <row r="234" ht="15.75" customHeight="1" s="45">
      <c r="A234" s="61" t="n">
        <v>46040</v>
      </c>
      <c r="B234" s="62" t="inlineStr">
        <is>
          <t>Antes-Projeto</t>
        </is>
      </c>
      <c r="C234" s="70" t="inlineStr">
        <is>
          <t>Percentual de GAEs abertas classificadas</t>
        </is>
      </c>
      <c r="D234" s="71">
        <f>IFERROR(D233/D232,"-")</f>
        <v/>
      </c>
      <c r="E234" s="71">
        <f>IFERROR(E233/E232,"-")</f>
        <v/>
      </c>
      <c r="F234" s="71">
        <f>IFERROR(F233/F232,"-")</f>
        <v/>
      </c>
      <c r="G234" s="71">
        <f>IFERROR(G233/G232,"-")</f>
        <v/>
      </c>
      <c r="H234" s="71">
        <f>IFERROR(H233/H232,"-")</f>
        <v/>
      </c>
      <c r="I234" s="71">
        <f>IFERROR(I233/I232,"-")</f>
        <v/>
      </c>
      <c r="J234" s="71">
        <f>IFERROR(J233/J232,"-")</f>
        <v/>
      </c>
      <c r="K234" s="71">
        <f>IFERROR(K233/K232,"-")</f>
        <v/>
      </c>
      <c r="L234" s="71">
        <f>IFERROR(L233/L232,"-")</f>
        <v/>
      </c>
      <c r="M234" s="71">
        <f>IFERROR(M233/M232,"-")</f>
        <v/>
      </c>
      <c r="N234" s="71">
        <f>IFERROR(N233/N232,"-")</f>
        <v/>
      </c>
      <c r="O234" s="71">
        <f>IFERROR(O233/O232,"-")</f>
        <v/>
      </c>
      <c r="P234" s="71">
        <f>IFERROR(P233/P232,"-")</f>
        <v/>
      </c>
    </row>
    <row r="235" ht="15.75" customHeight="1" s="45">
      <c r="A235" s="61" t="n">
        <v>46040</v>
      </c>
      <c r="B235" s="62" t="inlineStr">
        <is>
          <t>Antes-Projeto</t>
        </is>
      </c>
      <c r="C235" s="72" t="inlineStr">
        <is>
          <t>Tempo Médio — 🟡 Amarelo (hh:mm)</t>
        </is>
      </c>
      <c r="D235" s="121" t="n">
        <v>0.1505671296296296</v>
      </c>
      <c r="E235" s="121" t="n">
        <v>0.07363425925925926</v>
      </c>
      <c r="F235" s="121" t="n">
        <v>0.07925925925925927</v>
      </c>
      <c r="G235" s="121" t="n">
        <v>0.08952546296296296</v>
      </c>
      <c r="H235" s="121" t="n">
        <v>0.2878356481481482</v>
      </c>
      <c r="I235" s="121" t="n">
        <v>0.1036921296296296</v>
      </c>
      <c r="J235" s="121" t="n">
        <v>0.1624884259259259</v>
      </c>
      <c r="K235" s="121" t="n">
        <v>0.04962962962962963</v>
      </c>
      <c r="L235" s="121" t="n">
        <v>0.2120486111111111</v>
      </c>
      <c r="M235" s="121" t="n">
        <v>0.01784722222222222</v>
      </c>
      <c r="N235" s="121" t="n">
        <v>0.2636689814814815</v>
      </c>
      <c r="O235" s="121" t="n">
        <v>0.1871180555555556</v>
      </c>
      <c r="P235" s="121" t="n">
        <v>0.04900462962962963</v>
      </c>
    </row>
    <row r="236" ht="15.75" customHeight="1" s="45">
      <c r="A236" s="61" t="n">
        <v>46040</v>
      </c>
      <c r="B236" s="62" t="inlineStr">
        <is>
          <t>Antes-Projeto</t>
        </is>
      </c>
      <c r="C236" s="74" t="inlineStr">
        <is>
          <t>Tempo Médio — 🟠 Laranja (hh:mm)</t>
        </is>
      </c>
      <c r="D236" s="122" t="n">
        <v>0.01833333333333333</v>
      </c>
      <c r="E236" s="122" t="n">
        <v>0.05537037037037037</v>
      </c>
      <c r="F236" s="122" t="n">
        <v>0.008113425925925927</v>
      </c>
      <c r="G236" s="122" t="n">
        <v>0.01680555555555556</v>
      </c>
      <c r="H236" s="122" t="n">
        <v>0.08002314814814815</v>
      </c>
      <c r="I236" s="122" t="n">
        <v>0.02712962962962963</v>
      </c>
      <c r="J236" s="122" t="n">
        <v>0.02520833333333333</v>
      </c>
      <c r="K236" s="122" t="n">
        <v>0.01677083333333333</v>
      </c>
      <c r="L236" s="122" t="n">
        <v>0.04130787037037037</v>
      </c>
      <c r="M236" s="122" t="n">
        <v>0.05076388888888889</v>
      </c>
      <c r="N236" s="122" t="n">
        <v>0.01353009259259259</v>
      </c>
      <c r="O236" s="122" t="n">
        <v>0.01466435185185185</v>
      </c>
      <c r="P236" s="122" t="n">
        <v>0.01658564814814815</v>
      </c>
    </row>
    <row r="237" ht="15.75" customHeight="1" s="45">
      <c r="A237" s="76" t="n">
        <v>46040</v>
      </c>
      <c r="B237" s="77" t="inlineStr">
        <is>
          <t>Antes-Projeto</t>
        </is>
      </c>
      <c r="C237" s="78" t="inlineStr">
        <is>
          <t>Tempo Médio — 🟢 Verde   (hh:mm)</t>
        </is>
      </c>
      <c r="D237" s="123" t="n">
        <v>0.2194907407407407</v>
      </c>
      <c r="E237" s="123" t="n">
        <v>0.6235995370370371</v>
      </c>
      <c r="F237" s="123" t="n">
        <v>0.1476388888888889</v>
      </c>
      <c r="G237" s="123" t="n">
        <v>0.1548032407407407</v>
      </c>
      <c r="H237" s="123" t="n">
        <v>0.2833449074074074</v>
      </c>
      <c r="I237" s="123" t="n">
        <v>0.2462847222222222</v>
      </c>
      <c r="J237" s="123" t="n">
        <v>0.3072685185185185</v>
      </c>
      <c r="K237" s="123" t="n">
        <v>0.09230324074074074</v>
      </c>
      <c r="L237" s="123" t="n">
        <v>0.265150462962963</v>
      </c>
      <c r="M237" s="123" t="n">
        <v>0.02877314814814815</v>
      </c>
      <c r="N237" s="123" t="n">
        <v>0.265625</v>
      </c>
      <c r="O237" s="123" t="n">
        <v>0.2205092592592593</v>
      </c>
      <c r="P237" s="123" t="n">
        <v>0.1248842592592593</v>
      </c>
    </row>
    <row r="238" ht="15.75" customHeight="1" s="45">
      <c r="A238" s="57" t="n">
        <v>46041</v>
      </c>
      <c r="B238" s="58" t="inlineStr">
        <is>
          <t>Antes-Projeto</t>
        </is>
      </c>
      <c r="C238" s="59" t="inlineStr">
        <is>
          <t>Acolhim. + Atend. Urgência + Atend. UPA</t>
        </is>
      </c>
      <c r="D238" s="60">
        <f>SUM(D239:D241)</f>
        <v/>
      </c>
      <c r="E238" s="60">
        <f>SUM(E239:E241)</f>
        <v/>
      </c>
      <c r="F238" s="60">
        <f>SUM(F239:F241)</f>
        <v/>
      </c>
      <c r="G238" s="60">
        <f>SUM(G239:G241)</f>
        <v/>
      </c>
      <c r="H238" s="60">
        <f>SUM(H239:H241)</f>
        <v/>
      </c>
      <c r="I238" s="60">
        <f>SUM(I239:I241)</f>
        <v/>
      </c>
      <c r="J238" s="60">
        <f>SUM(J239:J241)</f>
        <v/>
      </c>
      <c r="K238" s="60">
        <f>SUM(K239:K241)</f>
        <v/>
      </c>
      <c r="L238" s="60">
        <f>SUM(L239:L241)</f>
        <v/>
      </c>
      <c r="M238" s="60">
        <f>SUM(M239:M241)</f>
        <v/>
      </c>
      <c r="N238" s="60">
        <f>SUM(N239:N241)</f>
        <v/>
      </c>
      <c r="O238" s="60">
        <f>SUM(O239:O241)</f>
        <v/>
      </c>
      <c r="P238" s="60">
        <f>SUM(P239:P241)</f>
        <v/>
      </c>
    </row>
    <row r="239" ht="15.75" customHeight="1" s="45">
      <c r="A239" s="61" t="n">
        <v>46041</v>
      </c>
      <c r="B239" s="62" t="inlineStr">
        <is>
          <t>Antes-Projeto</t>
        </is>
      </c>
      <c r="C239" s="63" t="inlineStr">
        <is>
          <t>Acolhimento c/ Classif. de Risco</t>
        </is>
      </c>
      <c r="D239" s="64" t="n">
        <v>74</v>
      </c>
      <c r="E239" s="64" t="n">
        <v>7</v>
      </c>
      <c r="F239" s="64" t="n">
        <v>70</v>
      </c>
      <c r="G239" s="64" t="n">
        <v>48</v>
      </c>
      <c r="H239" s="64" t="n">
        <v>68</v>
      </c>
      <c r="I239" s="64" t="n">
        <v>73</v>
      </c>
      <c r="J239" s="64" t="n">
        <v>38</v>
      </c>
      <c r="K239" s="64" t="n">
        <v>39</v>
      </c>
      <c r="L239" s="64" t="n">
        <v>72</v>
      </c>
      <c r="M239" s="64" t="n">
        <v>92</v>
      </c>
      <c r="N239" s="64" t="n">
        <v>211</v>
      </c>
      <c r="O239" s="64" t="n">
        <v>45</v>
      </c>
      <c r="P239" s="64" t="n">
        <v>97</v>
      </c>
    </row>
    <row r="240" ht="15.75" customHeight="1" s="45">
      <c r="A240" s="61" t="n">
        <v>46041</v>
      </c>
      <c r="B240" s="62" t="inlineStr">
        <is>
          <t>Antes-Projeto</t>
        </is>
      </c>
      <c r="C240" s="65" t="inlineStr">
        <is>
          <t>Atend. Urgência Obs. ≤ 24h</t>
        </is>
      </c>
      <c r="D240" s="66" t="n">
        <v>34</v>
      </c>
      <c r="E240" s="66" t="n">
        <v>44</v>
      </c>
      <c r="F240" s="66" t="n">
        <v>27</v>
      </c>
      <c r="G240" s="66" t="n">
        <v>113</v>
      </c>
      <c r="H240" s="66" t="n">
        <v>78</v>
      </c>
      <c r="I240" s="66" t="n">
        <v>24</v>
      </c>
      <c r="J240" s="66" t="n">
        <v>42</v>
      </c>
      <c r="K240" s="66" t="n">
        <v>91</v>
      </c>
      <c r="L240" s="66" t="n">
        <v>71</v>
      </c>
      <c r="M240" s="66" t="n">
        <v>56</v>
      </c>
      <c r="N240" s="66" t="n">
        <v>74</v>
      </c>
      <c r="O240" s="66" t="n">
        <v>4</v>
      </c>
      <c r="P240" s="66" t="n">
        <v>49</v>
      </c>
    </row>
    <row r="241" ht="15.75" customHeight="1" s="45">
      <c r="A241" s="61" t="n">
        <v>46041</v>
      </c>
      <c r="B241" s="62" t="inlineStr">
        <is>
          <t>Antes-Projeto</t>
        </is>
      </c>
      <c r="C241" s="63" t="inlineStr">
        <is>
          <t>Atend. Médico em UPA</t>
        </is>
      </c>
      <c r="D241" s="64" t="n">
        <v>114</v>
      </c>
      <c r="E241" s="64" t="n">
        <v>4</v>
      </c>
      <c r="F241" s="64" t="n">
        <v>83</v>
      </c>
      <c r="G241" s="64" t="n">
        <v>32</v>
      </c>
      <c r="H241" s="64" t="n">
        <v>97</v>
      </c>
      <c r="I241" s="64" t="n">
        <v>89</v>
      </c>
      <c r="J241" s="64" t="n">
        <v>31</v>
      </c>
      <c r="K241" s="64" t="n">
        <v>45</v>
      </c>
      <c r="L241" s="64" t="n">
        <v>70</v>
      </c>
      <c r="M241" s="64" t="n">
        <v>57</v>
      </c>
      <c r="N241" s="64" t="n">
        <v>215</v>
      </c>
      <c r="O241" s="64" t="n">
        <v>28</v>
      </c>
      <c r="P241" s="64" t="n">
        <v>76</v>
      </c>
    </row>
    <row r="242" ht="15.75" customHeight="1" s="45">
      <c r="A242" s="61" t="n">
        <v>46041</v>
      </c>
      <c r="B242" s="62" t="inlineStr">
        <is>
          <t>Antes-Projeto</t>
        </is>
      </c>
      <c r="C242" s="65" t="inlineStr">
        <is>
          <t>Exames Laboratoriais</t>
        </is>
      </c>
      <c r="D242" s="66" t="n">
        <v>410</v>
      </c>
      <c r="E242" s="66" t="n">
        <v>142</v>
      </c>
      <c r="F242" s="66" t="n">
        <v>592</v>
      </c>
      <c r="G242" s="66" t="n">
        <v>112</v>
      </c>
      <c r="H242" s="66" t="n">
        <v>218</v>
      </c>
      <c r="I242" s="66" t="n">
        <v>85</v>
      </c>
      <c r="J242" s="66" t="n">
        <v>147</v>
      </c>
      <c r="K242" s="66" t="n">
        <v>152</v>
      </c>
      <c r="L242" s="66" t="n">
        <v>75</v>
      </c>
      <c r="M242" s="66" t="n">
        <v>515</v>
      </c>
      <c r="N242" s="66" t="n">
        <v>468</v>
      </c>
      <c r="O242" s="66" t="n">
        <v>74</v>
      </c>
      <c r="P242" s="66" t="n">
        <v>423</v>
      </c>
    </row>
    <row r="243" ht="15.75" customHeight="1" s="45">
      <c r="A243" s="61" t="n">
        <v>46041</v>
      </c>
      <c r="B243" s="62" t="inlineStr">
        <is>
          <t>Antes-Projeto</t>
        </is>
      </c>
      <c r="C243" s="63" t="inlineStr">
        <is>
          <t>Radiografias</t>
        </is>
      </c>
      <c r="D243" s="64" t="n">
        <v>6</v>
      </c>
      <c r="E243" s="64" t="n">
        <v>1</v>
      </c>
      <c r="F243" s="64" t="n">
        <v>15</v>
      </c>
      <c r="G243" s="64" t="n">
        <v>9</v>
      </c>
      <c r="H243" s="64" t="n">
        <v>15</v>
      </c>
      <c r="I243" s="64" t="n">
        <v>17</v>
      </c>
      <c r="J243" s="64" t="n">
        <v>6</v>
      </c>
      <c r="K243" s="64" t="n">
        <v>4</v>
      </c>
      <c r="L243" s="64" t="n">
        <v>21</v>
      </c>
      <c r="M243" s="64" t="n">
        <v>47</v>
      </c>
      <c r="N243" s="64" t="n">
        <v>34</v>
      </c>
      <c r="O243" s="64" t="n">
        <v>11</v>
      </c>
      <c r="P243" s="64" t="n">
        <v>29</v>
      </c>
    </row>
    <row r="244" ht="15.75" customHeight="1" s="45">
      <c r="A244" s="61" t="n">
        <v>46041</v>
      </c>
      <c r="B244" s="62" t="inlineStr">
        <is>
          <t>Antes-Projeto</t>
        </is>
      </c>
      <c r="C244" s="65" t="inlineStr">
        <is>
          <t>Eletrocardiogramas</t>
        </is>
      </c>
      <c r="D244" s="66" t="n">
        <v>3</v>
      </c>
      <c r="E244" s="66" t="n">
        <v>2</v>
      </c>
      <c r="F244" s="66" t="n">
        <v>13</v>
      </c>
      <c r="G244" s="66" t="n">
        <v>2</v>
      </c>
      <c r="H244" s="66" t="n">
        <v>10</v>
      </c>
      <c r="I244" s="66" t="n">
        <v>6</v>
      </c>
      <c r="J244" s="66" t="n">
        <v>8</v>
      </c>
      <c r="K244" s="66" t="n">
        <v>10</v>
      </c>
      <c r="L244" s="66" t="n">
        <v>6</v>
      </c>
      <c r="M244" s="66" t="n">
        <v>11</v>
      </c>
      <c r="N244" s="66" t="n">
        <v>17</v>
      </c>
      <c r="O244" s="66" t="n">
        <v>1</v>
      </c>
      <c r="P244" s="66" t="n">
        <v>27</v>
      </c>
    </row>
    <row r="245" ht="15.75" customHeight="1" s="45">
      <c r="A245" s="61" t="n">
        <v>46041</v>
      </c>
      <c r="B245" s="62" t="inlineStr">
        <is>
          <t>Antes-Projeto</t>
        </is>
      </c>
      <c r="C245" s="68" t="inlineStr">
        <is>
          <t>GAEs Abertas</t>
        </is>
      </c>
      <c r="D245" s="69" t="n">
        <v>166</v>
      </c>
      <c r="E245" s="69" t="n">
        <v>40</v>
      </c>
      <c r="F245" s="69" t="n">
        <v>170</v>
      </c>
      <c r="G245" s="69" t="n">
        <v>106</v>
      </c>
      <c r="H245" s="69" t="n">
        <v>145</v>
      </c>
      <c r="I245" s="69" t="n">
        <v>175</v>
      </c>
      <c r="J245" s="69" t="n">
        <v>111</v>
      </c>
      <c r="K245" s="69" t="n">
        <v>115</v>
      </c>
      <c r="L245" s="69" t="n">
        <v>255</v>
      </c>
      <c r="M245" s="69" t="n">
        <v>200</v>
      </c>
      <c r="N245" s="69" t="n">
        <v>211</v>
      </c>
      <c r="O245" s="69" t="n">
        <v>124</v>
      </c>
      <c r="P245" s="69" t="n">
        <v>210</v>
      </c>
    </row>
    <row r="246" ht="15.75" customHeight="1" s="45">
      <c r="A246" s="61" t="n">
        <v>46041</v>
      </c>
      <c r="B246" s="62" t="inlineStr">
        <is>
          <t>Antes-Projeto</t>
        </is>
      </c>
      <c r="C246" s="68" t="inlineStr">
        <is>
          <t>GAEs Classificadas</t>
        </is>
      </c>
      <c r="D246" s="69" t="n">
        <v>133</v>
      </c>
      <c r="E246" s="69" t="n">
        <v>23</v>
      </c>
      <c r="F246" s="69" t="n">
        <v>157</v>
      </c>
      <c r="G246" s="69" t="n">
        <v>104</v>
      </c>
      <c r="H246" s="69" t="n">
        <v>137</v>
      </c>
      <c r="I246" s="69" t="n">
        <v>143</v>
      </c>
      <c r="J246" s="69" t="n">
        <v>97</v>
      </c>
      <c r="K246" s="69" t="n">
        <v>68</v>
      </c>
      <c r="L246" s="69" t="n">
        <v>124</v>
      </c>
      <c r="M246" s="69" t="n">
        <v>191</v>
      </c>
      <c r="N246" s="69" t="n">
        <v>198</v>
      </c>
      <c r="O246" s="69" t="n">
        <v>75</v>
      </c>
      <c r="P246" s="69" t="n">
        <v>200</v>
      </c>
    </row>
    <row r="247" ht="15.75" customHeight="1" s="45">
      <c r="A247" s="61" t="n">
        <v>46041</v>
      </c>
      <c r="B247" s="62" t="inlineStr">
        <is>
          <t>Antes-Projeto</t>
        </is>
      </c>
      <c r="C247" s="70" t="inlineStr">
        <is>
          <t>Percentual de GAEs abertas classificadas</t>
        </is>
      </c>
      <c r="D247" s="71">
        <f>IFERROR(D246/D245,"-")</f>
        <v/>
      </c>
      <c r="E247" s="71">
        <f>IFERROR(E246/E245,"-")</f>
        <v/>
      </c>
      <c r="F247" s="71">
        <f>IFERROR(F246/F245,"-")</f>
        <v/>
      </c>
      <c r="G247" s="71">
        <f>IFERROR(G246/G245,"-")</f>
        <v/>
      </c>
      <c r="H247" s="71">
        <f>IFERROR(H246/H245,"-")</f>
        <v/>
      </c>
      <c r="I247" s="71">
        <f>IFERROR(I246/I245,"-")</f>
        <v/>
      </c>
      <c r="J247" s="71">
        <f>IFERROR(J246/J245,"-")</f>
        <v/>
      </c>
      <c r="K247" s="71">
        <f>IFERROR(K246/K245,"-")</f>
        <v/>
      </c>
      <c r="L247" s="71">
        <f>IFERROR(L246/L245,"-")</f>
        <v/>
      </c>
      <c r="M247" s="71">
        <f>IFERROR(M246/M245,"-")</f>
        <v/>
      </c>
      <c r="N247" s="71">
        <f>IFERROR(N246/N245,"-")</f>
        <v/>
      </c>
      <c r="O247" s="71">
        <f>IFERROR(O246/O245,"-")</f>
        <v/>
      </c>
      <c r="P247" s="71">
        <f>IFERROR(P246/P245,"-")</f>
        <v/>
      </c>
    </row>
    <row r="248" ht="15.75" customHeight="1" s="45">
      <c r="A248" s="61" t="n">
        <v>46041</v>
      </c>
      <c r="B248" s="62" t="inlineStr">
        <is>
          <t>Antes-Projeto</t>
        </is>
      </c>
      <c r="C248" s="72" t="inlineStr">
        <is>
          <t>Tempo Médio — 🟡 Amarelo (hh:mm)</t>
        </is>
      </c>
      <c r="D248" s="121" t="n">
        <v>0.02957175925925926</v>
      </c>
      <c r="E248" s="121" t="n">
        <v>0.03087962962962963</v>
      </c>
      <c r="F248" s="121" t="n">
        <v>0.1651967592592593</v>
      </c>
      <c r="G248" s="121" t="n">
        <v>0.2495949074074074</v>
      </c>
      <c r="H248" s="121" t="n">
        <v>0.0977662037037037</v>
      </c>
      <c r="I248" s="121" t="n">
        <v>0.1092592592592593</v>
      </c>
      <c r="J248" s="121" t="n">
        <v>0.0983912037037037</v>
      </c>
      <c r="K248" s="121" t="n">
        <v>0.03151620370370371</v>
      </c>
      <c r="L248" s="121" t="n">
        <v>0.1142592592592593</v>
      </c>
      <c r="M248" s="121" t="n">
        <v>0.03998842592592593</v>
      </c>
      <c r="N248" s="121" t="n">
        <v>0.08255787037037036</v>
      </c>
      <c r="O248" s="121" t="n">
        <v>0.04174768518518519</v>
      </c>
      <c r="P248" s="121" t="n">
        <v>0.1034606481481481</v>
      </c>
    </row>
    <row r="249" ht="15.75" customHeight="1" s="45">
      <c r="A249" s="61" t="n">
        <v>46041</v>
      </c>
      <c r="B249" s="62" t="inlineStr">
        <is>
          <t>Antes-Projeto</t>
        </is>
      </c>
      <c r="C249" s="74" t="inlineStr">
        <is>
          <t>Tempo Médio — 🟠 Laranja (hh:mm)</t>
        </is>
      </c>
      <c r="D249" s="122" t="n">
        <v>0.01113425925925926</v>
      </c>
      <c r="E249" s="122" t="n"/>
      <c r="F249" s="122" t="n">
        <v>0.01943287037037037</v>
      </c>
      <c r="G249" s="122" t="n">
        <v>0.006099537037037037</v>
      </c>
      <c r="H249" s="124" t="n">
        <v>0</v>
      </c>
      <c r="I249" s="122" t="n">
        <v>0.01041666666666667</v>
      </c>
      <c r="J249" s="122" t="n">
        <v>0.02844907407407407</v>
      </c>
      <c r="K249" s="122" t="n">
        <v>0.02634259259259259</v>
      </c>
      <c r="L249" s="122" t="n">
        <v>0.01710648148148148</v>
      </c>
      <c r="M249" s="122" t="n">
        <v>0.0403125</v>
      </c>
      <c r="N249" s="122" t="n">
        <v>0.01123842592592593</v>
      </c>
      <c r="O249" s="122" t="n">
        <v>0.009942129629629629</v>
      </c>
      <c r="P249" s="122" t="n">
        <v>0.02181712962962963</v>
      </c>
    </row>
    <row r="250" ht="15.75" customHeight="1" s="45">
      <c r="A250" s="76" t="n">
        <v>46041</v>
      </c>
      <c r="B250" s="77" t="inlineStr">
        <is>
          <t>Antes-Projeto</t>
        </is>
      </c>
      <c r="C250" s="78" t="inlineStr">
        <is>
          <t>Tempo Médio — 🟢 Verde   (hh:mm)</t>
        </is>
      </c>
      <c r="D250" s="123" t="n">
        <v>0.07150462962962963</v>
      </c>
      <c r="E250" s="123" t="n">
        <v>0.03622685185185185</v>
      </c>
      <c r="F250" s="123" t="n">
        <v>0.0950462962962963</v>
      </c>
      <c r="G250" s="123" t="n">
        <v>0.3068402777777778</v>
      </c>
      <c r="H250" s="123" t="n">
        <v>0.2178240740740741</v>
      </c>
      <c r="I250" s="123" t="n">
        <v>0.2549652777777778</v>
      </c>
      <c r="J250" s="123" t="n">
        <v>0.2895254629629629</v>
      </c>
      <c r="K250" s="123" t="n">
        <v>0.04199074074074074</v>
      </c>
      <c r="L250" s="123" t="n">
        <v>0.2170717592592593</v>
      </c>
      <c r="M250" s="123" t="n">
        <v>0.04302083333333333</v>
      </c>
      <c r="N250" s="123" t="n">
        <v>0.0706712962962963</v>
      </c>
      <c r="O250" s="123" t="n">
        <v>0.2373726851851852</v>
      </c>
      <c r="P250" s="123" t="n">
        <v>0.1226736111111111</v>
      </c>
    </row>
    <row r="251" ht="15.75" customHeight="1" s="45">
      <c r="A251" s="57" t="n">
        <v>46042</v>
      </c>
      <c r="B251" s="58" t="inlineStr">
        <is>
          <t>Antes-Projeto</t>
        </is>
      </c>
      <c r="C251" s="59" t="inlineStr">
        <is>
          <t>Acolhim. + Atend. Urgência + Atend. UPA</t>
        </is>
      </c>
      <c r="D251" s="60">
        <f>SUM(D252:D254)</f>
        <v/>
      </c>
      <c r="E251" s="60">
        <f>SUM(E252:E254)</f>
        <v/>
      </c>
      <c r="F251" s="60">
        <f>SUM(F252:F254)</f>
        <v/>
      </c>
      <c r="G251" s="60">
        <f>SUM(G252:G254)</f>
        <v/>
      </c>
      <c r="H251" s="60">
        <f>SUM(H252:H254)</f>
        <v/>
      </c>
      <c r="I251" s="60">
        <f>SUM(I252:I254)</f>
        <v/>
      </c>
      <c r="J251" s="60">
        <f>SUM(J252:J254)</f>
        <v/>
      </c>
      <c r="K251" s="60">
        <f>SUM(K252:K254)</f>
        <v/>
      </c>
      <c r="L251" s="60">
        <f>SUM(L252:L254)</f>
        <v/>
      </c>
      <c r="M251" s="60">
        <f>SUM(M252:M254)</f>
        <v/>
      </c>
      <c r="N251" s="60">
        <f>SUM(N252:N254)</f>
        <v/>
      </c>
      <c r="O251" s="60">
        <f>SUM(O252:O254)</f>
        <v/>
      </c>
      <c r="P251" s="60">
        <f>SUM(P252:P254)</f>
        <v/>
      </c>
    </row>
    <row r="252" ht="15.75" customHeight="1" s="45">
      <c r="A252" s="61" t="n">
        <v>46042</v>
      </c>
      <c r="B252" s="62" t="inlineStr">
        <is>
          <t>Antes-Projeto</t>
        </is>
      </c>
      <c r="C252" s="65" t="inlineStr">
        <is>
          <t>Acolhimento c/ Classif. de Risco</t>
        </is>
      </c>
      <c r="D252" s="66" t="n">
        <v>111</v>
      </c>
      <c r="E252" s="66" t="n">
        <v>55</v>
      </c>
      <c r="F252" s="66" t="n">
        <v>68</v>
      </c>
      <c r="G252" s="66" t="n">
        <v>67</v>
      </c>
      <c r="H252" s="66" t="n">
        <v>52</v>
      </c>
      <c r="I252" s="66" t="n">
        <v>74</v>
      </c>
      <c r="J252" s="66" t="n">
        <v>37</v>
      </c>
      <c r="K252" s="66" t="n">
        <v>126</v>
      </c>
      <c r="L252" s="66" t="n">
        <v>52</v>
      </c>
      <c r="M252" s="66" t="n">
        <v>63</v>
      </c>
      <c r="N252" s="66" t="n">
        <v>178</v>
      </c>
      <c r="O252" s="66" t="n">
        <v>4</v>
      </c>
      <c r="P252" s="66" t="n">
        <v>93</v>
      </c>
    </row>
    <row r="253" ht="15.75" customHeight="1" s="45">
      <c r="A253" s="61" t="n">
        <v>46042</v>
      </c>
      <c r="B253" s="62" t="inlineStr">
        <is>
          <t>Antes-Projeto</t>
        </is>
      </c>
      <c r="C253" s="63" t="inlineStr">
        <is>
          <t>Atend. Urgência Obs. ≤ 24h</t>
        </is>
      </c>
      <c r="D253" s="64" t="n">
        <v>19</v>
      </c>
      <c r="E253" s="64" t="n">
        <v>44</v>
      </c>
      <c r="F253" s="64" t="n">
        <v>26</v>
      </c>
      <c r="G253" s="64" t="n">
        <v>70</v>
      </c>
      <c r="H253" s="64" t="n">
        <v>36</v>
      </c>
      <c r="I253" s="64" t="n">
        <v>21</v>
      </c>
      <c r="J253" s="64" t="n">
        <v>45</v>
      </c>
      <c r="K253" s="64" t="n">
        <v>87</v>
      </c>
      <c r="L253" s="64" t="n">
        <v>69</v>
      </c>
      <c r="M253" s="64" t="n">
        <v>19</v>
      </c>
      <c r="N253" s="64" t="n">
        <v>42</v>
      </c>
      <c r="O253" s="64" t="n">
        <v>5</v>
      </c>
      <c r="P253" s="64" t="n">
        <v>35</v>
      </c>
    </row>
    <row r="254" ht="15.75" customHeight="1" s="45">
      <c r="A254" s="61" t="n">
        <v>46042</v>
      </c>
      <c r="B254" s="62" t="inlineStr">
        <is>
          <t>Antes-Projeto</t>
        </is>
      </c>
      <c r="C254" s="65" t="inlineStr">
        <is>
          <t>Atend. Médico em UPA</t>
        </is>
      </c>
      <c r="D254" s="66" t="n">
        <v>148</v>
      </c>
      <c r="E254" s="66" t="n">
        <v>49</v>
      </c>
      <c r="F254" s="66" t="n">
        <v>64</v>
      </c>
      <c r="G254" s="66" t="n">
        <v>38</v>
      </c>
      <c r="H254" s="66" t="n">
        <v>58</v>
      </c>
      <c r="I254" s="66" t="n">
        <v>73</v>
      </c>
      <c r="J254" s="66" t="n">
        <v>54</v>
      </c>
      <c r="K254" s="66" t="n">
        <v>72</v>
      </c>
      <c r="L254" s="66" t="n">
        <v>59</v>
      </c>
      <c r="M254" s="66" t="n">
        <v>45</v>
      </c>
      <c r="N254" s="66" t="n">
        <v>177</v>
      </c>
      <c r="O254" s="66" t="n">
        <v>7</v>
      </c>
      <c r="P254" s="66" t="n">
        <v>40</v>
      </c>
    </row>
    <row r="255" ht="15.75" customHeight="1" s="45">
      <c r="A255" s="61" t="n">
        <v>46042</v>
      </c>
      <c r="B255" s="62" t="inlineStr">
        <is>
          <t>Antes-Projeto</t>
        </is>
      </c>
      <c r="C255" s="63" t="inlineStr">
        <is>
          <t>Exames Laboratoriais</t>
        </is>
      </c>
      <c r="D255" s="64" t="n">
        <v>555</v>
      </c>
      <c r="E255" s="64" t="n">
        <v>362</v>
      </c>
      <c r="F255" s="64" t="n">
        <v>537</v>
      </c>
      <c r="G255" s="64" t="n">
        <v>86</v>
      </c>
      <c r="H255" s="64" t="n">
        <v>346</v>
      </c>
      <c r="I255" s="64" t="n">
        <v>312</v>
      </c>
      <c r="J255" s="64" t="n">
        <v>273</v>
      </c>
      <c r="K255" s="64" t="n">
        <v>572</v>
      </c>
      <c r="L255" s="64" t="n">
        <v>282</v>
      </c>
      <c r="M255" s="64" t="n">
        <v>388</v>
      </c>
      <c r="N255" s="64" t="n">
        <v>619</v>
      </c>
      <c r="O255" s="64" t="n">
        <v>36</v>
      </c>
      <c r="P255" s="64" t="n">
        <v>606</v>
      </c>
    </row>
    <row r="256" ht="15.75" customHeight="1" s="45">
      <c r="A256" s="61" t="n">
        <v>46042</v>
      </c>
      <c r="B256" s="62" t="inlineStr">
        <is>
          <t>Antes-Projeto</t>
        </is>
      </c>
      <c r="C256" s="65" t="inlineStr">
        <is>
          <t>Radiografias</t>
        </is>
      </c>
      <c r="D256" s="66" t="n">
        <v>21</v>
      </c>
      <c r="E256" s="66" t="n">
        <v>6</v>
      </c>
      <c r="F256" s="66" t="n">
        <v>19</v>
      </c>
      <c r="G256" s="66" t="n">
        <v>14</v>
      </c>
      <c r="H256" s="66" t="n">
        <v>10</v>
      </c>
      <c r="I256" s="66" t="n">
        <v>15</v>
      </c>
      <c r="J256" s="66" t="n">
        <v>12</v>
      </c>
      <c r="K256" s="66" t="n">
        <v>5</v>
      </c>
      <c r="L256" s="66" t="n">
        <v>13</v>
      </c>
      <c r="M256" s="66" t="n">
        <v>15</v>
      </c>
      <c r="N256" s="66" t="n">
        <v>23</v>
      </c>
      <c r="O256" s="66" t="n">
        <v>2</v>
      </c>
      <c r="P256" s="66" t="n">
        <v>28</v>
      </c>
    </row>
    <row r="257" ht="15.75" customHeight="1" s="45">
      <c r="A257" s="61" t="n">
        <v>46042</v>
      </c>
      <c r="B257" s="62" t="inlineStr">
        <is>
          <t>Antes-Projeto</t>
        </is>
      </c>
      <c r="C257" s="63" t="inlineStr">
        <is>
          <t>Eletrocardiogramas</t>
        </is>
      </c>
      <c r="D257" s="64" t="n">
        <v>7</v>
      </c>
      <c r="E257" s="64" t="n">
        <v>8</v>
      </c>
      <c r="F257" s="64" t="n">
        <v>10</v>
      </c>
      <c r="G257" s="64" t="n">
        <v>5</v>
      </c>
      <c r="H257" s="64" t="n">
        <v>10</v>
      </c>
      <c r="I257" s="64" t="n">
        <v>3</v>
      </c>
      <c r="J257" s="64" t="n">
        <v>9</v>
      </c>
      <c r="K257" s="64" t="n">
        <v>20</v>
      </c>
      <c r="L257" s="64" t="n">
        <v>16</v>
      </c>
      <c r="M257" s="64" t="n">
        <v>14</v>
      </c>
      <c r="N257" s="64" t="n">
        <v>10</v>
      </c>
      <c r="O257" s="64" t="n">
        <v>1</v>
      </c>
      <c r="P257" s="64" t="n">
        <v>20</v>
      </c>
    </row>
    <row r="258" ht="15.75" customHeight="1" s="45">
      <c r="A258" s="61" t="n">
        <v>46042</v>
      </c>
      <c r="B258" s="62" t="inlineStr">
        <is>
          <t>Antes-Projeto</t>
        </is>
      </c>
      <c r="C258" s="68" t="inlineStr">
        <is>
          <t>GAEs Abertas</t>
        </is>
      </c>
      <c r="D258" s="69" t="n">
        <v>216</v>
      </c>
      <c r="E258" s="69" t="n">
        <v>138</v>
      </c>
      <c r="F258" s="69" t="n">
        <v>150</v>
      </c>
      <c r="G258" s="69" t="n">
        <v>132</v>
      </c>
      <c r="H258" s="69" t="n">
        <v>103</v>
      </c>
      <c r="I258" s="69" t="n">
        <v>165</v>
      </c>
      <c r="J258" s="69" t="n">
        <v>98</v>
      </c>
      <c r="K258" s="69" t="n">
        <v>277</v>
      </c>
      <c r="L258" s="69" t="n">
        <v>172</v>
      </c>
      <c r="M258" s="69" t="n">
        <v>159</v>
      </c>
      <c r="N258" s="69" t="n">
        <v>180</v>
      </c>
      <c r="O258" s="69" t="n">
        <v>105</v>
      </c>
      <c r="P258" s="69" t="n">
        <v>209</v>
      </c>
    </row>
    <row r="259" ht="15.75" customHeight="1" s="45">
      <c r="A259" s="61" t="n">
        <v>46042</v>
      </c>
      <c r="B259" s="62" t="inlineStr">
        <is>
          <t>Antes-Projeto</t>
        </is>
      </c>
      <c r="C259" s="68" t="inlineStr">
        <is>
          <t>GAEs Classificadas</t>
        </is>
      </c>
      <c r="D259" s="69" t="n">
        <v>206</v>
      </c>
      <c r="E259" s="69" t="n">
        <v>135</v>
      </c>
      <c r="F259" s="69" t="n">
        <v>133</v>
      </c>
      <c r="G259" s="69" t="n">
        <v>131</v>
      </c>
      <c r="H259" s="69" t="n">
        <v>99</v>
      </c>
      <c r="I259" s="69" t="n">
        <v>138</v>
      </c>
      <c r="J259" s="69" t="n">
        <v>96</v>
      </c>
      <c r="K259" s="69" t="n">
        <v>236</v>
      </c>
      <c r="L259" s="69" t="n">
        <v>104</v>
      </c>
      <c r="M259" s="69" t="n">
        <v>146</v>
      </c>
      <c r="N259" s="69" t="n">
        <v>72</v>
      </c>
      <c r="O259" s="69" t="n">
        <v>6</v>
      </c>
      <c r="P259" s="69" t="n">
        <v>195</v>
      </c>
    </row>
    <row r="260" ht="15.75" customHeight="1" s="45">
      <c r="A260" s="61" t="n">
        <v>46042</v>
      </c>
      <c r="B260" s="62" t="inlineStr">
        <is>
          <t>Antes-Projeto</t>
        </is>
      </c>
      <c r="C260" s="70" t="inlineStr">
        <is>
          <t>Percentual de GAEs abertas classificadas</t>
        </is>
      </c>
      <c r="D260" s="71">
        <f>IFERROR(D259/D258,"-")</f>
        <v/>
      </c>
      <c r="E260" s="71">
        <f>IFERROR(E259/E258,"-")</f>
        <v/>
      </c>
      <c r="F260" s="71">
        <f>IFERROR(F259/F258,"-")</f>
        <v/>
      </c>
      <c r="G260" s="71">
        <f>IFERROR(G259/G258,"-")</f>
        <v/>
      </c>
      <c r="H260" s="71">
        <f>IFERROR(H259/H258,"-")</f>
        <v/>
      </c>
      <c r="I260" s="71">
        <f>IFERROR(I259/I258,"-")</f>
        <v/>
      </c>
      <c r="J260" s="71">
        <f>IFERROR(J259/J258,"-")</f>
        <v/>
      </c>
      <c r="K260" s="71">
        <f>IFERROR(K259/K258,"-")</f>
        <v/>
      </c>
      <c r="L260" s="71">
        <f>IFERROR(L259/L258,"-")</f>
        <v/>
      </c>
      <c r="M260" s="71">
        <f>IFERROR(M259/M258,"-")</f>
        <v/>
      </c>
      <c r="N260" s="71">
        <f>IFERROR(N259/N258,"-")</f>
        <v/>
      </c>
      <c r="O260" s="71">
        <f>IFERROR(O259/O258,"-")</f>
        <v/>
      </c>
      <c r="P260" s="71">
        <f>IFERROR(P259/P258,"-")</f>
        <v/>
      </c>
    </row>
    <row r="261" ht="15.75" customHeight="1" s="45">
      <c r="A261" s="61" t="n">
        <v>46042</v>
      </c>
      <c r="B261" s="62" t="inlineStr">
        <is>
          <t>Antes-Projeto</t>
        </is>
      </c>
      <c r="C261" s="72" t="inlineStr">
        <is>
          <t>Tempo Médio — 🟡 Amarelo (hh:mm)</t>
        </is>
      </c>
      <c r="D261" s="121" t="n">
        <v>0.09660879629629629</v>
      </c>
      <c r="E261" s="121" t="n">
        <v>0.2638657407407408</v>
      </c>
      <c r="F261" s="121" t="n">
        <v>0.1648958333333333</v>
      </c>
      <c r="G261" s="121" t="n">
        <v>0.1131944444444444</v>
      </c>
      <c r="H261" s="121" t="n">
        <v>0.07807870370370371</v>
      </c>
      <c r="I261" s="121" t="n">
        <v>0.09686342592592592</v>
      </c>
      <c r="J261" s="121" t="n">
        <v>0.05077546296296296</v>
      </c>
      <c r="K261" s="121" t="n">
        <v>0.1367013888888889</v>
      </c>
      <c r="L261" s="121" t="n">
        <v>0.1602777777777778</v>
      </c>
      <c r="M261" s="121" t="n">
        <v>0.04428240740740741</v>
      </c>
      <c r="N261" s="121" t="n">
        <v>0.4822106481481481</v>
      </c>
      <c r="O261" s="121" t="n"/>
      <c r="P261" s="121" t="n">
        <v>0.1150231481481482</v>
      </c>
    </row>
    <row r="262" ht="15.75" customHeight="1" s="45">
      <c r="A262" s="61" t="n">
        <v>46042</v>
      </c>
      <c r="B262" s="62" t="inlineStr">
        <is>
          <t>Antes-Projeto</t>
        </is>
      </c>
      <c r="C262" s="74" t="inlineStr">
        <is>
          <t>Tempo Médio — 🟠 Laranja (hh:mm)</t>
        </is>
      </c>
      <c r="D262" s="122" t="n">
        <v>0.01575231481481482</v>
      </c>
      <c r="E262" s="122" t="n">
        <v>0.01594907407407407</v>
      </c>
      <c r="F262" s="122" t="n">
        <v>0.01265046296296296</v>
      </c>
      <c r="G262" s="122" t="n">
        <v>0.02230324074074074</v>
      </c>
      <c r="H262" s="122" t="n">
        <v>0.01989583333333333</v>
      </c>
      <c r="I262" s="122" t="n">
        <v>0.01278935185185185</v>
      </c>
      <c r="J262" s="122" t="n">
        <v>0.08790509259259259</v>
      </c>
      <c r="K262" s="122" t="n">
        <v>0.02034722222222222</v>
      </c>
      <c r="L262" s="122" t="n">
        <v>0.02800925925925926</v>
      </c>
      <c r="M262" s="122" t="n">
        <v>0.0271875</v>
      </c>
      <c r="N262" s="122" t="n">
        <v>0.02653935185185185</v>
      </c>
      <c r="O262" s="124" t="n">
        <v>0</v>
      </c>
      <c r="P262" s="122" t="n">
        <v>0.03961805555555555</v>
      </c>
    </row>
    <row r="263" ht="15.75" customHeight="1" s="45">
      <c r="A263" s="76" t="n">
        <v>46042</v>
      </c>
      <c r="B263" s="77" t="inlineStr">
        <is>
          <t>Antes-Projeto</t>
        </is>
      </c>
      <c r="C263" s="78" t="inlineStr">
        <is>
          <t>Tempo Médio — 🟢 Verde   (hh:mm)</t>
        </is>
      </c>
      <c r="D263" s="123" t="n">
        <v>0.1328935185185185</v>
      </c>
      <c r="E263" s="123" t="n">
        <v>0.2537731481481482</v>
      </c>
      <c r="F263" s="123" t="n">
        <v>0.06862268518518519</v>
      </c>
      <c r="G263" s="123" t="n">
        <v>0.2767592592592593</v>
      </c>
      <c r="H263" s="123" t="n">
        <v>0.2534259259259259</v>
      </c>
      <c r="I263" s="123" t="n">
        <v>0.1211805555555556</v>
      </c>
      <c r="J263" s="123" t="n">
        <v>0.06136574074074074</v>
      </c>
      <c r="K263" s="123" t="n">
        <v>0.1838773148148148</v>
      </c>
      <c r="L263" s="123" t="n">
        <v>0.2472916666666667</v>
      </c>
      <c r="M263" s="123" t="n">
        <v>0.09619212962962963</v>
      </c>
      <c r="N263" s="123" t="n">
        <v>0.3435300925925926</v>
      </c>
      <c r="O263" s="123" t="n"/>
      <c r="P263" s="123" t="n">
        <v>0.1262847222222222</v>
      </c>
    </row>
    <row r="264" ht="15.75" customHeight="1" s="45">
      <c r="A264" s="57" t="n">
        <v>46043</v>
      </c>
      <c r="B264" s="58" t="inlineStr">
        <is>
          <t>Antes-Projeto</t>
        </is>
      </c>
      <c r="C264" s="59" t="inlineStr">
        <is>
          <t>Acolhim. + Atend. Urgência + Atend. UPA</t>
        </is>
      </c>
      <c r="D264" s="60">
        <f>SUM(D265:D267)</f>
        <v/>
      </c>
      <c r="E264" s="60">
        <f>SUM(E265:E267)</f>
        <v/>
      </c>
      <c r="F264" s="60">
        <f>SUM(F265:F267)</f>
        <v/>
      </c>
      <c r="G264" s="60">
        <f>SUM(G265:G267)</f>
        <v/>
      </c>
      <c r="H264" s="60">
        <f>SUM(H265:H267)</f>
        <v/>
      </c>
      <c r="I264" s="60">
        <f>SUM(I265:I267)</f>
        <v/>
      </c>
      <c r="J264" s="60">
        <f>SUM(J265:J267)</f>
        <v/>
      </c>
      <c r="K264" s="60">
        <f>SUM(K265:K267)</f>
        <v/>
      </c>
      <c r="L264" s="60">
        <f>SUM(L265:L267)</f>
        <v/>
      </c>
      <c r="M264" s="60">
        <f>SUM(M265:M267)</f>
        <v/>
      </c>
      <c r="N264" s="60">
        <f>SUM(N265:N267)</f>
        <v/>
      </c>
      <c r="O264" s="60">
        <f>SUM(O265:O267)</f>
        <v/>
      </c>
      <c r="P264" s="60">
        <f>SUM(P265:P267)</f>
        <v/>
      </c>
    </row>
    <row r="265" ht="15.75" customHeight="1" s="45">
      <c r="A265" s="61" t="n">
        <v>46043</v>
      </c>
      <c r="B265" s="62" t="inlineStr">
        <is>
          <t>Antes-Projeto</t>
        </is>
      </c>
      <c r="C265" s="63" t="inlineStr">
        <is>
          <t>Acolhimento c/ Classif. de Risco</t>
        </is>
      </c>
      <c r="D265" s="64" t="n">
        <v>108</v>
      </c>
      <c r="E265" s="64" t="n">
        <v>52</v>
      </c>
      <c r="F265" s="64" t="n">
        <v>57</v>
      </c>
      <c r="G265" s="64" t="n">
        <v>72</v>
      </c>
      <c r="H265" s="64" t="n">
        <v>55</v>
      </c>
      <c r="I265" s="64" t="n">
        <v>54</v>
      </c>
      <c r="J265" s="64" t="n">
        <v>37</v>
      </c>
      <c r="K265" s="64" t="n">
        <v>114</v>
      </c>
      <c r="L265" s="64" t="n">
        <v>57</v>
      </c>
      <c r="M265" s="64" t="n">
        <v>80</v>
      </c>
      <c r="N265" s="64" t="n">
        <v>198</v>
      </c>
      <c r="O265" s="64" t="n">
        <v>79</v>
      </c>
      <c r="P265" s="64" t="n">
        <v>72</v>
      </c>
    </row>
    <row r="266" ht="15.75" customHeight="1" s="45">
      <c r="A266" s="61" t="n">
        <v>46043</v>
      </c>
      <c r="B266" s="62" t="inlineStr">
        <is>
          <t>Antes-Projeto</t>
        </is>
      </c>
      <c r="C266" s="65" t="inlineStr">
        <is>
          <t>Atend. Urgência Obs. ≤ 24h</t>
        </is>
      </c>
      <c r="D266" s="66" t="n">
        <v>19</v>
      </c>
      <c r="E266" s="66" t="n">
        <v>51</v>
      </c>
      <c r="F266" s="66" t="n">
        <v>23</v>
      </c>
      <c r="G266" s="66" t="n">
        <v>46</v>
      </c>
      <c r="H266" s="66" t="n">
        <v>14</v>
      </c>
      <c r="I266" s="66" t="n">
        <v>32</v>
      </c>
      <c r="J266" s="66" t="n">
        <v>27</v>
      </c>
      <c r="K266" s="66" t="n">
        <v>53</v>
      </c>
      <c r="L266" s="66" t="n">
        <v>40</v>
      </c>
      <c r="M266" s="66" t="n">
        <v>385</v>
      </c>
      <c r="N266" s="66" t="n">
        <v>31</v>
      </c>
      <c r="O266" s="66" t="n">
        <v>17</v>
      </c>
      <c r="P266" s="66" t="n">
        <v>20</v>
      </c>
    </row>
    <row r="267" ht="15.75" customHeight="1" s="45">
      <c r="A267" s="61" t="n">
        <v>46043</v>
      </c>
      <c r="B267" s="62" t="inlineStr">
        <is>
          <t>Antes-Projeto</t>
        </is>
      </c>
      <c r="C267" s="63" t="inlineStr">
        <is>
          <t>Atend. Médico em UPA</t>
        </is>
      </c>
      <c r="D267" s="64" t="n">
        <v>157</v>
      </c>
      <c r="E267" s="64" t="n">
        <v>81</v>
      </c>
      <c r="F267" s="64" t="n">
        <v>46</v>
      </c>
      <c r="G267" s="64" t="n">
        <v>39</v>
      </c>
      <c r="H267" s="64" t="n">
        <v>70</v>
      </c>
      <c r="I267" s="64" t="n">
        <v>132</v>
      </c>
      <c r="J267" s="64" t="n">
        <v>53</v>
      </c>
      <c r="K267" s="64" t="n">
        <v>97</v>
      </c>
      <c r="L267" s="64" t="n">
        <v>72</v>
      </c>
      <c r="M267" s="64" t="n">
        <v>97</v>
      </c>
      <c r="N267" s="64" t="n">
        <v>189</v>
      </c>
      <c r="O267" s="64" t="n">
        <v>34</v>
      </c>
      <c r="P267" s="64" t="n">
        <v>60</v>
      </c>
    </row>
    <row r="268" ht="15.75" customHeight="1" s="45">
      <c r="A268" s="61" t="n">
        <v>46043</v>
      </c>
      <c r="B268" s="62" t="inlineStr">
        <is>
          <t>Antes-Projeto</t>
        </is>
      </c>
      <c r="C268" s="65" t="inlineStr">
        <is>
          <t>Exames Laboratoriais</t>
        </is>
      </c>
      <c r="D268" s="66" t="n">
        <v>479</v>
      </c>
      <c r="E268" s="66" t="n">
        <v>373</v>
      </c>
      <c r="F268" s="66" t="n">
        <v>299</v>
      </c>
      <c r="G268" s="66" t="n">
        <v>231</v>
      </c>
      <c r="H268" s="66" t="n">
        <v>269</v>
      </c>
      <c r="I268" s="66" t="n">
        <v>439</v>
      </c>
      <c r="J268" s="66" t="n">
        <v>176</v>
      </c>
      <c r="K268" s="66" t="n">
        <v>532</v>
      </c>
      <c r="L268" s="66" t="n">
        <v>573</v>
      </c>
      <c r="M268" s="66" t="n">
        <v>600</v>
      </c>
      <c r="N268" s="66" t="n">
        <v>602</v>
      </c>
      <c r="O268" s="66" t="n">
        <v>178</v>
      </c>
      <c r="P268" s="66" t="n">
        <v>159</v>
      </c>
    </row>
    <row r="269" ht="15.75" customHeight="1" s="45">
      <c r="A269" s="61" t="n">
        <v>46043</v>
      </c>
      <c r="B269" s="62" t="inlineStr">
        <is>
          <t>Antes-Projeto</t>
        </is>
      </c>
      <c r="C269" s="63" t="inlineStr">
        <is>
          <t>Radiografias</t>
        </is>
      </c>
      <c r="D269" s="64" t="n">
        <v>25</v>
      </c>
      <c r="E269" s="64" t="n">
        <v>13</v>
      </c>
      <c r="F269" s="64" t="n">
        <v>19</v>
      </c>
      <c r="G269" s="64" t="n">
        <v>7</v>
      </c>
      <c r="H269" s="64" t="n">
        <v>2</v>
      </c>
      <c r="I269" s="64" t="n">
        <v>26</v>
      </c>
      <c r="J269" s="64" t="n">
        <v>6</v>
      </c>
      <c r="K269" s="64" t="n">
        <v>15</v>
      </c>
      <c r="L269" s="64" t="n">
        <v>32</v>
      </c>
      <c r="M269" s="64" t="n">
        <v>35</v>
      </c>
      <c r="N269" s="64" t="n">
        <v>58</v>
      </c>
      <c r="O269" s="64" t="n">
        <v>18</v>
      </c>
      <c r="P269" s="64" t="n">
        <v>28</v>
      </c>
    </row>
    <row r="270" ht="15.75" customHeight="1" s="45">
      <c r="A270" s="61" t="n">
        <v>46043</v>
      </c>
      <c r="B270" s="62" t="inlineStr">
        <is>
          <t>Antes-Projeto</t>
        </is>
      </c>
      <c r="C270" s="65" t="inlineStr">
        <is>
          <t>Eletrocardiogramas</t>
        </is>
      </c>
      <c r="D270" s="66" t="n">
        <v>11</v>
      </c>
      <c r="E270" s="66" t="n">
        <v>11</v>
      </c>
      <c r="F270" s="66" t="n">
        <v>7</v>
      </c>
      <c r="G270" s="66" t="n">
        <v>6</v>
      </c>
      <c r="H270" s="66" t="n">
        <v>17</v>
      </c>
      <c r="I270" s="66" t="n">
        <v>11</v>
      </c>
      <c r="J270" s="66" t="n">
        <v>3</v>
      </c>
      <c r="K270" s="66" t="n">
        <v>22</v>
      </c>
      <c r="L270" s="66" t="n">
        <v>20</v>
      </c>
      <c r="M270" s="66" t="n">
        <v>17</v>
      </c>
      <c r="N270" s="66" t="n">
        <v>16</v>
      </c>
      <c r="O270" s="66" t="n">
        <v>3</v>
      </c>
      <c r="P270" s="66" t="n">
        <v>10</v>
      </c>
    </row>
    <row r="271" ht="15.75" customHeight="1" s="45">
      <c r="A271" s="61" t="n">
        <v>46043</v>
      </c>
      <c r="B271" s="62" t="inlineStr">
        <is>
          <t>Antes-Projeto</t>
        </is>
      </c>
      <c r="C271" s="68" t="inlineStr">
        <is>
          <t>GAEs Abertas</t>
        </is>
      </c>
      <c r="D271" s="69" t="n">
        <v>222</v>
      </c>
      <c r="E271" s="69" t="n">
        <v>161</v>
      </c>
      <c r="F271" s="69" t="n">
        <v>151</v>
      </c>
      <c r="G271" s="69" t="n">
        <v>136</v>
      </c>
      <c r="H271" s="69" t="n">
        <v>114</v>
      </c>
      <c r="I271" s="69" t="n">
        <v>193</v>
      </c>
      <c r="J271" s="69" t="n">
        <v>94</v>
      </c>
      <c r="K271" s="69" t="n">
        <v>254</v>
      </c>
      <c r="L271" s="69" t="n">
        <v>134</v>
      </c>
      <c r="M271" s="69" t="n">
        <v>187</v>
      </c>
      <c r="N271" s="69" t="n">
        <v>202</v>
      </c>
      <c r="O271" s="69" t="n">
        <v>215</v>
      </c>
      <c r="P271" s="69" t="n">
        <v>190</v>
      </c>
    </row>
    <row r="272" ht="15.75" customHeight="1" s="45">
      <c r="A272" s="61" t="n">
        <v>46043</v>
      </c>
      <c r="B272" s="62" t="inlineStr">
        <is>
          <t>Antes-Projeto</t>
        </is>
      </c>
      <c r="C272" s="68" t="inlineStr">
        <is>
          <t>GAEs Classificadas</t>
        </is>
      </c>
      <c r="D272" s="69" t="n">
        <v>196</v>
      </c>
      <c r="E272" s="69" t="n">
        <v>147</v>
      </c>
      <c r="F272" s="69" t="n">
        <v>145</v>
      </c>
      <c r="G272" s="69" t="n">
        <v>127</v>
      </c>
      <c r="H272" s="69" t="n">
        <v>109</v>
      </c>
      <c r="I272" s="69" t="n">
        <v>179</v>
      </c>
      <c r="J272" s="69" t="n">
        <v>87</v>
      </c>
      <c r="K272" s="69" t="n">
        <v>225</v>
      </c>
      <c r="L272" s="69" t="n">
        <v>114</v>
      </c>
      <c r="M272" s="69" t="n">
        <v>175</v>
      </c>
      <c r="N272" s="69" t="n">
        <v>189</v>
      </c>
      <c r="O272" s="69" t="n">
        <v>194</v>
      </c>
      <c r="P272" s="69" t="n">
        <v>181</v>
      </c>
    </row>
    <row r="273" ht="15.75" customHeight="1" s="45">
      <c r="A273" s="61" t="n">
        <v>46043</v>
      </c>
      <c r="B273" s="62" t="inlineStr">
        <is>
          <t>Antes-Projeto</t>
        </is>
      </c>
      <c r="C273" s="70" t="inlineStr">
        <is>
          <t>Percentual de GAEs abertas classificadas</t>
        </is>
      </c>
      <c r="D273" s="71">
        <f>IFERROR(D272/D271,"-")</f>
        <v/>
      </c>
      <c r="E273" s="71">
        <f>IFERROR(E272/E271,"-")</f>
        <v/>
      </c>
      <c r="F273" s="71">
        <f>IFERROR(F272/F271,"-")</f>
        <v/>
      </c>
      <c r="G273" s="71">
        <f>IFERROR(G272/G271,"-")</f>
        <v/>
      </c>
      <c r="H273" s="71">
        <f>IFERROR(H272/H271,"-")</f>
        <v/>
      </c>
      <c r="I273" s="71">
        <f>IFERROR(I272/I271,"-")</f>
        <v/>
      </c>
      <c r="J273" s="71">
        <f>IFERROR(J272/J271,"-")</f>
        <v/>
      </c>
      <c r="K273" s="71">
        <f>IFERROR(K272/K271,"-")</f>
        <v/>
      </c>
      <c r="L273" s="71">
        <f>IFERROR(L272/L271,"-")</f>
        <v/>
      </c>
      <c r="M273" s="71">
        <f>IFERROR(M272/M271,"-")</f>
        <v/>
      </c>
      <c r="N273" s="71">
        <f>IFERROR(N272/N271,"-")</f>
        <v/>
      </c>
      <c r="O273" s="71">
        <f>IFERROR(O272/O271,"-")</f>
        <v/>
      </c>
      <c r="P273" s="71">
        <f>IFERROR(P272/P271,"-")</f>
        <v/>
      </c>
    </row>
    <row r="274" ht="15.75" customHeight="1" s="45">
      <c r="A274" s="61" t="n">
        <v>46043</v>
      </c>
      <c r="B274" s="62" t="inlineStr">
        <is>
          <t>Antes-Projeto</t>
        </is>
      </c>
      <c r="C274" s="72" t="inlineStr">
        <is>
          <t>Tempo Médio — 🟡 Amarelo (hh:mm)</t>
        </is>
      </c>
      <c r="D274" s="121" t="n">
        <v>0.0434375</v>
      </c>
      <c r="E274" s="121" t="n">
        <v>0.08405092592592593</v>
      </c>
      <c r="F274" s="121" t="n">
        <v>0.1212615740740741</v>
      </c>
      <c r="G274" s="121" t="n">
        <v>0.06412037037037037</v>
      </c>
      <c r="H274" s="121" t="n">
        <v>0.09642361111111111</v>
      </c>
      <c r="I274" s="121" t="n">
        <v>0.1070601851851852</v>
      </c>
      <c r="J274" s="121" t="n">
        <v>0.1248263888888889</v>
      </c>
      <c r="K274" s="121" t="n">
        <v>0.08604166666666667</v>
      </c>
      <c r="L274" s="121" t="n">
        <v>0.1903240740740741</v>
      </c>
      <c r="M274" s="121" t="n">
        <v>0.03942129629629629</v>
      </c>
      <c r="N274" s="121" t="n">
        <v>0.1266666666666667</v>
      </c>
      <c r="O274" s="121" t="n">
        <v>0.1248611111111111</v>
      </c>
      <c r="P274" s="121" t="n">
        <v>0.1109027777777778</v>
      </c>
    </row>
    <row r="275" ht="15.75" customHeight="1" s="45">
      <c r="A275" s="61" t="n">
        <v>46043</v>
      </c>
      <c r="B275" s="62" t="inlineStr">
        <is>
          <t>Antes-Projeto</t>
        </is>
      </c>
      <c r="C275" s="74" t="inlineStr">
        <is>
          <t>Tempo Médio — 🟠 Laranja (hh:mm)</t>
        </is>
      </c>
      <c r="D275" s="122" t="n">
        <v>0.01565972222222222</v>
      </c>
      <c r="E275" s="122" t="n">
        <v>0.01741898148148148</v>
      </c>
      <c r="F275" s="122" t="n">
        <v>0.008750000000000001</v>
      </c>
      <c r="G275" s="122" t="n">
        <v>0.02199074074074074</v>
      </c>
      <c r="H275" s="122" t="n">
        <v>0.02332175925925926</v>
      </c>
      <c r="I275" s="122" t="n">
        <v>0.01494212962962963</v>
      </c>
      <c r="J275" s="122" t="n">
        <v>0.008576388888888889</v>
      </c>
      <c r="K275" s="122" t="n">
        <v>0.07600694444444445</v>
      </c>
      <c r="L275" s="122" t="n">
        <v>0.02524305555555556</v>
      </c>
      <c r="M275" s="122" t="n">
        <v>0.01275462962962963</v>
      </c>
      <c r="N275" s="122" t="n">
        <v>0.02456018518518518</v>
      </c>
      <c r="O275" s="122" t="n">
        <v>0.02759259259259259</v>
      </c>
      <c r="P275" s="122" t="n">
        <v>0.01563657407407407</v>
      </c>
    </row>
    <row r="276" ht="15.75" customHeight="1" s="45">
      <c r="A276" s="76" t="n">
        <v>46043</v>
      </c>
      <c r="B276" s="77" t="inlineStr">
        <is>
          <t>Antes-Projeto</t>
        </is>
      </c>
      <c r="C276" s="78" t="inlineStr">
        <is>
          <t>Tempo Médio — 🟢 Verde   (hh:mm)</t>
        </is>
      </c>
      <c r="D276" s="123" t="n">
        <v>0.07337962962962963</v>
      </c>
      <c r="E276" s="123" t="n">
        <v>0.2338657407407407</v>
      </c>
      <c r="F276" s="123" t="n">
        <v>0.1271527777777778</v>
      </c>
      <c r="G276" s="123" t="n">
        <v>0.180462962962963</v>
      </c>
      <c r="H276" s="123" t="n">
        <v>0.1669675925925926</v>
      </c>
      <c r="I276" s="123" t="n">
        <v>0.1953703703703704</v>
      </c>
      <c r="J276" s="123" t="n">
        <v>0.1589699074074074</v>
      </c>
      <c r="K276" s="123" t="n">
        <v>0.1065046296296296</v>
      </c>
      <c r="L276" s="123" t="n">
        <v>0.1498611111111111</v>
      </c>
      <c r="M276" s="123" t="n">
        <v>0.1524768518518519</v>
      </c>
      <c r="N276" s="123" t="n">
        <v>0.1003356481481481</v>
      </c>
      <c r="O276" s="123" t="n">
        <v>0.1392939814814815</v>
      </c>
      <c r="P276" s="123" t="n">
        <v>0.1106597222222222</v>
      </c>
    </row>
    <row r="277" ht="15.75" customHeight="1" s="45">
      <c r="A277" s="57" t="n">
        <v>46044</v>
      </c>
      <c r="B277" s="58" t="inlineStr">
        <is>
          <t>Antes-Projeto</t>
        </is>
      </c>
      <c r="C277" s="59" t="inlineStr">
        <is>
          <t>Acolhim. + Atend. Urgência + Atend. UPA</t>
        </is>
      </c>
      <c r="D277" s="60">
        <f>SUM(D278:D280)</f>
        <v/>
      </c>
      <c r="E277" s="60">
        <f>SUM(E278:E280)</f>
        <v/>
      </c>
      <c r="F277" s="60">
        <f>SUM(F278:F280)</f>
        <v/>
      </c>
      <c r="G277" s="60">
        <f>SUM(G278:G280)</f>
        <v/>
      </c>
      <c r="H277" s="60">
        <f>SUM(H278:H280)</f>
        <v/>
      </c>
      <c r="I277" s="60">
        <f>SUM(I278:I280)</f>
        <v/>
      </c>
      <c r="J277" s="60">
        <f>SUM(J278:J280)</f>
        <v/>
      </c>
      <c r="K277" s="60">
        <f>SUM(K278:K280)</f>
        <v/>
      </c>
      <c r="L277" s="60">
        <f>SUM(L278:L280)</f>
        <v/>
      </c>
      <c r="M277" s="60">
        <f>SUM(M278:M280)</f>
        <v/>
      </c>
      <c r="N277" s="60">
        <f>SUM(N278:N280)</f>
        <v/>
      </c>
      <c r="O277" s="60">
        <f>SUM(O278:O280)</f>
        <v/>
      </c>
      <c r="P277" s="60">
        <f>SUM(P278:P280)</f>
        <v/>
      </c>
    </row>
    <row r="278" ht="15.75" customHeight="1" s="45">
      <c r="A278" s="61" t="n">
        <v>46044</v>
      </c>
      <c r="B278" s="62" t="inlineStr">
        <is>
          <t>Antes-Projeto</t>
        </is>
      </c>
      <c r="C278" s="65" t="inlineStr">
        <is>
          <t>Acolhimento c/ Classif. de Risco</t>
        </is>
      </c>
      <c r="D278" s="66" t="n">
        <v>117</v>
      </c>
      <c r="E278" s="66" t="n">
        <v>53</v>
      </c>
      <c r="F278" s="66" t="n">
        <v>63</v>
      </c>
      <c r="G278" s="66" t="n">
        <v>69</v>
      </c>
      <c r="H278" s="66" t="n">
        <v>88</v>
      </c>
      <c r="I278" s="66" t="n">
        <v>84</v>
      </c>
      <c r="J278" s="66" t="n">
        <v>32</v>
      </c>
      <c r="K278" s="66" t="n">
        <v>133</v>
      </c>
      <c r="L278" s="66" t="n">
        <v>38</v>
      </c>
      <c r="M278" s="66" t="n">
        <v>85</v>
      </c>
      <c r="N278" s="66" t="n">
        <v>181</v>
      </c>
      <c r="O278" s="66" t="n">
        <v>171</v>
      </c>
      <c r="P278" s="66" t="n">
        <v>44</v>
      </c>
    </row>
    <row r="279" ht="15.75" customHeight="1" s="45">
      <c r="A279" s="61" t="n">
        <v>46044</v>
      </c>
      <c r="B279" s="62" t="inlineStr">
        <is>
          <t>Antes-Projeto</t>
        </is>
      </c>
      <c r="C279" s="63" t="inlineStr">
        <is>
          <t>Atend. Urgência Obs. ≤ 24h</t>
        </is>
      </c>
      <c r="D279" s="64" t="n">
        <v>30</v>
      </c>
      <c r="E279" s="64" t="n">
        <v>67</v>
      </c>
      <c r="F279" s="64" t="n">
        <v>20</v>
      </c>
      <c r="G279" s="64" t="n">
        <v>68</v>
      </c>
      <c r="H279" s="64" t="n">
        <v>62</v>
      </c>
      <c r="I279" s="64" t="n">
        <v>26</v>
      </c>
      <c r="J279" s="64" t="n">
        <v>19</v>
      </c>
      <c r="K279" s="64" t="n">
        <v>55</v>
      </c>
      <c r="L279" s="64" t="n">
        <v>33</v>
      </c>
      <c r="M279" s="64" t="n">
        <v>57</v>
      </c>
      <c r="N279" s="64" t="n">
        <v>44</v>
      </c>
      <c r="O279" s="64" t="n">
        <v>15</v>
      </c>
      <c r="P279" s="64" t="n">
        <v>23</v>
      </c>
    </row>
    <row r="280" ht="15.75" customHeight="1" s="45">
      <c r="A280" s="61" t="n">
        <v>46044</v>
      </c>
      <c r="B280" s="62" t="inlineStr">
        <is>
          <t>Antes-Projeto</t>
        </is>
      </c>
      <c r="C280" s="65" t="inlineStr">
        <is>
          <t>Atend. Médico em UPA</t>
        </is>
      </c>
      <c r="D280" s="66" t="n">
        <v>130</v>
      </c>
      <c r="E280" s="66" t="n">
        <v>67</v>
      </c>
      <c r="F280" s="66" t="n">
        <v>47</v>
      </c>
      <c r="G280" s="66" t="n">
        <v>56</v>
      </c>
      <c r="H280" s="66" t="n">
        <v>96</v>
      </c>
      <c r="I280" s="66" t="n">
        <v>86</v>
      </c>
      <c r="J280" s="66" t="n">
        <v>29</v>
      </c>
      <c r="K280" s="66" t="n">
        <v>114</v>
      </c>
      <c r="L280" s="66" t="n">
        <v>79</v>
      </c>
      <c r="M280" s="66" t="n">
        <v>70</v>
      </c>
      <c r="N280" s="66" t="n">
        <v>185</v>
      </c>
      <c r="O280" s="66" t="n">
        <v>133</v>
      </c>
      <c r="P280" s="66" t="n">
        <v>47</v>
      </c>
    </row>
    <row r="281" ht="15.75" customHeight="1" s="45">
      <c r="A281" s="61" t="n">
        <v>46044</v>
      </c>
      <c r="B281" s="62" t="inlineStr">
        <is>
          <t>Antes-Projeto</t>
        </is>
      </c>
      <c r="C281" s="63" t="inlineStr">
        <is>
          <t>Exames Laboratoriais</t>
        </is>
      </c>
      <c r="D281" s="64" t="n">
        <v>785</v>
      </c>
      <c r="E281" s="64" t="n">
        <v>389</v>
      </c>
      <c r="F281" s="64" t="n">
        <v>479</v>
      </c>
      <c r="G281" s="64" t="n">
        <v>297</v>
      </c>
      <c r="H281" s="64" t="n">
        <v>389</v>
      </c>
      <c r="I281" s="64" t="n">
        <v>356</v>
      </c>
      <c r="J281" s="64" t="n">
        <v>180</v>
      </c>
      <c r="K281" s="64" t="n">
        <v>984</v>
      </c>
      <c r="L281" s="64" t="n">
        <v>422</v>
      </c>
      <c r="M281" s="64" t="n">
        <v>501</v>
      </c>
      <c r="N281" s="64" t="n">
        <v>504</v>
      </c>
      <c r="O281" s="64" t="n">
        <v>292</v>
      </c>
      <c r="P281" s="64" t="n">
        <v>422</v>
      </c>
    </row>
    <row r="282" ht="15.75" customHeight="1" s="45">
      <c r="A282" s="61" t="n">
        <v>46044</v>
      </c>
      <c r="B282" s="62" t="inlineStr">
        <is>
          <t>Antes-Projeto</t>
        </is>
      </c>
      <c r="C282" s="65" t="inlineStr">
        <is>
          <t>Radiografias</t>
        </is>
      </c>
      <c r="D282" s="66" t="n">
        <v>25</v>
      </c>
      <c r="E282" s="67" t="n">
        <v>0</v>
      </c>
      <c r="F282" s="66" t="n">
        <v>28</v>
      </c>
      <c r="G282" s="66" t="n">
        <v>16</v>
      </c>
      <c r="H282" s="66" t="n">
        <v>18</v>
      </c>
      <c r="I282" s="66" t="n">
        <v>18</v>
      </c>
      <c r="J282" s="66" t="n">
        <v>12</v>
      </c>
      <c r="K282" s="66" t="n">
        <v>8</v>
      </c>
      <c r="L282" s="66" t="n">
        <v>19</v>
      </c>
      <c r="M282" s="66" t="n">
        <v>43</v>
      </c>
      <c r="N282" s="66" t="n">
        <v>40</v>
      </c>
      <c r="O282" s="66" t="n">
        <v>32</v>
      </c>
      <c r="P282" s="66" t="n">
        <v>20</v>
      </c>
    </row>
    <row r="283" ht="15.75" customHeight="1" s="45">
      <c r="A283" s="61" t="n">
        <v>46044</v>
      </c>
      <c r="B283" s="62" t="inlineStr">
        <is>
          <t>Antes-Projeto</t>
        </is>
      </c>
      <c r="C283" s="63" t="inlineStr">
        <is>
          <t>Eletrocardiogramas</t>
        </is>
      </c>
      <c r="D283" s="64" t="n">
        <v>6</v>
      </c>
      <c r="E283" s="64" t="n">
        <v>5</v>
      </c>
      <c r="F283" s="64" t="n">
        <v>14</v>
      </c>
      <c r="G283" s="64" t="n">
        <v>9</v>
      </c>
      <c r="H283" s="64" t="n">
        <v>5</v>
      </c>
      <c r="I283" s="64" t="n">
        <v>3</v>
      </c>
      <c r="J283" s="64" t="n">
        <v>4</v>
      </c>
      <c r="K283" s="64" t="n">
        <v>15</v>
      </c>
      <c r="L283" s="64" t="n">
        <v>10</v>
      </c>
      <c r="M283" s="64" t="n">
        <v>18</v>
      </c>
      <c r="N283" s="64" t="n">
        <v>22</v>
      </c>
      <c r="O283" s="64" t="n">
        <v>15</v>
      </c>
      <c r="P283" s="64" t="n">
        <v>12</v>
      </c>
    </row>
    <row r="284" ht="15.75" customHeight="1" s="45">
      <c r="A284" s="61" t="n">
        <v>46044</v>
      </c>
      <c r="B284" s="62" t="inlineStr">
        <is>
          <t>Antes-Projeto</t>
        </is>
      </c>
      <c r="C284" s="68" t="inlineStr">
        <is>
          <t>GAEs Abertas</t>
        </is>
      </c>
      <c r="D284" s="69" t="n">
        <v>233</v>
      </c>
      <c r="E284" s="69" t="n">
        <v>140</v>
      </c>
      <c r="F284" s="69" t="n">
        <v>146</v>
      </c>
      <c r="G284" s="69" t="n">
        <v>139</v>
      </c>
      <c r="H284" s="69" t="n">
        <v>138</v>
      </c>
      <c r="I284" s="69" t="n">
        <v>176</v>
      </c>
      <c r="J284" s="69" t="n">
        <v>95</v>
      </c>
      <c r="K284" s="69" t="n">
        <v>263</v>
      </c>
      <c r="L284" s="69" t="n">
        <v>118</v>
      </c>
      <c r="M284" s="69" t="n">
        <v>186</v>
      </c>
      <c r="N284" s="69" t="n">
        <v>181</v>
      </c>
      <c r="O284" s="69" t="n">
        <v>380</v>
      </c>
      <c r="P284" s="69" t="n">
        <v>108</v>
      </c>
    </row>
    <row r="285" ht="15.75" customHeight="1" s="45">
      <c r="A285" s="61" t="n">
        <v>46044</v>
      </c>
      <c r="B285" s="62" t="inlineStr">
        <is>
          <t>Antes-Projeto</t>
        </is>
      </c>
      <c r="C285" s="68" t="inlineStr">
        <is>
          <t>GAEs Classificadas</t>
        </is>
      </c>
      <c r="D285" s="69" t="n">
        <v>193</v>
      </c>
      <c r="E285" s="69" t="n">
        <v>133</v>
      </c>
      <c r="F285" s="69" t="n">
        <v>138</v>
      </c>
      <c r="G285" s="69" t="n">
        <v>128</v>
      </c>
      <c r="H285" s="69" t="n">
        <v>136</v>
      </c>
      <c r="I285" s="69" t="n">
        <v>163</v>
      </c>
      <c r="J285" s="69" t="n">
        <v>91</v>
      </c>
      <c r="K285" s="69" t="n">
        <v>223</v>
      </c>
      <c r="L285" s="69" t="n">
        <v>106</v>
      </c>
      <c r="M285" s="69" t="n">
        <v>170</v>
      </c>
      <c r="N285" s="69" t="n">
        <v>168</v>
      </c>
      <c r="O285" s="69" t="n">
        <v>301</v>
      </c>
      <c r="P285" s="69" t="n">
        <v>93</v>
      </c>
    </row>
    <row r="286" ht="15.75" customHeight="1" s="45">
      <c r="A286" s="61" t="n">
        <v>46044</v>
      </c>
      <c r="B286" s="62" t="inlineStr">
        <is>
          <t>Antes-Projeto</t>
        </is>
      </c>
      <c r="C286" s="70" t="inlineStr">
        <is>
          <t>Percentual de GAEs abertas classificadas</t>
        </is>
      </c>
      <c r="D286" s="71">
        <f>IFERROR(D285/D284,"-")</f>
        <v/>
      </c>
      <c r="E286" s="71">
        <f>IFERROR(E285/E284,"-")</f>
        <v/>
      </c>
      <c r="F286" s="71">
        <f>IFERROR(F285/F284,"-")</f>
        <v/>
      </c>
      <c r="G286" s="71">
        <f>IFERROR(G285/G284,"-")</f>
        <v/>
      </c>
      <c r="H286" s="71">
        <f>IFERROR(H285/H284,"-")</f>
        <v/>
      </c>
      <c r="I286" s="71">
        <f>IFERROR(I285/I284,"-")</f>
        <v/>
      </c>
      <c r="J286" s="71">
        <f>IFERROR(J285/J284,"-")</f>
        <v/>
      </c>
      <c r="K286" s="71">
        <f>IFERROR(K285/K284,"-")</f>
        <v/>
      </c>
      <c r="L286" s="71">
        <f>IFERROR(L285/L284,"-")</f>
        <v/>
      </c>
      <c r="M286" s="71">
        <f>IFERROR(M285/M284,"-")</f>
        <v/>
      </c>
      <c r="N286" s="71">
        <f>IFERROR(N285/N284,"-")</f>
        <v/>
      </c>
      <c r="O286" s="71">
        <f>IFERROR(O285/O284,"-")</f>
        <v/>
      </c>
      <c r="P286" s="71">
        <f>IFERROR(P285/P284,"-")</f>
        <v/>
      </c>
    </row>
    <row r="287" ht="15.75" customHeight="1" s="45">
      <c r="A287" s="61" t="n">
        <v>46044</v>
      </c>
      <c r="B287" s="62" t="inlineStr">
        <is>
          <t>Antes-Projeto</t>
        </is>
      </c>
      <c r="C287" s="72" t="inlineStr">
        <is>
          <t>Tempo Médio — 🟡 Amarelo (hh:mm)</t>
        </is>
      </c>
      <c r="D287" s="121" t="n">
        <v>0.0699074074074074</v>
      </c>
      <c r="E287" s="121" t="n">
        <v>0.1111574074074074</v>
      </c>
      <c r="F287" s="121" t="n">
        <v>0.07678240740740741</v>
      </c>
      <c r="G287" s="121" t="n">
        <v>0.07526620370370371</v>
      </c>
      <c r="H287" s="121" t="n">
        <v>0.05168981481481481</v>
      </c>
      <c r="I287" s="121" t="n">
        <v>0.1056712962962963</v>
      </c>
      <c r="J287" s="121" t="n">
        <v>0.09336805555555555</v>
      </c>
      <c r="K287" s="121" t="n">
        <v>0.0939699074074074</v>
      </c>
      <c r="L287" s="121" t="n">
        <v>0.1562152777777778</v>
      </c>
      <c r="M287" s="121" t="n">
        <v>0.03642361111111111</v>
      </c>
      <c r="N287" s="121" t="n">
        <v>0.07086805555555556</v>
      </c>
      <c r="O287" s="121" t="n">
        <v>0.0478587962962963</v>
      </c>
      <c r="P287" s="121" t="n">
        <v>0.05717592592592593</v>
      </c>
    </row>
    <row r="288" ht="15.75" customHeight="1" s="45">
      <c r="A288" s="61" t="n">
        <v>46044</v>
      </c>
      <c r="B288" s="62" t="inlineStr">
        <is>
          <t>Antes-Projeto</t>
        </is>
      </c>
      <c r="C288" s="74" t="inlineStr">
        <is>
          <t>Tempo Médio — 🟠 Laranja (hh:mm)</t>
        </is>
      </c>
      <c r="D288" s="122" t="n">
        <v>0.009444444444444445</v>
      </c>
      <c r="E288" s="122" t="n">
        <v>0.01378472222222222</v>
      </c>
      <c r="F288" s="122" t="n">
        <v>0.008518518518518519</v>
      </c>
      <c r="G288" s="122" t="n">
        <v>0.01247685185185185</v>
      </c>
      <c r="H288" s="122" t="n">
        <v>0.004143518518518519</v>
      </c>
      <c r="I288" s="122" t="n">
        <v>0.00974537037037037</v>
      </c>
      <c r="J288" s="122" t="n">
        <v>0.02408564814814815</v>
      </c>
      <c r="K288" s="122" t="n">
        <v>0.0159375</v>
      </c>
      <c r="L288" s="122" t="n">
        <v>0.02053240740740741</v>
      </c>
      <c r="M288" s="122" t="n">
        <v>0.01239583333333333</v>
      </c>
      <c r="N288" s="122" t="n">
        <v>0.009212962962962963</v>
      </c>
      <c r="O288" s="122" t="n">
        <v>0.01033564814814815</v>
      </c>
      <c r="P288" s="122" t="n">
        <v>0.014375</v>
      </c>
    </row>
    <row r="289" ht="15.75" customHeight="1" s="45">
      <c r="A289" s="76" t="n">
        <v>46044</v>
      </c>
      <c r="B289" s="77" t="inlineStr">
        <is>
          <t>Antes-Projeto</t>
        </is>
      </c>
      <c r="C289" s="78" t="inlineStr">
        <is>
          <t>Tempo Médio — 🟢 Verde   (hh:mm)</t>
        </is>
      </c>
      <c r="D289" s="123" t="n">
        <v>0.1028819444444444</v>
      </c>
      <c r="E289" s="123" t="n">
        <v>0.241099537037037</v>
      </c>
      <c r="F289" s="123" t="n">
        <v>0.1638888888888889</v>
      </c>
      <c r="G289" s="123" t="n">
        <v>0.1983796296296296</v>
      </c>
      <c r="H289" s="123" t="n">
        <v>0.5739004629629629</v>
      </c>
      <c r="I289" s="123" t="n">
        <v>0.2382060185185185</v>
      </c>
      <c r="J289" s="123" t="n">
        <v>0.2075578703703704</v>
      </c>
      <c r="K289" s="123" t="n">
        <v>0.1315972222222222</v>
      </c>
      <c r="L289" s="123" t="n">
        <v>0.09920138888888889</v>
      </c>
      <c r="M289" s="123" t="n">
        <v>0.05537037037037037</v>
      </c>
      <c r="N289" s="123" t="n">
        <v>0.2162615740740741</v>
      </c>
      <c r="O289" s="123" t="n">
        <v>0.07653935185185186</v>
      </c>
      <c r="P289" s="123" t="n">
        <v>0.1688310185185185</v>
      </c>
    </row>
    <row r="290" ht="15.75" customHeight="1" s="45">
      <c r="A290" s="57" t="n">
        <v>46045</v>
      </c>
      <c r="B290" s="58" t="inlineStr">
        <is>
          <t>Antes-Projeto</t>
        </is>
      </c>
      <c r="C290" s="59" t="inlineStr">
        <is>
          <t>Acolhim. + Atend. Urgência + Atend. UPA</t>
        </is>
      </c>
      <c r="D290" s="60">
        <f>SUM(D291:D293)</f>
        <v/>
      </c>
      <c r="E290" s="60">
        <f>SUM(E291:E293)</f>
        <v/>
      </c>
      <c r="F290" s="60">
        <f>SUM(F291:F293)</f>
        <v/>
      </c>
      <c r="G290" s="60">
        <f>SUM(G291:G293)</f>
        <v/>
      </c>
      <c r="H290" s="60">
        <f>SUM(H291:H293)</f>
        <v/>
      </c>
      <c r="I290" s="60">
        <f>SUM(I291:I293)</f>
        <v/>
      </c>
      <c r="J290" s="60">
        <f>SUM(J291:J293)</f>
        <v/>
      </c>
      <c r="K290" s="60">
        <f>SUM(K291:K293)</f>
        <v/>
      </c>
      <c r="L290" s="60">
        <f>SUM(L291:L293)</f>
        <v/>
      </c>
      <c r="M290" s="60">
        <f>SUM(M291:M293)</f>
        <v/>
      </c>
      <c r="N290" s="60">
        <f>SUM(N291:N293)</f>
        <v/>
      </c>
      <c r="O290" s="60">
        <f>SUM(O291:O293)</f>
        <v/>
      </c>
      <c r="P290" s="60">
        <f>SUM(P291:P293)</f>
        <v/>
      </c>
    </row>
    <row r="291" ht="15.75" customHeight="1" s="45">
      <c r="A291" s="61" t="n">
        <v>46045</v>
      </c>
      <c r="B291" s="62" t="inlineStr">
        <is>
          <t>Antes-Projeto</t>
        </is>
      </c>
      <c r="C291" s="63" t="inlineStr">
        <is>
          <t>Acolhimento c/ Classif. de Risco</t>
        </is>
      </c>
      <c r="D291" s="64" t="n">
        <v>99</v>
      </c>
      <c r="E291" s="64" t="n">
        <v>48</v>
      </c>
      <c r="F291" s="64" t="n">
        <v>63</v>
      </c>
      <c r="G291" s="64" t="n">
        <v>43</v>
      </c>
      <c r="H291" s="64" t="n">
        <v>69</v>
      </c>
      <c r="I291" s="64" t="n">
        <v>105</v>
      </c>
      <c r="J291" s="64" t="n">
        <v>34</v>
      </c>
      <c r="K291" s="64" t="n">
        <v>103</v>
      </c>
      <c r="L291" s="64" t="n">
        <v>59</v>
      </c>
      <c r="M291" s="64" t="n">
        <v>82</v>
      </c>
      <c r="N291" s="64" t="n">
        <v>166</v>
      </c>
      <c r="O291" s="64" t="n">
        <v>84</v>
      </c>
      <c r="P291" s="64" t="n">
        <v>79</v>
      </c>
    </row>
    <row r="292" ht="15.75" customHeight="1" s="45">
      <c r="A292" s="61" t="n">
        <v>46045</v>
      </c>
      <c r="B292" s="62" t="inlineStr">
        <is>
          <t>Antes-Projeto</t>
        </is>
      </c>
      <c r="C292" s="65" t="inlineStr">
        <is>
          <t>Atend. Urgência Obs. ≤ 24h</t>
        </is>
      </c>
      <c r="D292" s="66" t="n">
        <v>48</v>
      </c>
      <c r="E292" s="66" t="n">
        <v>75</v>
      </c>
      <c r="F292" s="66" t="n">
        <v>11</v>
      </c>
      <c r="G292" s="66" t="n">
        <v>49</v>
      </c>
      <c r="H292" s="66" t="n">
        <v>46</v>
      </c>
      <c r="I292" s="66" t="n">
        <v>63</v>
      </c>
      <c r="J292" s="66" t="n">
        <v>16</v>
      </c>
      <c r="K292" s="66" t="n">
        <v>57</v>
      </c>
      <c r="L292" s="66" t="n">
        <v>27</v>
      </c>
      <c r="M292" s="66" t="n">
        <v>32</v>
      </c>
      <c r="N292" s="66" t="n">
        <v>32</v>
      </c>
      <c r="O292" s="66" t="n">
        <v>10</v>
      </c>
      <c r="P292" s="66" t="n">
        <v>54</v>
      </c>
    </row>
    <row r="293" ht="15.75" customHeight="1" s="45">
      <c r="A293" s="61" t="n">
        <v>46045</v>
      </c>
      <c r="B293" s="62" t="inlineStr">
        <is>
          <t>Antes-Projeto</t>
        </is>
      </c>
      <c r="C293" s="63" t="inlineStr">
        <is>
          <t>Atend. Médico em UPA</t>
        </is>
      </c>
      <c r="D293" s="64" t="n">
        <v>168</v>
      </c>
      <c r="E293" s="64" t="n">
        <v>78</v>
      </c>
      <c r="F293" s="64" t="n">
        <v>102</v>
      </c>
      <c r="G293" s="64" t="n">
        <v>66</v>
      </c>
      <c r="H293" s="64" t="n">
        <v>81</v>
      </c>
      <c r="I293" s="64" t="n">
        <v>154</v>
      </c>
      <c r="J293" s="64" t="n">
        <v>41</v>
      </c>
      <c r="K293" s="64" t="n">
        <v>102</v>
      </c>
      <c r="L293" s="64" t="n">
        <v>46</v>
      </c>
      <c r="M293" s="64" t="n">
        <v>73</v>
      </c>
      <c r="N293" s="64" t="n">
        <v>176</v>
      </c>
      <c r="O293" s="64" t="n">
        <v>105</v>
      </c>
      <c r="P293" s="64" t="n">
        <v>79</v>
      </c>
    </row>
    <row r="294" ht="15.75" customHeight="1" s="45">
      <c r="A294" s="61" t="n">
        <v>46045</v>
      </c>
      <c r="B294" s="62" t="inlineStr">
        <is>
          <t>Antes-Projeto</t>
        </is>
      </c>
      <c r="C294" s="65" t="inlineStr">
        <is>
          <t>Exames Laboratoriais</t>
        </is>
      </c>
      <c r="D294" s="66" t="n">
        <v>376</v>
      </c>
      <c r="E294" s="66" t="n">
        <v>315</v>
      </c>
      <c r="F294" s="66" t="n">
        <v>370</v>
      </c>
      <c r="G294" s="66" t="n">
        <v>374</v>
      </c>
      <c r="H294" s="66" t="n">
        <v>334</v>
      </c>
      <c r="I294" s="66" t="n">
        <v>363</v>
      </c>
      <c r="J294" s="66" t="n">
        <v>161</v>
      </c>
      <c r="K294" s="66" t="n">
        <v>823</v>
      </c>
      <c r="L294" s="66" t="n">
        <v>459</v>
      </c>
      <c r="M294" s="66" t="n">
        <v>486</v>
      </c>
      <c r="N294" s="66" t="n">
        <v>807</v>
      </c>
      <c r="O294" s="66" t="n">
        <v>256</v>
      </c>
      <c r="P294" s="66" t="n">
        <v>258</v>
      </c>
    </row>
    <row r="295" ht="15.75" customHeight="1" s="45">
      <c r="A295" s="61" t="n">
        <v>46045</v>
      </c>
      <c r="B295" s="62" t="inlineStr">
        <is>
          <t>Antes-Projeto</t>
        </is>
      </c>
      <c r="C295" s="63" t="inlineStr">
        <is>
          <t>Radiografias</t>
        </is>
      </c>
      <c r="D295" s="64" t="n">
        <v>26</v>
      </c>
      <c r="E295" s="67" t="n">
        <v>0</v>
      </c>
      <c r="F295" s="64" t="n">
        <v>18</v>
      </c>
      <c r="G295" s="64" t="n">
        <v>18</v>
      </c>
      <c r="H295" s="64" t="n">
        <v>12</v>
      </c>
      <c r="I295" s="64" t="n">
        <v>21</v>
      </c>
      <c r="J295" s="64" t="n">
        <v>3</v>
      </c>
      <c r="K295" s="64" t="n">
        <v>18</v>
      </c>
      <c r="L295" s="64" t="n">
        <v>27</v>
      </c>
      <c r="M295" s="64" t="n">
        <v>69</v>
      </c>
      <c r="N295" s="64" t="n">
        <v>28</v>
      </c>
      <c r="O295" s="64" t="n">
        <v>22</v>
      </c>
      <c r="P295" s="64" t="n">
        <v>29</v>
      </c>
    </row>
    <row r="296" ht="15.75" customHeight="1" s="45">
      <c r="A296" s="61" t="n">
        <v>46045</v>
      </c>
      <c r="B296" s="62" t="inlineStr">
        <is>
          <t>Antes-Projeto</t>
        </is>
      </c>
      <c r="C296" s="65" t="inlineStr">
        <is>
          <t>Eletrocardiogramas</t>
        </is>
      </c>
      <c r="D296" s="66" t="n">
        <v>9</v>
      </c>
      <c r="E296" s="66" t="n">
        <v>11</v>
      </c>
      <c r="F296" s="66" t="n">
        <v>15</v>
      </c>
      <c r="G296" s="66" t="n">
        <v>12</v>
      </c>
      <c r="H296" s="66" t="n">
        <v>12</v>
      </c>
      <c r="I296" s="66" t="n">
        <v>10</v>
      </c>
      <c r="J296" s="66" t="n">
        <v>4</v>
      </c>
      <c r="K296" s="66" t="n">
        <v>24</v>
      </c>
      <c r="L296" s="66" t="n">
        <v>15</v>
      </c>
      <c r="M296" s="66" t="n">
        <v>18</v>
      </c>
      <c r="N296" s="66" t="n">
        <v>18</v>
      </c>
      <c r="O296" s="66" t="n">
        <v>9</v>
      </c>
      <c r="P296" s="66" t="n">
        <v>15</v>
      </c>
    </row>
    <row r="297" ht="15.75" customHeight="1" s="45">
      <c r="A297" s="61" t="n">
        <v>46045</v>
      </c>
      <c r="B297" s="62" t="inlineStr">
        <is>
          <t>Antes-Projeto</t>
        </is>
      </c>
      <c r="C297" s="68" t="inlineStr">
        <is>
          <t>GAEs Abertas</t>
        </is>
      </c>
      <c r="D297" s="69" t="n">
        <v>220</v>
      </c>
      <c r="E297" s="69" t="n">
        <v>123</v>
      </c>
      <c r="F297" s="69" t="n">
        <v>140</v>
      </c>
      <c r="G297" s="69" t="n">
        <v>97</v>
      </c>
      <c r="H297" s="69" t="n">
        <v>127</v>
      </c>
      <c r="I297" s="69" t="n">
        <v>222</v>
      </c>
      <c r="J297" s="69" t="n">
        <v>88</v>
      </c>
      <c r="K297" s="69" t="n">
        <v>232</v>
      </c>
      <c r="L297" s="69" t="n">
        <v>112</v>
      </c>
      <c r="M297" s="69" t="n">
        <v>172</v>
      </c>
      <c r="N297" s="69" t="n">
        <v>163</v>
      </c>
      <c r="O297" s="69" t="n">
        <v>242</v>
      </c>
      <c r="P297" s="69" t="n">
        <v>218</v>
      </c>
    </row>
    <row r="298" ht="15.75" customHeight="1" s="45">
      <c r="A298" s="61" t="n">
        <v>46045</v>
      </c>
      <c r="B298" s="62" t="inlineStr">
        <is>
          <t>Antes-Projeto</t>
        </is>
      </c>
      <c r="C298" s="68" t="inlineStr">
        <is>
          <t>GAEs Classificadas</t>
        </is>
      </c>
      <c r="D298" s="69" t="n">
        <v>206</v>
      </c>
      <c r="E298" s="69" t="n">
        <v>118</v>
      </c>
      <c r="F298" s="69" t="n">
        <v>139</v>
      </c>
      <c r="G298" s="69" t="n">
        <v>91</v>
      </c>
      <c r="H298" s="69" t="n">
        <v>120</v>
      </c>
      <c r="I298" s="69" t="n">
        <v>195</v>
      </c>
      <c r="J298" s="69" t="n">
        <v>82</v>
      </c>
      <c r="K298" s="69" t="n">
        <v>208</v>
      </c>
      <c r="L298" s="69" t="n">
        <v>109</v>
      </c>
      <c r="M298" s="69" t="n">
        <v>163</v>
      </c>
      <c r="N298" s="69" t="n">
        <v>153</v>
      </c>
      <c r="O298" s="69" t="n">
        <v>206</v>
      </c>
      <c r="P298" s="69" t="n">
        <v>160</v>
      </c>
    </row>
    <row r="299" ht="15.75" customHeight="1" s="45">
      <c r="A299" s="61" t="n">
        <v>46045</v>
      </c>
      <c r="B299" s="62" t="inlineStr">
        <is>
          <t>Antes-Projeto</t>
        </is>
      </c>
      <c r="C299" s="70" t="inlineStr">
        <is>
          <t>Percentual de GAEs abertas classificadas</t>
        </is>
      </c>
      <c r="D299" s="71">
        <f>IFERROR(D298/D297,"-")</f>
        <v/>
      </c>
      <c r="E299" s="71">
        <f>IFERROR(E298/E297,"-")</f>
        <v/>
      </c>
      <c r="F299" s="71">
        <f>IFERROR(F298/F297,"-")</f>
        <v/>
      </c>
      <c r="G299" s="71">
        <f>IFERROR(G298/G297,"-")</f>
        <v/>
      </c>
      <c r="H299" s="71">
        <f>IFERROR(H298/H297,"-")</f>
        <v/>
      </c>
      <c r="I299" s="71">
        <f>IFERROR(I298/I297,"-")</f>
        <v/>
      </c>
      <c r="J299" s="71">
        <f>IFERROR(J298/J297,"-")</f>
        <v/>
      </c>
      <c r="K299" s="71">
        <f>IFERROR(K298/K297,"-")</f>
        <v/>
      </c>
      <c r="L299" s="71">
        <f>IFERROR(L298/L297,"-")</f>
        <v/>
      </c>
      <c r="M299" s="71">
        <f>IFERROR(M298/M297,"-")</f>
        <v/>
      </c>
      <c r="N299" s="71">
        <f>IFERROR(N298/N297,"-")</f>
        <v/>
      </c>
      <c r="O299" s="71">
        <f>IFERROR(O298/O297,"-")</f>
        <v/>
      </c>
      <c r="P299" s="71">
        <f>IFERROR(P298/P297,"-")</f>
        <v/>
      </c>
    </row>
    <row r="300" ht="15.75" customHeight="1" s="45">
      <c r="A300" s="61" t="n">
        <v>46045</v>
      </c>
      <c r="B300" s="62" t="inlineStr">
        <is>
          <t>Antes-Projeto</t>
        </is>
      </c>
      <c r="C300" s="72" t="inlineStr">
        <is>
          <t>Tempo Médio — 🟡 Amarelo (hh:mm)</t>
        </is>
      </c>
      <c r="D300" s="121" t="n">
        <v>0.04224537037037037</v>
      </c>
      <c r="E300" s="121" t="n">
        <v>0.1243865740740741</v>
      </c>
      <c r="F300" s="121" t="n">
        <v>0.03849537037037037</v>
      </c>
      <c r="G300" s="121" t="n">
        <v>0.02116898148148148</v>
      </c>
      <c r="H300" s="121" t="n">
        <v>0.058125</v>
      </c>
      <c r="I300" s="121" t="n">
        <v>0.07596064814814815</v>
      </c>
      <c r="J300" s="121" t="n">
        <v>0.1597685185185185</v>
      </c>
      <c r="K300" s="121" t="n">
        <v>0.1563425925925926</v>
      </c>
      <c r="L300" s="121" t="n">
        <v>0.1531365740740741</v>
      </c>
      <c r="M300" s="121" t="n">
        <v>0.03471064814814815</v>
      </c>
      <c r="N300" s="121" t="n">
        <v>0.03413194444444444</v>
      </c>
      <c r="O300" s="121" t="n">
        <v>0.08789351851851852</v>
      </c>
      <c r="P300" s="121" t="n">
        <v>0.1052893518518519</v>
      </c>
    </row>
    <row r="301" ht="15.75" customHeight="1" s="45">
      <c r="A301" s="61" t="n">
        <v>46045</v>
      </c>
      <c r="B301" s="62" t="inlineStr">
        <is>
          <t>Antes-Projeto</t>
        </is>
      </c>
      <c r="C301" s="74" t="inlineStr">
        <is>
          <t>Tempo Médio — 🟠 Laranja (hh:mm)</t>
        </is>
      </c>
      <c r="D301" s="122" t="n">
        <v>0.00832175925925926</v>
      </c>
      <c r="E301" s="122" t="n">
        <v>0.01496527777777778</v>
      </c>
      <c r="F301" s="122" t="n">
        <v>0.009976851851851851</v>
      </c>
      <c r="G301" s="122" t="n">
        <v>0.004513888888888888</v>
      </c>
      <c r="H301" s="122" t="n">
        <v>0.006342592592592592</v>
      </c>
      <c r="I301" s="122" t="n">
        <v>0.005358796296296296</v>
      </c>
      <c r="J301" s="122" t="n">
        <v>0.02033564814814815</v>
      </c>
      <c r="K301" s="122" t="n">
        <v>0.01791666666666667</v>
      </c>
      <c r="L301" s="122" t="n">
        <v>0.04101851851851852</v>
      </c>
      <c r="M301" s="122" t="n">
        <v>0.01019675925925926</v>
      </c>
      <c r="N301" s="122" t="n">
        <v>0.01063657407407407</v>
      </c>
      <c r="O301" s="122" t="n">
        <v>0.01309027777777778</v>
      </c>
      <c r="P301" s="122" t="n">
        <v>0.01144675925925926</v>
      </c>
    </row>
    <row r="302" ht="15.75" customHeight="1" s="45">
      <c r="A302" s="76" t="n">
        <v>46045</v>
      </c>
      <c r="B302" s="77" t="inlineStr">
        <is>
          <t>Antes-Projeto</t>
        </is>
      </c>
      <c r="C302" s="78" t="inlineStr">
        <is>
          <t>Tempo Médio — 🟢 Verde   (hh:mm)</t>
        </is>
      </c>
      <c r="D302" s="123" t="n">
        <v>0.07512731481481481</v>
      </c>
      <c r="E302" s="123" t="n">
        <v>0.2194560185185185</v>
      </c>
      <c r="F302" s="123" t="n">
        <v>0.06780092592592593</v>
      </c>
      <c r="G302" s="123" t="n">
        <v>0.08554398148148148</v>
      </c>
      <c r="H302" s="123" t="n">
        <v>0.5709837962962963</v>
      </c>
      <c r="I302" s="123" t="n">
        <v>0.1381365740740741</v>
      </c>
      <c r="J302" s="123" t="n">
        <v>0.2706134259259259</v>
      </c>
      <c r="K302" s="123" t="n">
        <v>0.1317013888888889</v>
      </c>
      <c r="L302" s="123" t="n">
        <v>0.114224537037037</v>
      </c>
      <c r="M302" s="123" t="n">
        <v>0.08222222222222222</v>
      </c>
      <c r="N302" s="123" t="n">
        <v>0.04318287037037037</v>
      </c>
      <c r="O302" s="123" t="n">
        <v>0.1567939814814815</v>
      </c>
      <c r="P302" s="123" t="n">
        <v>0.1419675925925926</v>
      </c>
    </row>
    <row r="303" ht="15.75" customHeight="1" s="45">
      <c r="A303" s="57" t="n">
        <v>46046</v>
      </c>
      <c r="B303" s="58" t="inlineStr">
        <is>
          <t>Antes-Projeto</t>
        </is>
      </c>
      <c r="C303" s="59" t="inlineStr">
        <is>
          <t>Acolhim. + Atend. Urgência + Atend. UPA</t>
        </is>
      </c>
      <c r="D303" s="60">
        <f>SUM(D304:D306)</f>
        <v/>
      </c>
      <c r="E303" s="60">
        <f>SUM(E304:E306)</f>
        <v/>
      </c>
      <c r="F303" s="60">
        <f>SUM(F304:F306)</f>
        <v/>
      </c>
      <c r="G303" s="60">
        <f>SUM(G304:G306)</f>
        <v/>
      </c>
      <c r="H303" s="60">
        <f>SUM(H304:H306)</f>
        <v/>
      </c>
      <c r="I303" s="60">
        <f>SUM(I304:I306)</f>
        <v/>
      </c>
      <c r="J303" s="60">
        <f>SUM(J304:J306)</f>
        <v/>
      </c>
      <c r="K303" s="60">
        <f>SUM(K304:K306)</f>
        <v/>
      </c>
      <c r="L303" s="60">
        <f>SUM(L304:L306)</f>
        <v/>
      </c>
      <c r="M303" s="60">
        <f>SUM(M304:M306)</f>
        <v/>
      </c>
      <c r="N303" s="60">
        <f>SUM(N304:N306)</f>
        <v/>
      </c>
      <c r="O303" s="60">
        <f>SUM(O304:O306)</f>
        <v/>
      </c>
      <c r="P303" s="60">
        <f>SUM(P304:P306)</f>
        <v/>
      </c>
    </row>
    <row r="304" ht="15.75" customHeight="1" s="45">
      <c r="A304" s="61" t="n">
        <v>46046</v>
      </c>
      <c r="B304" s="62" t="inlineStr">
        <is>
          <t>Antes-Projeto</t>
        </is>
      </c>
      <c r="C304" s="65" t="inlineStr">
        <is>
          <t>Acolhimento c/ Classif. de Risco</t>
        </is>
      </c>
      <c r="D304" s="66" t="n">
        <v>105</v>
      </c>
      <c r="E304" s="66" t="n">
        <v>42</v>
      </c>
      <c r="F304" s="66" t="n">
        <v>44</v>
      </c>
      <c r="G304" s="66" t="n">
        <v>68</v>
      </c>
      <c r="H304" s="66" t="n">
        <v>32</v>
      </c>
      <c r="I304" s="66" t="n">
        <v>59</v>
      </c>
      <c r="J304" s="66" t="n">
        <v>41</v>
      </c>
      <c r="K304" s="66" t="n">
        <v>100</v>
      </c>
      <c r="L304" s="66" t="n">
        <v>39</v>
      </c>
      <c r="M304" s="66" t="n">
        <v>76</v>
      </c>
      <c r="N304" s="66" t="n">
        <v>157</v>
      </c>
      <c r="O304" s="66" t="n">
        <v>81</v>
      </c>
      <c r="P304" s="66" t="n">
        <v>86</v>
      </c>
    </row>
    <row r="305" ht="15.75" customHeight="1" s="45">
      <c r="A305" s="61" t="n">
        <v>46046</v>
      </c>
      <c r="B305" s="62" t="inlineStr">
        <is>
          <t>Antes-Projeto</t>
        </is>
      </c>
      <c r="C305" s="63" t="inlineStr">
        <is>
          <t>Atend. Urgência Obs. ≤ 24h</t>
        </is>
      </c>
      <c r="D305" s="64" t="n">
        <v>46</v>
      </c>
      <c r="E305" s="64" t="n">
        <v>85</v>
      </c>
      <c r="F305" s="64" t="n">
        <v>13</v>
      </c>
      <c r="G305" s="64" t="n">
        <v>26</v>
      </c>
      <c r="H305" s="64" t="n">
        <v>26</v>
      </c>
      <c r="I305" s="64" t="n">
        <v>34</v>
      </c>
      <c r="J305" s="64" t="n">
        <v>18</v>
      </c>
      <c r="K305" s="64" t="n">
        <v>45</v>
      </c>
      <c r="L305" s="64" t="n">
        <v>45</v>
      </c>
      <c r="M305" s="64" t="n">
        <v>24</v>
      </c>
      <c r="N305" s="64" t="n">
        <v>30</v>
      </c>
      <c r="O305" s="64" t="n">
        <v>8</v>
      </c>
      <c r="P305" s="64" t="n">
        <v>60</v>
      </c>
    </row>
    <row r="306" ht="15.75" customHeight="1" s="45">
      <c r="A306" s="61" t="n">
        <v>46046</v>
      </c>
      <c r="B306" s="62" t="inlineStr">
        <is>
          <t>Antes-Projeto</t>
        </is>
      </c>
      <c r="C306" s="65" t="inlineStr">
        <is>
          <t>Atend. Médico em UPA</t>
        </is>
      </c>
      <c r="D306" s="66" t="n">
        <v>104</v>
      </c>
      <c r="E306" s="66" t="n">
        <v>80</v>
      </c>
      <c r="F306" s="66" t="n">
        <v>60</v>
      </c>
      <c r="G306" s="66" t="n">
        <v>48</v>
      </c>
      <c r="H306" s="66" t="n">
        <v>39</v>
      </c>
      <c r="I306" s="66" t="n">
        <v>82</v>
      </c>
      <c r="J306" s="66" t="n">
        <v>70</v>
      </c>
      <c r="K306" s="66" t="n">
        <v>84</v>
      </c>
      <c r="L306" s="66" t="n">
        <v>45</v>
      </c>
      <c r="M306" s="66" t="n">
        <v>57</v>
      </c>
      <c r="N306" s="66" t="n">
        <v>156</v>
      </c>
      <c r="O306" s="66" t="n">
        <v>46</v>
      </c>
      <c r="P306" s="66" t="n">
        <v>84</v>
      </c>
    </row>
    <row r="307" ht="15.75" customHeight="1" s="45">
      <c r="A307" s="61" t="n">
        <v>46046</v>
      </c>
      <c r="B307" s="62" t="inlineStr">
        <is>
          <t>Antes-Projeto</t>
        </is>
      </c>
      <c r="C307" s="63" t="inlineStr">
        <is>
          <t>Exames Laboratoriais</t>
        </is>
      </c>
      <c r="D307" s="64" t="n">
        <v>284</v>
      </c>
      <c r="E307" s="64" t="n">
        <v>328</v>
      </c>
      <c r="F307" s="64" t="n">
        <v>306</v>
      </c>
      <c r="G307" s="64" t="n">
        <v>273</v>
      </c>
      <c r="H307" s="64" t="n">
        <v>243</v>
      </c>
      <c r="I307" s="64" t="n">
        <v>337</v>
      </c>
      <c r="J307" s="64" t="n">
        <v>364</v>
      </c>
      <c r="K307" s="64" t="n">
        <v>577</v>
      </c>
      <c r="L307" s="64" t="n">
        <v>331</v>
      </c>
      <c r="M307" s="64" t="n">
        <v>409</v>
      </c>
      <c r="N307" s="64" t="n">
        <v>311</v>
      </c>
      <c r="O307" s="64" t="n">
        <v>165</v>
      </c>
      <c r="P307" s="64" t="n">
        <v>337</v>
      </c>
    </row>
    <row r="308" ht="15.75" customHeight="1" s="45">
      <c r="A308" s="61" t="n">
        <v>46046</v>
      </c>
      <c r="B308" s="62" t="inlineStr">
        <is>
          <t>Antes-Projeto</t>
        </is>
      </c>
      <c r="C308" s="65" t="inlineStr">
        <is>
          <t>Radiografias</t>
        </is>
      </c>
      <c r="D308" s="66" t="n">
        <v>13</v>
      </c>
      <c r="E308" s="66" t="n">
        <v>4</v>
      </c>
      <c r="F308" s="66" t="n">
        <v>13</v>
      </c>
      <c r="G308" s="66" t="n">
        <v>11</v>
      </c>
      <c r="H308" s="66" t="n">
        <v>10</v>
      </c>
      <c r="I308" s="66" t="n">
        <v>14</v>
      </c>
      <c r="J308" s="66" t="n">
        <v>17</v>
      </c>
      <c r="K308" s="66" t="n">
        <v>13</v>
      </c>
      <c r="L308" s="66" t="n">
        <v>9</v>
      </c>
      <c r="M308" s="66" t="n">
        <v>29</v>
      </c>
      <c r="N308" s="66" t="n">
        <v>31</v>
      </c>
      <c r="O308" s="66" t="n">
        <v>22</v>
      </c>
      <c r="P308" s="66" t="n">
        <v>21</v>
      </c>
    </row>
    <row r="309" ht="15.75" customHeight="1" s="45">
      <c r="A309" s="61" t="n">
        <v>46046</v>
      </c>
      <c r="B309" s="62" t="inlineStr">
        <is>
          <t>Antes-Projeto</t>
        </is>
      </c>
      <c r="C309" s="63" t="inlineStr">
        <is>
          <t>Eletrocardiogramas</t>
        </is>
      </c>
      <c r="D309" s="64" t="n">
        <v>9</v>
      </c>
      <c r="E309" s="64" t="n">
        <v>11</v>
      </c>
      <c r="F309" s="64" t="n">
        <v>11</v>
      </c>
      <c r="G309" s="64" t="n">
        <v>9</v>
      </c>
      <c r="H309" s="64" t="n">
        <v>6</v>
      </c>
      <c r="I309" s="64" t="n">
        <v>12</v>
      </c>
      <c r="J309" s="64" t="n">
        <v>5</v>
      </c>
      <c r="K309" s="64" t="n">
        <v>28</v>
      </c>
      <c r="L309" s="64" t="n">
        <v>5</v>
      </c>
      <c r="M309" s="64" t="n">
        <v>6</v>
      </c>
      <c r="N309" s="64" t="n">
        <v>11</v>
      </c>
      <c r="O309" s="64" t="n">
        <v>10</v>
      </c>
      <c r="P309" s="64" t="n">
        <v>20</v>
      </c>
    </row>
    <row r="310" ht="15.75" customHeight="1" s="45">
      <c r="A310" s="61" t="n">
        <v>46046</v>
      </c>
      <c r="B310" s="62" t="inlineStr">
        <is>
          <t>Antes-Projeto</t>
        </is>
      </c>
      <c r="C310" s="68" t="inlineStr">
        <is>
          <t>GAEs Abertas</t>
        </is>
      </c>
      <c r="D310" s="69" t="n">
        <v>189</v>
      </c>
      <c r="E310" s="69" t="n">
        <v>106</v>
      </c>
      <c r="F310" s="69" t="n">
        <v>89</v>
      </c>
      <c r="G310" s="69" t="n">
        <v>119</v>
      </c>
      <c r="H310" s="69" t="n">
        <v>92</v>
      </c>
      <c r="I310" s="69" t="n">
        <v>170</v>
      </c>
      <c r="J310" s="69" t="n">
        <v>103</v>
      </c>
      <c r="K310" s="69" t="n">
        <v>198</v>
      </c>
      <c r="L310" s="69" t="n">
        <v>82</v>
      </c>
      <c r="M310" s="69" t="n">
        <v>189</v>
      </c>
      <c r="N310" s="69" t="n">
        <v>158</v>
      </c>
      <c r="O310" s="69" t="n">
        <v>182</v>
      </c>
      <c r="P310" s="69" t="n">
        <v>180</v>
      </c>
    </row>
    <row r="311" ht="15.75" customHeight="1" s="45">
      <c r="A311" s="61" t="n">
        <v>46046</v>
      </c>
      <c r="B311" s="62" t="inlineStr">
        <is>
          <t>Antes-Projeto</t>
        </is>
      </c>
      <c r="C311" s="68" t="inlineStr">
        <is>
          <t>GAEs Classificadas</t>
        </is>
      </c>
      <c r="D311" s="69" t="n">
        <v>177</v>
      </c>
      <c r="E311" s="69" t="n">
        <v>100</v>
      </c>
      <c r="F311" s="69" t="n">
        <v>83</v>
      </c>
      <c r="G311" s="69" t="n">
        <v>116</v>
      </c>
      <c r="H311" s="69" t="n">
        <v>89</v>
      </c>
      <c r="I311" s="69" t="n">
        <v>150</v>
      </c>
      <c r="J311" s="69" t="n">
        <v>98</v>
      </c>
      <c r="K311" s="69" t="n">
        <v>174</v>
      </c>
      <c r="L311" s="69" t="n">
        <v>74</v>
      </c>
      <c r="M311" s="69" t="n">
        <v>176</v>
      </c>
      <c r="N311" s="69" t="n">
        <v>149</v>
      </c>
      <c r="O311" s="69" t="n">
        <v>162</v>
      </c>
      <c r="P311" s="69" t="n">
        <v>168</v>
      </c>
    </row>
    <row r="312" ht="15.75" customHeight="1" s="45">
      <c r="A312" s="61" t="n">
        <v>46046</v>
      </c>
      <c r="B312" s="62" t="inlineStr">
        <is>
          <t>Antes-Projeto</t>
        </is>
      </c>
      <c r="C312" s="70" t="inlineStr">
        <is>
          <t>Percentual de GAEs abertas classificadas</t>
        </is>
      </c>
      <c r="D312" s="71">
        <f>IFERROR(D311/D310,"-")</f>
        <v/>
      </c>
      <c r="E312" s="71">
        <f>IFERROR(E311/E310,"-")</f>
        <v/>
      </c>
      <c r="F312" s="71">
        <f>IFERROR(F311/F310,"-")</f>
        <v/>
      </c>
      <c r="G312" s="71">
        <f>IFERROR(G311/G310,"-")</f>
        <v/>
      </c>
      <c r="H312" s="71">
        <f>IFERROR(H311/H310,"-")</f>
        <v/>
      </c>
      <c r="I312" s="71">
        <f>IFERROR(I311/I310,"-")</f>
        <v/>
      </c>
      <c r="J312" s="71">
        <f>IFERROR(J311/J310,"-")</f>
        <v/>
      </c>
      <c r="K312" s="71">
        <f>IFERROR(K311/K310,"-")</f>
        <v/>
      </c>
      <c r="L312" s="71">
        <f>IFERROR(L311/L310,"-")</f>
        <v/>
      </c>
      <c r="M312" s="71">
        <f>IFERROR(M311/M310,"-")</f>
        <v/>
      </c>
      <c r="N312" s="71">
        <f>IFERROR(N311/N310,"-")</f>
        <v/>
      </c>
      <c r="O312" s="71">
        <f>IFERROR(O311/O310,"-")</f>
        <v/>
      </c>
      <c r="P312" s="71">
        <f>IFERROR(P311/P310,"-")</f>
        <v/>
      </c>
    </row>
    <row r="313" ht="15.75" customHeight="1" s="45">
      <c r="A313" s="61" t="n">
        <v>46046</v>
      </c>
      <c r="B313" s="62" t="inlineStr">
        <is>
          <t>Antes-Projeto</t>
        </is>
      </c>
      <c r="C313" s="72" t="inlineStr">
        <is>
          <t>Tempo Médio — 🟡 Amarelo (hh:mm)</t>
        </is>
      </c>
      <c r="D313" s="121" t="n">
        <v>0.1156018518518519</v>
      </c>
      <c r="E313" s="121" t="n">
        <v>0.06369212962962963</v>
      </c>
      <c r="F313" s="121" t="n">
        <v>0.05528935185185185</v>
      </c>
      <c r="G313" s="121" t="n">
        <v>0.2041550925925926</v>
      </c>
      <c r="H313" s="121" t="n">
        <v>0.07179398148148149</v>
      </c>
      <c r="I313" s="121" t="n">
        <v>0.1038657407407407</v>
      </c>
      <c r="J313" s="121" t="n">
        <v>0.05</v>
      </c>
      <c r="K313" s="121" t="n">
        <v>0.1211342592592593</v>
      </c>
      <c r="L313" s="121" t="n">
        <v>0.1062962962962963</v>
      </c>
      <c r="M313" s="121" t="n">
        <v>0.03137731481481482</v>
      </c>
      <c r="N313" s="121" t="n">
        <v>0.2525231481481481</v>
      </c>
      <c r="O313" s="121" t="n">
        <v>0.1132060185185185</v>
      </c>
      <c r="P313" s="121" t="n">
        <v>0.1009490740740741</v>
      </c>
    </row>
    <row r="314" ht="15.75" customHeight="1" s="45">
      <c r="A314" s="61" t="n">
        <v>46046</v>
      </c>
      <c r="B314" s="62" t="inlineStr">
        <is>
          <t>Antes-Projeto</t>
        </is>
      </c>
      <c r="C314" s="74" t="inlineStr">
        <is>
          <t>Tempo Médio — 🟠 Laranja (hh:mm)</t>
        </is>
      </c>
      <c r="D314" s="122" t="n">
        <v>0.0253587962962963</v>
      </c>
      <c r="E314" s="122" t="n">
        <v>0.005810185185185186</v>
      </c>
      <c r="F314" s="122" t="n">
        <v>0.01325231481481481</v>
      </c>
      <c r="G314" s="122" t="n">
        <v>0.0680324074074074</v>
      </c>
      <c r="H314" s="122" t="n">
        <v>0.01291666666666667</v>
      </c>
      <c r="I314" s="122" t="n">
        <v>0.0178125</v>
      </c>
      <c r="J314" s="122" t="n">
        <v>0.005555555555555556</v>
      </c>
      <c r="K314" s="122" t="n">
        <v>0.02013888888888889</v>
      </c>
      <c r="L314" s="122" t="n">
        <v>0.02556712962962963</v>
      </c>
      <c r="M314" s="122" t="n">
        <v>0.01318287037037037</v>
      </c>
      <c r="N314" s="122" t="n">
        <v>0.03177083333333333</v>
      </c>
      <c r="O314" s="122" t="n">
        <v>0.02065972222222222</v>
      </c>
      <c r="P314" s="122" t="n">
        <v>0.01725694444444444</v>
      </c>
    </row>
    <row r="315" ht="15.75" customHeight="1" s="45">
      <c r="A315" s="76" t="n">
        <v>46046</v>
      </c>
      <c r="B315" s="77" t="inlineStr">
        <is>
          <t>Antes-Projeto</t>
        </is>
      </c>
      <c r="C315" s="78" t="inlineStr">
        <is>
          <t>Tempo Médio — 🟢 Verde   (hh:mm)</t>
        </is>
      </c>
      <c r="D315" s="123" t="n">
        <v>0.2085763888888889</v>
      </c>
      <c r="E315" s="123" t="n">
        <v>0.1852083333333333</v>
      </c>
      <c r="F315" s="123" t="n">
        <v>0.1074652777777778</v>
      </c>
      <c r="G315" s="123" t="n">
        <v>0.595925925925926</v>
      </c>
      <c r="H315" s="123" t="n">
        <v>0.1177314814814815</v>
      </c>
      <c r="I315" s="123" t="n">
        <v>0.2039814814814815</v>
      </c>
      <c r="J315" s="123" t="n">
        <v>0.1434027777777778</v>
      </c>
      <c r="K315" s="123" t="n">
        <v>0.155474537037037</v>
      </c>
      <c r="L315" s="123" t="n">
        <v>0.1342013888888889</v>
      </c>
      <c r="M315" s="123" t="n">
        <v>0.06707175925925926</v>
      </c>
      <c r="N315" s="123" t="n">
        <v>0.2830671296296297</v>
      </c>
      <c r="O315" s="123" t="n">
        <v>0.240775462962963</v>
      </c>
      <c r="P315" s="123" t="n">
        <v>0.1375462962962963</v>
      </c>
    </row>
    <row r="316" ht="15.75" customHeight="1" s="45">
      <c r="A316" s="57" t="n">
        <v>46047</v>
      </c>
      <c r="B316" s="58" t="inlineStr">
        <is>
          <t>Antes-Projeto</t>
        </is>
      </c>
      <c r="C316" s="59" t="inlineStr">
        <is>
          <t>Acolhim. + Atend. Urgência + Atend. UPA</t>
        </is>
      </c>
      <c r="D316" s="60">
        <f>SUM(D317:D319)</f>
        <v/>
      </c>
      <c r="E316" s="60">
        <f>SUM(E317:E319)</f>
        <v/>
      </c>
      <c r="F316" s="60">
        <f>SUM(F317:F319)</f>
        <v/>
      </c>
      <c r="G316" s="60">
        <f>SUM(G317:G319)</f>
        <v/>
      </c>
      <c r="H316" s="60">
        <f>SUM(H317:H319)</f>
        <v/>
      </c>
      <c r="I316" s="60">
        <f>SUM(I317:I319)</f>
        <v/>
      </c>
      <c r="J316" s="60">
        <f>SUM(J317:J319)</f>
        <v/>
      </c>
      <c r="K316" s="60">
        <f>SUM(K317:K319)</f>
        <v/>
      </c>
      <c r="L316" s="60">
        <f>SUM(L317:L319)</f>
        <v/>
      </c>
      <c r="M316" s="60">
        <f>SUM(M317:M319)</f>
        <v/>
      </c>
      <c r="N316" s="60">
        <f>SUM(N317:N319)</f>
        <v/>
      </c>
      <c r="O316" s="60">
        <f>SUM(O317:O319)</f>
        <v/>
      </c>
      <c r="P316" s="60">
        <f>SUM(P317:P319)</f>
        <v/>
      </c>
    </row>
    <row r="317" ht="15.75" customHeight="1" s="45">
      <c r="A317" s="61" t="n">
        <v>46047</v>
      </c>
      <c r="B317" s="62" t="inlineStr">
        <is>
          <t>Antes-Projeto</t>
        </is>
      </c>
      <c r="C317" s="63" t="inlineStr">
        <is>
          <t>Acolhimento c/ Classif. de Risco</t>
        </is>
      </c>
      <c r="D317" s="64" t="n">
        <v>78</v>
      </c>
      <c r="E317" s="64" t="n">
        <v>47</v>
      </c>
      <c r="F317" s="64" t="n">
        <v>40</v>
      </c>
      <c r="G317" s="64" t="n">
        <v>47</v>
      </c>
      <c r="H317" s="64" t="n">
        <v>52</v>
      </c>
      <c r="I317" s="64" t="n">
        <v>80</v>
      </c>
      <c r="J317" s="64" t="n">
        <v>26</v>
      </c>
      <c r="K317" s="64" t="n">
        <v>61</v>
      </c>
      <c r="L317" s="64" t="n">
        <v>48</v>
      </c>
      <c r="M317" s="64" t="n">
        <v>64</v>
      </c>
      <c r="N317" s="64" t="n">
        <v>141</v>
      </c>
      <c r="O317" s="64" t="n">
        <v>74</v>
      </c>
      <c r="P317" s="64" t="n">
        <v>93</v>
      </c>
    </row>
    <row r="318" ht="15.75" customHeight="1" s="45">
      <c r="A318" s="61" t="n">
        <v>46047</v>
      </c>
      <c r="B318" s="62" t="inlineStr">
        <is>
          <t>Antes-Projeto</t>
        </is>
      </c>
      <c r="C318" s="65" t="inlineStr">
        <is>
          <t>Atend. Urgência Obs. ≤ 24h</t>
        </is>
      </c>
      <c r="D318" s="66" t="n">
        <v>31</v>
      </c>
      <c r="E318" s="66" t="n">
        <v>28</v>
      </c>
      <c r="F318" s="66" t="n">
        <v>16</v>
      </c>
      <c r="G318" s="66" t="n">
        <v>18</v>
      </c>
      <c r="H318" s="66" t="n">
        <v>37</v>
      </c>
      <c r="I318" s="66" t="n">
        <v>44</v>
      </c>
      <c r="J318" s="66" t="n">
        <v>20</v>
      </c>
      <c r="K318" s="66" t="n">
        <v>44</v>
      </c>
      <c r="L318" s="66" t="n">
        <v>58</v>
      </c>
      <c r="M318" s="66" t="n">
        <v>16</v>
      </c>
      <c r="N318" s="66" t="n">
        <v>19</v>
      </c>
      <c r="O318" s="66" t="n">
        <v>8</v>
      </c>
      <c r="P318" s="66" t="n">
        <v>38</v>
      </c>
    </row>
    <row r="319" ht="15.75" customHeight="1" s="45">
      <c r="A319" s="61" t="n">
        <v>46047</v>
      </c>
      <c r="B319" s="62" t="inlineStr">
        <is>
          <t>Antes-Projeto</t>
        </is>
      </c>
      <c r="C319" s="63" t="inlineStr">
        <is>
          <t>Atend. Médico em UPA</t>
        </is>
      </c>
      <c r="D319" s="64" t="n">
        <v>103</v>
      </c>
      <c r="E319" s="64" t="n">
        <v>51</v>
      </c>
      <c r="F319" s="64" t="n">
        <v>40</v>
      </c>
      <c r="G319" s="64" t="n">
        <v>43</v>
      </c>
      <c r="H319" s="64" t="n">
        <v>93</v>
      </c>
      <c r="I319" s="64" t="n">
        <v>78</v>
      </c>
      <c r="J319" s="64" t="n">
        <v>41</v>
      </c>
      <c r="K319" s="64" t="n">
        <v>64</v>
      </c>
      <c r="L319" s="64" t="n">
        <v>64</v>
      </c>
      <c r="M319" s="64" t="n">
        <v>53</v>
      </c>
      <c r="N319" s="64" t="n">
        <v>141</v>
      </c>
      <c r="O319" s="64" t="n">
        <v>71</v>
      </c>
      <c r="P319" s="64" t="n">
        <v>102</v>
      </c>
    </row>
    <row r="320" ht="15.75" customHeight="1" s="45">
      <c r="A320" s="61" t="n">
        <v>46047</v>
      </c>
      <c r="B320" s="62" t="inlineStr">
        <is>
          <t>Antes-Projeto</t>
        </is>
      </c>
      <c r="C320" s="65" t="inlineStr">
        <is>
          <t>Exames Laboratoriais</t>
        </is>
      </c>
      <c r="D320" s="66" t="n">
        <v>333</v>
      </c>
      <c r="E320" s="66" t="n">
        <v>191</v>
      </c>
      <c r="F320" s="66" t="n">
        <v>127</v>
      </c>
      <c r="G320" s="66" t="n">
        <v>176</v>
      </c>
      <c r="H320" s="66" t="n">
        <v>190</v>
      </c>
      <c r="I320" s="66" t="n">
        <v>534</v>
      </c>
      <c r="J320" s="66" t="n">
        <v>129</v>
      </c>
      <c r="K320" s="66" t="n">
        <v>427</v>
      </c>
      <c r="L320" s="66" t="n">
        <v>459</v>
      </c>
      <c r="M320" s="66" t="n">
        <v>428</v>
      </c>
      <c r="N320" s="66" t="n">
        <v>746</v>
      </c>
      <c r="O320" s="66" t="n">
        <v>11</v>
      </c>
      <c r="P320" s="66" t="n">
        <v>270</v>
      </c>
    </row>
    <row r="321" ht="15.75" customHeight="1" s="45">
      <c r="A321" s="61" t="n">
        <v>46047</v>
      </c>
      <c r="B321" s="62" t="inlineStr">
        <is>
          <t>Antes-Projeto</t>
        </is>
      </c>
      <c r="C321" s="63" t="inlineStr">
        <is>
          <t>Radiografias</t>
        </is>
      </c>
      <c r="D321" s="64" t="n">
        <v>22</v>
      </c>
      <c r="E321" s="64" t="n">
        <v>2</v>
      </c>
      <c r="F321" s="64" t="n">
        <v>11</v>
      </c>
      <c r="G321" s="64" t="n">
        <v>9</v>
      </c>
      <c r="H321" s="64" t="n">
        <v>18</v>
      </c>
      <c r="I321" s="64" t="n">
        <v>26</v>
      </c>
      <c r="J321" s="64" t="n">
        <v>7</v>
      </c>
      <c r="K321" s="64" t="n">
        <v>5</v>
      </c>
      <c r="L321" s="64" t="n">
        <v>23</v>
      </c>
      <c r="M321" s="64" t="n">
        <v>24</v>
      </c>
      <c r="N321" s="64" t="n">
        <v>32</v>
      </c>
      <c r="O321" s="64" t="n">
        <v>28</v>
      </c>
      <c r="P321" s="64" t="n">
        <v>38</v>
      </c>
    </row>
    <row r="322" ht="15.75" customHeight="1" s="45">
      <c r="A322" s="61" t="n">
        <v>46047</v>
      </c>
      <c r="B322" s="62" t="inlineStr">
        <is>
          <t>Antes-Projeto</t>
        </is>
      </c>
      <c r="C322" s="65" t="inlineStr">
        <is>
          <t>Eletrocardiogramas</t>
        </is>
      </c>
      <c r="D322" s="66" t="n">
        <v>10</v>
      </c>
      <c r="E322" s="66" t="n">
        <v>9</v>
      </c>
      <c r="F322" s="66" t="n">
        <v>9</v>
      </c>
      <c r="G322" s="66" t="n">
        <v>5</v>
      </c>
      <c r="H322" s="66" t="n">
        <v>12</v>
      </c>
      <c r="I322" s="66" t="n">
        <v>8</v>
      </c>
      <c r="J322" s="66" t="n">
        <v>5</v>
      </c>
      <c r="K322" s="66" t="n">
        <v>10</v>
      </c>
      <c r="L322" s="66" t="n">
        <v>10</v>
      </c>
      <c r="M322" s="66" t="n">
        <v>15</v>
      </c>
      <c r="N322" s="66" t="n">
        <v>13</v>
      </c>
      <c r="O322" s="66" t="n">
        <v>10</v>
      </c>
      <c r="P322" s="66" t="n">
        <v>9</v>
      </c>
    </row>
    <row r="323" ht="15.75" customHeight="1" s="45">
      <c r="A323" s="61" t="n">
        <v>46047</v>
      </c>
      <c r="B323" s="62" t="inlineStr">
        <is>
          <t>Antes-Projeto</t>
        </is>
      </c>
      <c r="C323" s="68" t="inlineStr">
        <is>
          <t>GAEs Abertas</t>
        </is>
      </c>
      <c r="D323" s="69" t="n">
        <v>162</v>
      </c>
      <c r="E323" s="69" t="n">
        <v>120</v>
      </c>
      <c r="F323" s="69" t="n">
        <v>95</v>
      </c>
      <c r="G323" s="69" t="n">
        <v>90</v>
      </c>
      <c r="H323" s="69" t="n">
        <v>106</v>
      </c>
      <c r="I323" s="69" t="n">
        <v>131</v>
      </c>
      <c r="J323" s="69" t="n">
        <v>60</v>
      </c>
      <c r="K323" s="69" t="n">
        <v>150</v>
      </c>
      <c r="L323" s="69" t="n">
        <v>92</v>
      </c>
      <c r="M323" s="69" t="n">
        <v>161</v>
      </c>
      <c r="N323" s="69" t="n">
        <v>140</v>
      </c>
      <c r="O323" s="69" t="n">
        <v>164</v>
      </c>
      <c r="P323" s="69" t="n">
        <v>165</v>
      </c>
    </row>
    <row r="324" ht="15.75" customHeight="1" s="45">
      <c r="A324" s="61" t="n">
        <v>46047</v>
      </c>
      <c r="B324" s="62" t="inlineStr">
        <is>
          <t>Antes-Projeto</t>
        </is>
      </c>
      <c r="C324" s="68" t="inlineStr">
        <is>
          <t>GAEs Classificadas</t>
        </is>
      </c>
      <c r="D324" s="69" t="n">
        <v>153</v>
      </c>
      <c r="E324" s="69" t="n">
        <v>109</v>
      </c>
      <c r="F324" s="69" t="n">
        <v>91</v>
      </c>
      <c r="G324" s="69" t="n">
        <v>88</v>
      </c>
      <c r="H324" s="69" t="n">
        <v>99</v>
      </c>
      <c r="I324" s="69" t="n">
        <v>126</v>
      </c>
      <c r="J324" s="69" t="n">
        <v>59</v>
      </c>
      <c r="K324" s="69" t="n">
        <v>139</v>
      </c>
      <c r="L324" s="69" t="n">
        <v>87</v>
      </c>
      <c r="M324" s="69" t="n">
        <v>141</v>
      </c>
      <c r="N324" s="69" t="n">
        <v>134</v>
      </c>
      <c r="O324" s="69" t="n">
        <v>155</v>
      </c>
      <c r="P324" s="69" t="n">
        <v>157</v>
      </c>
    </row>
    <row r="325" ht="15.75" customHeight="1" s="45">
      <c r="A325" s="61" t="n">
        <v>46047</v>
      </c>
      <c r="B325" s="62" t="inlineStr">
        <is>
          <t>Antes-Projeto</t>
        </is>
      </c>
      <c r="C325" s="70" t="inlineStr">
        <is>
          <t>Percentual de GAEs abertas classificadas</t>
        </is>
      </c>
      <c r="D325" s="71">
        <f>IFERROR(D324/D323,"-")</f>
        <v/>
      </c>
      <c r="E325" s="71">
        <f>IFERROR(E324/E323,"-")</f>
        <v/>
      </c>
      <c r="F325" s="71">
        <f>IFERROR(F324/F323,"-")</f>
        <v/>
      </c>
      <c r="G325" s="71">
        <f>IFERROR(G324/G323,"-")</f>
        <v/>
      </c>
      <c r="H325" s="71">
        <f>IFERROR(H324/H323,"-")</f>
        <v/>
      </c>
      <c r="I325" s="71">
        <f>IFERROR(I324/I323,"-")</f>
        <v/>
      </c>
      <c r="J325" s="71">
        <f>IFERROR(J324/J323,"-")</f>
        <v/>
      </c>
      <c r="K325" s="71">
        <f>IFERROR(K324/K323,"-")</f>
        <v/>
      </c>
      <c r="L325" s="71">
        <f>IFERROR(L324/L323,"-")</f>
        <v/>
      </c>
      <c r="M325" s="71">
        <f>IFERROR(M324/M323,"-")</f>
        <v/>
      </c>
      <c r="N325" s="71">
        <f>IFERROR(N324/N323,"-")</f>
        <v/>
      </c>
      <c r="O325" s="71">
        <f>IFERROR(O324/O323,"-")</f>
        <v/>
      </c>
      <c r="P325" s="71">
        <f>IFERROR(P324/P323,"-")</f>
        <v/>
      </c>
    </row>
    <row r="326" ht="15.75" customHeight="1" s="45">
      <c r="A326" s="61" t="n">
        <v>46047</v>
      </c>
      <c r="B326" s="62" t="inlineStr">
        <is>
          <t>Antes-Projeto</t>
        </is>
      </c>
      <c r="C326" s="72" t="inlineStr">
        <is>
          <t>Tempo Médio — 🟡 Amarelo (hh:mm)</t>
        </is>
      </c>
      <c r="D326" s="121" t="n">
        <v>0.1244097222222222</v>
      </c>
      <c r="E326" s="121" t="n">
        <v>0.09025462962962963</v>
      </c>
      <c r="F326" s="121" t="n">
        <v>0.09643518518518518</v>
      </c>
      <c r="G326" s="121" t="n">
        <v>0.2288657407407407</v>
      </c>
      <c r="H326" s="121" t="n">
        <v>0.05395833333333333</v>
      </c>
      <c r="I326" s="121" t="n">
        <v>0.04094907407407408</v>
      </c>
      <c r="J326" s="121" t="n">
        <v>0.3554050925925926</v>
      </c>
      <c r="K326" s="121" t="n">
        <v>0.1560995370370371</v>
      </c>
      <c r="L326" s="121" t="n">
        <v>0.09515046296296296</v>
      </c>
      <c r="M326" s="121" t="n">
        <v>0.07784722222222222</v>
      </c>
      <c r="N326" s="121" t="n">
        <v>0.06752314814814815</v>
      </c>
      <c r="O326" s="121" t="n">
        <v>0.1271643518518518</v>
      </c>
      <c r="P326" s="121" t="n">
        <v>0.04398148148148148</v>
      </c>
    </row>
    <row r="327" ht="15.75" customHeight="1" s="45">
      <c r="A327" s="61" t="n">
        <v>46047</v>
      </c>
      <c r="B327" s="62" t="inlineStr">
        <is>
          <t>Antes-Projeto</t>
        </is>
      </c>
      <c r="C327" s="74" t="inlineStr">
        <is>
          <t>Tempo Médio — 🟠 Laranja (hh:mm)</t>
        </is>
      </c>
      <c r="D327" s="122" t="n">
        <v>0.02128472222222222</v>
      </c>
      <c r="E327" s="122" t="n">
        <v>0.03018518518518519</v>
      </c>
      <c r="F327" s="122" t="n">
        <v>0.01556712962962963</v>
      </c>
      <c r="G327" s="122" t="n">
        <v>0.0108912037037037</v>
      </c>
      <c r="H327" s="122" t="n">
        <v>0.01291666666666667</v>
      </c>
      <c r="I327" s="122" t="n">
        <v>0.0134375</v>
      </c>
      <c r="J327" s="122" t="n">
        <v>0.1341203703703704</v>
      </c>
      <c r="K327" s="122" t="n">
        <v>0.02069444444444445</v>
      </c>
      <c r="L327" s="122" t="n">
        <v>0.02012731481481481</v>
      </c>
      <c r="M327" s="122" t="n">
        <v>0.01141203703703704</v>
      </c>
      <c r="N327" s="122" t="n">
        <v>0.01759259259259259</v>
      </c>
      <c r="O327" s="122" t="n">
        <v>0.02460648148148148</v>
      </c>
      <c r="P327" s="122" t="n">
        <v>0.01409722222222222</v>
      </c>
    </row>
    <row r="328" ht="15.75" customHeight="1" s="45">
      <c r="A328" s="76" t="n">
        <v>46047</v>
      </c>
      <c r="B328" s="77" t="inlineStr">
        <is>
          <t>Antes-Projeto</t>
        </is>
      </c>
      <c r="C328" s="78" t="inlineStr">
        <is>
          <t>Tempo Médio — 🟢 Verde   (hh:mm)</t>
        </is>
      </c>
      <c r="D328" s="123" t="n">
        <v>0.2253703703703704</v>
      </c>
      <c r="E328" s="123" t="n">
        <v>0.0869675925925926</v>
      </c>
      <c r="F328" s="123" t="n"/>
      <c r="G328" s="123" t="n">
        <v>0.5211689814814815</v>
      </c>
      <c r="H328" s="123" t="n">
        <v>0.1150694444444444</v>
      </c>
      <c r="I328" s="123" t="n">
        <v>0.1037384259259259</v>
      </c>
      <c r="J328" s="123" t="n">
        <v>0.6843055555555555</v>
      </c>
      <c r="K328" s="123" t="n">
        <v>0.1571527777777778</v>
      </c>
      <c r="L328" s="123" t="n">
        <v>0.240625</v>
      </c>
      <c r="M328" s="123" t="n">
        <v>0.03071759259259259</v>
      </c>
      <c r="N328" s="123" t="n">
        <v>0.1609143518518519</v>
      </c>
      <c r="O328" s="123" t="n">
        <v>0.1644328703703704</v>
      </c>
      <c r="P328" s="123" t="n">
        <v>0.08658564814814815</v>
      </c>
    </row>
    <row r="329" ht="15.75" customHeight="1" s="45">
      <c r="A329" s="57" t="n">
        <v>46048</v>
      </c>
      <c r="B329" s="58" t="inlineStr">
        <is>
          <t>Antes-Projeto</t>
        </is>
      </c>
      <c r="C329" s="59" t="inlineStr">
        <is>
          <t>Acolhim. + Atend. Urgência + Atend. UPA</t>
        </is>
      </c>
      <c r="D329" s="60">
        <f>SUM(D330:D332)</f>
        <v/>
      </c>
      <c r="E329" s="60">
        <f>SUM(E330:E332)</f>
        <v/>
      </c>
      <c r="F329" s="60">
        <f>SUM(F330:F332)</f>
        <v/>
      </c>
      <c r="G329" s="60">
        <f>SUM(G330:G332)</f>
        <v/>
      </c>
      <c r="H329" s="60">
        <f>SUM(H330:H332)</f>
        <v/>
      </c>
      <c r="I329" s="60">
        <f>SUM(I330:I332)</f>
        <v/>
      </c>
      <c r="J329" s="60">
        <f>SUM(J330:J332)</f>
        <v/>
      </c>
      <c r="K329" s="60">
        <f>SUM(K330:K332)</f>
        <v/>
      </c>
      <c r="L329" s="60">
        <f>SUM(L330:L332)</f>
        <v/>
      </c>
      <c r="M329" s="60">
        <f>SUM(M330:M332)</f>
        <v/>
      </c>
      <c r="N329" s="60">
        <f>SUM(N330:N332)</f>
        <v/>
      </c>
      <c r="O329" s="60">
        <f>SUM(O330:O332)</f>
        <v/>
      </c>
      <c r="P329" s="60">
        <f>SUM(P330:P332)</f>
        <v/>
      </c>
    </row>
    <row r="330" ht="15.75" customHeight="1" s="45">
      <c r="A330" s="61" t="n">
        <v>46048</v>
      </c>
      <c r="B330" s="62" t="inlineStr">
        <is>
          <t>Antes-Projeto</t>
        </is>
      </c>
      <c r="C330" s="65" t="inlineStr">
        <is>
          <t>Acolhimento c/ Classif. de Risco</t>
        </is>
      </c>
      <c r="D330" s="66" t="n">
        <v>130</v>
      </c>
      <c r="E330" s="66" t="n">
        <v>55</v>
      </c>
      <c r="F330" s="66" t="n">
        <v>69</v>
      </c>
      <c r="G330" s="66" t="n">
        <v>63</v>
      </c>
      <c r="H330" s="66" t="n">
        <v>46</v>
      </c>
      <c r="I330" s="66" t="n">
        <v>118</v>
      </c>
      <c r="J330" s="66" t="n">
        <v>41</v>
      </c>
      <c r="K330" s="66" t="n">
        <v>127</v>
      </c>
      <c r="L330" s="66" t="n">
        <v>64</v>
      </c>
      <c r="M330" s="66" t="n">
        <v>77</v>
      </c>
      <c r="N330" s="66" t="n">
        <v>202</v>
      </c>
      <c r="O330" s="66" t="n">
        <v>103</v>
      </c>
      <c r="P330" s="66" t="n">
        <v>63</v>
      </c>
    </row>
    <row r="331" ht="15.75" customHeight="1" s="45">
      <c r="A331" s="61" t="n">
        <v>46048</v>
      </c>
      <c r="B331" s="62" t="inlineStr">
        <is>
          <t>Antes-Projeto</t>
        </is>
      </c>
      <c r="C331" s="63" t="inlineStr">
        <is>
          <t>Atend. Urgência Obs. ≤ 24h</t>
        </is>
      </c>
      <c r="D331" s="64" t="n">
        <v>45</v>
      </c>
      <c r="E331" s="64" t="n">
        <v>46</v>
      </c>
      <c r="F331" s="64" t="n">
        <v>13</v>
      </c>
      <c r="G331" s="64" t="n">
        <v>15</v>
      </c>
      <c r="H331" s="64" t="n">
        <v>30</v>
      </c>
      <c r="I331" s="64" t="n">
        <v>32</v>
      </c>
      <c r="J331" s="64" t="n">
        <v>19</v>
      </c>
      <c r="K331" s="64" t="n">
        <v>65</v>
      </c>
      <c r="L331" s="64" t="n">
        <v>67</v>
      </c>
      <c r="M331" s="64" t="n">
        <v>42</v>
      </c>
      <c r="N331" s="64" t="n">
        <v>23</v>
      </c>
      <c r="O331" s="64" t="n">
        <v>16</v>
      </c>
      <c r="P331" s="64" t="n">
        <v>45</v>
      </c>
    </row>
    <row r="332" ht="15.75" customHeight="1" s="45">
      <c r="A332" s="61" t="n">
        <v>46048</v>
      </c>
      <c r="B332" s="62" t="inlineStr">
        <is>
          <t>Antes-Projeto</t>
        </is>
      </c>
      <c r="C332" s="65" t="inlineStr">
        <is>
          <t>Atend. Médico em UPA</t>
        </is>
      </c>
      <c r="D332" s="66" t="n">
        <v>263</v>
      </c>
      <c r="E332" s="66" t="n">
        <v>36</v>
      </c>
      <c r="F332" s="66" t="n">
        <v>80</v>
      </c>
      <c r="G332" s="66" t="n">
        <v>80</v>
      </c>
      <c r="H332" s="66" t="n">
        <v>100</v>
      </c>
      <c r="I332" s="66" t="n">
        <v>186</v>
      </c>
      <c r="J332" s="66" t="n">
        <v>39</v>
      </c>
      <c r="K332" s="66" t="n">
        <v>129</v>
      </c>
      <c r="L332" s="66" t="n">
        <v>63</v>
      </c>
      <c r="M332" s="66" t="n">
        <v>85</v>
      </c>
      <c r="N332" s="66" t="n">
        <v>201</v>
      </c>
      <c r="O332" s="66" t="n">
        <v>115</v>
      </c>
      <c r="P332" s="66" t="n">
        <v>80</v>
      </c>
    </row>
    <row r="333" ht="15.75" customHeight="1" s="45">
      <c r="A333" s="61" t="n">
        <v>46048</v>
      </c>
      <c r="B333" s="62" t="inlineStr">
        <is>
          <t>Antes-Projeto</t>
        </is>
      </c>
      <c r="C333" s="63" t="inlineStr">
        <is>
          <t>Exames Laboratoriais</t>
        </is>
      </c>
      <c r="D333" s="64" t="n">
        <v>718</v>
      </c>
      <c r="E333" s="64" t="n">
        <v>300</v>
      </c>
      <c r="F333" s="64" t="n">
        <v>236</v>
      </c>
      <c r="G333" s="64" t="n">
        <v>238</v>
      </c>
      <c r="H333" s="64" t="n">
        <v>238</v>
      </c>
      <c r="I333" s="64" t="n">
        <v>518</v>
      </c>
      <c r="J333" s="64" t="n">
        <v>188</v>
      </c>
      <c r="K333" s="64" t="n">
        <v>776</v>
      </c>
      <c r="L333" s="64" t="n">
        <v>462</v>
      </c>
      <c r="M333" s="64" t="n">
        <v>487</v>
      </c>
      <c r="N333" s="64" t="n">
        <v>550</v>
      </c>
      <c r="O333" s="64" t="n">
        <v>194</v>
      </c>
      <c r="P333" s="64" t="n">
        <v>436</v>
      </c>
    </row>
    <row r="334" ht="15.75" customHeight="1" s="45">
      <c r="A334" s="61" t="n">
        <v>46048</v>
      </c>
      <c r="B334" s="62" t="inlineStr">
        <is>
          <t>Antes-Projeto</t>
        </is>
      </c>
      <c r="C334" s="65" t="inlineStr">
        <is>
          <t>Radiografias</t>
        </is>
      </c>
      <c r="D334" s="66" t="n">
        <v>41</v>
      </c>
      <c r="E334" s="66" t="n">
        <v>3</v>
      </c>
      <c r="F334" s="66" t="n">
        <v>15</v>
      </c>
      <c r="G334" s="66" t="n">
        <v>7</v>
      </c>
      <c r="H334" s="66" t="n">
        <v>10</v>
      </c>
      <c r="I334" s="66" t="n">
        <v>18</v>
      </c>
      <c r="J334" s="66" t="n">
        <v>7</v>
      </c>
      <c r="K334" s="66" t="n">
        <v>8</v>
      </c>
      <c r="L334" s="66" t="n">
        <v>20</v>
      </c>
      <c r="M334" s="66" t="n">
        <v>33</v>
      </c>
      <c r="N334" s="66" t="n">
        <v>35</v>
      </c>
      <c r="O334" s="66" t="n">
        <v>26</v>
      </c>
      <c r="P334" s="66" t="n">
        <v>22</v>
      </c>
    </row>
    <row r="335" ht="15.75" customHeight="1" s="45">
      <c r="A335" s="61" t="n">
        <v>46048</v>
      </c>
      <c r="B335" s="62" t="inlineStr">
        <is>
          <t>Antes-Projeto</t>
        </is>
      </c>
      <c r="C335" s="63" t="inlineStr">
        <is>
          <t>Eletrocardiogramas</t>
        </is>
      </c>
      <c r="D335" s="64" t="n">
        <v>9</v>
      </c>
      <c r="E335" s="64" t="n">
        <v>12</v>
      </c>
      <c r="F335" s="64" t="n">
        <v>12</v>
      </c>
      <c r="G335" s="64" t="n">
        <v>8</v>
      </c>
      <c r="H335" s="64" t="n">
        <v>12</v>
      </c>
      <c r="I335" s="64" t="n">
        <v>14</v>
      </c>
      <c r="J335" s="64" t="n">
        <v>4</v>
      </c>
      <c r="K335" s="64" t="n">
        <v>23</v>
      </c>
      <c r="L335" s="64" t="n">
        <v>10</v>
      </c>
      <c r="M335" s="64" t="n">
        <v>11</v>
      </c>
      <c r="N335" s="64" t="n">
        <v>12</v>
      </c>
      <c r="O335" s="64" t="n">
        <v>8</v>
      </c>
      <c r="P335" s="64" t="n">
        <v>16</v>
      </c>
    </row>
    <row r="336" ht="15.75" customHeight="1" s="45">
      <c r="A336" s="61" t="n">
        <v>46048</v>
      </c>
      <c r="B336" s="62" t="inlineStr">
        <is>
          <t>Antes-Projeto</t>
        </is>
      </c>
      <c r="C336" s="68" t="inlineStr">
        <is>
          <t>GAEs Abertas</t>
        </is>
      </c>
      <c r="D336" s="69" t="n">
        <v>355</v>
      </c>
      <c r="E336" s="69" t="n">
        <v>147</v>
      </c>
      <c r="F336" s="69" t="n">
        <v>177</v>
      </c>
      <c r="G336" s="69" t="n">
        <v>127</v>
      </c>
      <c r="H336" s="69" t="n">
        <v>141</v>
      </c>
      <c r="I336" s="69" t="n">
        <v>260</v>
      </c>
      <c r="J336" s="69" t="n">
        <v>98</v>
      </c>
      <c r="K336" s="69" t="n">
        <v>267</v>
      </c>
      <c r="L336" s="69" t="n">
        <v>158</v>
      </c>
      <c r="M336" s="69" t="n">
        <v>221</v>
      </c>
      <c r="N336" s="69" t="n">
        <v>201</v>
      </c>
      <c r="O336" s="69" t="n">
        <v>269</v>
      </c>
      <c r="P336" s="69" t="n">
        <v>239</v>
      </c>
    </row>
    <row r="337" ht="15.75" customHeight="1" s="45">
      <c r="A337" s="61" t="n">
        <v>46048</v>
      </c>
      <c r="B337" s="62" t="inlineStr">
        <is>
          <t>Antes-Projeto</t>
        </is>
      </c>
      <c r="C337" s="68" t="inlineStr">
        <is>
          <t>GAEs Classificadas</t>
        </is>
      </c>
      <c r="D337" s="69" t="n">
        <v>324</v>
      </c>
      <c r="E337" s="69" t="n">
        <v>145</v>
      </c>
      <c r="F337" s="69" t="n">
        <v>170</v>
      </c>
      <c r="G337" s="69" t="n">
        <v>123</v>
      </c>
      <c r="H337" s="69" t="n">
        <v>117</v>
      </c>
      <c r="I337" s="69" t="n">
        <v>237</v>
      </c>
      <c r="J337" s="69" t="n">
        <v>93</v>
      </c>
      <c r="K337" s="69" t="n">
        <v>230</v>
      </c>
      <c r="L337" s="69" t="n">
        <v>140</v>
      </c>
      <c r="M337" s="69" t="n">
        <v>204</v>
      </c>
      <c r="N337" s="69" t="n">
        <v>186</v>
      </c>
      <c r="O337" s="69" t="n">
        <v>254</v>
      </c>
      <c r="P337" s="69" t="n">
        <v>210</v>
      </c>
    </row>
    <row r="338" ht="15.75" customHeight="1" s="45">
      <c r="A338" s="61" t="n">
        <v>46048</v>
      </c>
      <c r="B338" s="62" t="inlineStr">
        <is>
          <t>Antes-Projeto</t>
        </is>
      </c>
      <c r="C338" s="70" t="inlineStr">
        <is>
          <t>Percentual de GAEs abertas classificadas</t>
        </is>
      </c>
      <c r="D338" s="71">
        <f>IFERROR(D337/D336,"-")</f>
        <v/>
      </c>
      <c r="E338" s="71">
        <f>IFERROR(E337/E336,"-")</f>
        <v/>
      </c>
      <c r="F338" s="71">
        <f>IFERROR(F337/F336,"-")</f>
        <v/>
      </c>
      <c r="G338" s="71">
        <f>IFERROR(G337/G336,"-")</f>
        <v/>
      </c>
      <c r="H338" s="71">
        <f>IFERROR(H337/H336,"-")</f>
        <v/>
      </c>
      <c r="I338" s="71">
        <f>IFERROR(I337/I336,"-")</f>
        <v/>
      </c>
      <c r="J338" s="71">
        <f>IFERROR(J337/J336,"-")</f>
        <v/>
      </c>
      <c r="K338" s="71">
        <f>IFERROR(K337/K336,"-")</f>
        <v/>
      </c>
      <c r="L338" s="71">
        <f>IFERROR(L337/L336,"-")</f>
        <v/>
      </c>
      <c r="M338" s="71">
        <f>IFERROR(M337/M336,"-")</f>
        <v/>
      </c>
      <c r="N338" s="71">
        <f>IFERROR(N337/N336,"-")</f>
        <v/>
      </c>
      <c r="O338" s="71">
        <f>IFERROR(O337/O336,"-")</f>
        <v/>
      </c>
      <c r="P338" s="71">
        <f>IFERROR(P337/P336,"-")</f>
        <v/>
      </c>
    </row>
    <row r="339" ht="15.75" customHeight="1" s="45">
      <c r="A339" s="61" t="n">
        <v>46048</v>
      </c>
      <c r="B339" s="62" t="inlineStr">
        <is>
          <t>Antes-Projeto</t>
        </is>
      </c>
      <c r="C339" s="72" t="inlineStr">
        <is>
          <t>Tempo Médio — 🟡 Amarelo (hh:mm)</t>
        </is>
      </c>
      <c r="D339" s="121" t="n">
        <v>0.07746527777777777</v>
      </c>
      <c r="E339" s="121" t="n">
        <v>0.09142361111111111</v>
      </c>
      <c r="F339" s="121" t="n">
        <v>0.6155671296296297</v>
      </c>
      <c r="G339" s="121" t="n">
        <v>0.04880787037037037</v>
      </c>
      <c r="H339" s="121" t="n">
        <v>0.04587962962962963</v>
      </c>
      <c r="I339" s="121" t="n">
        <v>0.1041550925925926</v>
      </c>
      <c r="J339" s="121" t="n">
        <v>0.1862268518518519</v>
      </c>
      <c r="K339" s="121" t="n">
        <v>0.07792824074074074</v>
      </c>
      <c r="L339" s="121" t="n">
        <v>0.2158333333333333</v>
      </c>
      <c r="M339" s="121" t="n">
        <v>0.06141203703703704</v>
      </c>
      <c r="N339" s="121" t="n">
        <v>0.1028125</v>
      </c>
      <c r="O339" s="121" t="n">
        <v>0.1050462962962963</v>
      </c>
      <c r="P339" s="121" t="n">
        <v>0.2166898148148148</v>
      </c>
    </row>
    <row r="340" ht="15.75" customHeight="1" s="45">
      <c r="A340" s="61" t="n">
        <v>46048</v>
      </c>
      <c r="B340" s="62" t="inlineStr">
        <is>
          <t>Antes-Projeto</t>
        </is>
      </c>
      <c r="C340" s="74" t="inlineStr">
        <is>
          <t>Tempo Médio — 🟠 Laranja (hh:mm)</t>
        </is>
      </c>
      <c r="D340" s="122" t="n">
        <v>0.01028935185185185</v>
      </c>
      <c r="E340" s="122" t="n">
        <v>0.01267361111111111</v>
      </c>
      <c r="F340" s="122" t="n">
        <v>0.01260416666666667</v>
      </c>
      <c r="G340" s="122" t="n">
        <v>0.0153125</v>
      </c>
      <c r="H340" s="122" t="n">
        <v>0.01266203703703704</v>
      </c>
      <c r="I340" s="122" t="n">
        <v>0.005752314814814815</v>
      </c>
      <c r="J340" s="122" t="n">
        <v>0.04666666666666667</v>
      </c>
      <c r="K340" s="122" t="n">
        <v>0.0465625</v>
      </c>
      <c r="L340" s="122" t="n">
        <v>0.02096064814814815</v>
      </c>
      <c r="M340" s="122" t="n">
        <v>0.01818287037037037</v>
      </c>
      <c r="N340" s="122" t="n">
        <v>0.01689814814814815</v>
      </c>
      <c r="O340" s="122" t="n">
        <v>0.01701388888888889</v>
      </c>
      <c r="P340" s="122" t="n">
        <v>0.03734953703703704</v>
      </c>
    </row>
    <row r="341" ht="15.75" customHeight="1" s="45">
      <c r="A341" s="76" t="n">
        <v>46048</v>
      </c>
      <c r="B341" s="77" t="inlineStr">
        <is>
          <t>Antes-Projeto</t>
        </is>
      </c>
      <c r="C341" s="78" t="inlineStr">
        <is>
          <t>Tempo Médio — 🟢 Verde   (hh:mm)</t>
        </is>
      </c>
      <c r="D341" s="123" t="n">
        <v>0.1290393518518519</v>
      </c>
      <c r="E341" s="123" t="n">
        <v>0.2202083333333333</v>
      </c>
      <c r="F341" s="123" t="n">
        <v>0.09210648148148148</v>
      </c>
      <c r="G341" s="123" t="n">
        <v>0.1260185185185185</v>
      </c>
      <c r="H341" s="123" t="n">
        <v>0.08108796296296296</v>
      </c>
      <c r="I341" s="123" t="n">
        <v>0.1976388888888889</v>
      </c>
      <c r="J341" s="123" t="n">
        <v>0.136087962962963</v>
      </c>
      <c r="K341" s="123" t="n">
        <v>0.08832175925925925</v>
      </c>
      <c r="L341" s="123" t="n">
        <v>0.2908101851851852</v>
      </c>
      <c r="M341" s="123" t="n">
        <v>0.1089583333333333</v>
      </c>
      <c r="N341" s="123" t="n">
        <v>0.1384375</v>
      </c>
      <c r="O341" s="123" t="n">
        <v>0.1299884259259259</v>
      </c>
      <c r="P341" s="123" t="n">
        <v>0.1560069444444444</v>
      </c>
    </row>
    <row r="342" ht="15.75" customHeight="1" s="45">
      <c r="A342" s="57" t="n">
        <v>46049</v>
      </c>
      <c r="B342" s="58" t="inlineStr">
        <is>
          <t>Antes-Projeto</t>
        </is>
      </c>
      <c r="C342" s="59" t="inlineStr">
        <is>
          <t>Acolhim. + Atend. Urgência + Atend. UPA</t>
        </is>
      </c>
      <c r="D342" s="60">
        <f>SUM(D343:D345)</f>
        <v/>
      </c>
      <c r="E342" s="60">
        <f>SUM(E343:E345)</f>
        <v/>
      </c>
      <c r="F342" s="60">
        <f>SUM(F343:F345)</f>
        <v/>
      </c>
      <c r="G342" s="60">
        <f>SUM(G343:G345)</f>
        <v/>
      </c>
      <c r="H342" s="60">
        <f>SUM(H343:H345)</f>
        <v/>
      </c>
      <c r="I342" s="60">
        <f>SUM(I343:I345)</f>
        <v/>
      </c>
      <c r="J342" s="60">
        <f>SUM(J343:J345)</f>
        <v/>
      </c>
      <c r="K342" s="60">
        <f>SUM(K343:K345)</f>
        <v/>
      </c>
      <c r="L342" s="60">
        <f>SUM(L343:L345)</f>
        <v/>
      </c>
      <c r="M342" s="60">
        <f>SUM(M343:M345)</f>
        <v/>
      </c>
      <c r="N342" s="60">
        <f>SUM(N343:N345)</f>
        <v/>
      </c>
      <c r="O342" s="60">
        <f>SUM(O343:O345)</f>
        <v/>
      </c>
      <c r="P342" s="60">
        <f>SUM(P343:P345)</f>
        <v/>
      </c>
    </row>
    <row r="343" ht="15.75" customHeight="1" s="45">
      <c r="A343" s="61" t="n">
        <v>46049</v>
      </c>
      <c r="B343" s="62" t="inlineStr">
        <is>
          <t>Antes-Projeto</t>
        </is>
      </c>
      <c r="C343" s="63" t="inlineStr">
        <is>
          <t>Acolhimento c/ Classif. de Risco</t>
        </is>
      </c>
      <c r="D343" s="64" t="n">
        <v>104</v>
      </c>
      <c r="E343" s="64" t="n">
        <v>54</v>
      </c>
      <c r="F343" s="64" t="n">
        <v>67</v>
      </c>
      <c r="G343" s="64" t="n">
        <v>49</v>
      </c>
      <c r="H343" s="64" t="n">
        <v>107</v>
      </c>
      <c r="I343" s="64" t="n">
        <v>91</v>
      </c>
      <c r="J343" s="64" t="n">
        <v>42</v>
      </c>
      <c r="K343" s="64" t="n">
        <v>108</v>
      </c>
      <c r="L343" s="64" t="n">
        <v>63</v>
      </c>
      <c r="M343" s="64" t="n">
        <v>98</v>
      </c>
      <c r="N343" s="64" t="n">
        <v>189</v>
      </c>
      <c r="O343" s="64" t="n">
        <v>95</v>
      </c>
      <c r="P343" s="64" t="n">
        <v>90</v>
      </c>
    </row>
    <row r="344" ht="15.75" customHeight="1" s="45">
      <c r="A344" s="61" t="n">
        <v>46049</v>
      </c>
      <c r="B344" s="62" t="inlineStr">
        <is>
          <t>Antes-Projeto</t>
        </is>
      </c>
      <c r="C344" s="65" t="inlineStr">
        <is>
          <t>Atend. Urgência Obs. ≤ 24h</t>
        </is>
      </c>
      <c r="D344" s="66" t="n">
        <v>30</v>
      </c>
      <c r="E344" s="66" t="n">
        <v>40</v>
      </c>
      <c r="F344" s="66" t="n">
        <v>19</v>
      </c>
      <c r="G344" s="66" t="n">
        <v>37</v>
      </c>
      <c r="H344" s="66" t="n">
        <v>41</v>
      </c>
      <c r="I344" s="66" t="n">
        <v>14</v>
      </c>
      <c r="J344" s="66" t="n">
        <v>14</v>
      </c>
      <c r="K344" s="66" t="n">
        <v>71</v>
      </c>
      <c r="L344" s="66" t="n">
        <v>39</v>
      </c>
      <c r="M344" s="66" t="n">
        <v>15</v>
      </c>
      <c r="N344" s="66" t="n">
        <v>37</v>
      </c>
      <c r="O344" s="66" t="n">
        <v>14</v>
      </c>
      <c r="P344" s="66" t="n">
        <v>32</v>
      </c>
    </row>
    <row r="345" ht="15.75" customHeight="1" s="45">
      <c r="A345" s="61" t="n">
        <v>46049</v>
      </c>
      <c r="B345" s="62" t="inlineStr">
        <is>
          <t>Antes-Projeto</t>
        </is>
      </c>
      <c r="C345" s="63" t="inlineStr">
        <is>
          <t>Atend. Médico em UPA</t>
        </is>
      </c>
      <c r="D345" s="64" t="n">
        <v>130</v>
      </c>
      <c r="E345" s="64" t="n">
        <v>108</v>
      </c>
      <c r="F345" s="64" t="n">
        <v>76</v>
      </c>
      <c r="G345" s="64" t="n">
        <v>65</v>
      </c>
      <c r="H345" s="64" t="n">
        <v>80</v>
      </c>
      <c r="I345" s="64" t="n">
        <v>71</v>
      </c>
      <c r="J345" s="64" t="n">
        <v>81</v>
      </c>
      <c r="K345" s="64" t="n">
        <v>157</v>
      </c>
      <c r="L345" s="64" t="n">
        <v>63</v>
      </c>
      <c r="M345" s="64" t="n">
        <v>96</v>
      </c>
      <c r="N345" s="64" t="n">
        <v>190</v>
      </c>
      <c r="O345" s="64" t="n">
        <v>109</v>
      </c>
      <c r="P345" s="64" t="n">
        <v>69</v>
      </c>
    </row>
    <row r="346" ht="15.75" customHeight="1" s="45">
      <c r="A346" s="61" t="n">
        <v>46049</v>
      </c>
      <c r="B346" s="62" t="inlineStr">
        <is>
          <t>Antes-Projeto</t>
        </is>
      </c>
      <c r="C346" s="65" t="inlineStr">
        <is>
          <t>Exames Laboratoriais</t>
        </is>
      </c>
      <c r="D346" s="66" t="n">
        <v>726</v>
      </c>
      <c r="E346" s="66" t="n">
        <v>455</v>
      </c>
      <c r="F346" s="66" t="n">
        <v>533</v>
      </c>
      <c r="G346" s="66" t="n">
        <v>286</v>
      </c>
      <c r="H346" s="66" t="n">
        <v>318</v>
      </c>
      <c r="I346" s="66" t="n">
        <v>442</v>
      </c>
      <c r="J346" s="66" t="n">
        <v>313</v>
      </c>
      <c r="K346" s="66" t="n">
        <v>882</v>
      </c>
      <c r="L346" s="66" t="n">
        <v>433</v>
      </c>
      <c r="M346" s="66" t="n">
        <v>480</v>
      </c>
      <c r="N346" s="66" t="n">
        <v>816</v>
      </c>
      <c r="O346" s="66" t="n">
        <v>184</v>
      </c>
      <c r="P346" s="66" t="n">
        <v>196</v>
      </c>
    </row>
    <row r="347" ht="15.75" customHeight="1" s="45">
      <c r="A347" s="61" t="n">
        <v>46049</v>
      </c>
      <c r="B347" s="62" t="inlineStr">
        <is>
          <t>Antes-Projeto</t>
        </is>
      </c>
      <c r="C347" s="63" t="inlineStr">
        <is>
          <t>Radiografias</t>
        </is>
      </c>
      <c r="D347" s="64" t="n">
        <v>17</v>
      </c>
      <c r="E347" s="64" t="n">
        <v>2</v>
      </c>
      <c r="F347" s="64" t="n">
        <v>27</v>
      </c>
      <c r="G347" s="64" t="n">
        <v>13</v>
      </c>
      <c r="H347" s="64" t="n">
        <v>11</v>
      </c>
      <c r="I347" s="64" t="n">
        <v>11</v>
      </c>
      <c r="J347" s="64" t="n">
        <v>21</v>
      </c>
      <c r="K347" s="64" t="n">
        <v>8</v>
      </c>
      <c r="L347" s="64" t="n">
        <v>46</v>
      </c>
      <c r="M347" s="64" t="n">
        <v>50</v>
      </c>
      <c r="N347" s="64" t="n">
        <v>64</v>
      </c>
      <c r="O347" s="64" t="n">
        <v>32</v>
      </c>
      <c r="P347" s="64" t="n">
        <v>31</v>
      </c>
    </row>
    <row r="348" ht="15.75" customHeight="1" s="45">
      <c r="A348" s="61" t="n">
        <v>46049</v>
      </c>
      <c r="B348" s="62" t="inlineStr">
        <is>
          <t>Antes-Projeto</t>
        </is>
      </c>
      <c r="C348" s="65" t="inlineStr">
        <is>
          <t>Eletrocardiogramas</t>
        </is>
      </c>
      <c r="D348" s="66" t="n">
        <v>9</v>
      </c>
      <c r="E348" s="66" t="n">
        <v>13</v>
      </c>
      <c r="F348" s="66" t="n">
        <v>12</v>
      </c>
      <c r="G348" s="66" t="n">
        <v>9</v>
      </c>
      <c r="H348" s="66" t="n">
        <v>8</v>
      </c>
      <c r="I348" s="66" t="n">
        <v>16</v>
      </c>
      <c r="J348" s="66" t="n">
        <v>6</v>
      </c>
      <c r="K348" s="66" t="n">
        <v>32</v>
      </c>
      <c r="L348" s="66" t="n">
        <v>20</v>
      </c>
      <c r="M348" s="66" t="n">
        <v>13</v>
      </c>
      <c r="N348" s="66" t="n">
        <v>29</v>
      </c>
      <c r="O348" s="66" t="n">
        <v>5</v>
      </c>
      <c r="P348" s="66" t="n">
        <v>13</v>
      </c>
    </row>
    <row r="349" ht="15.75" customHeight="1" s="45">
      <c r="A349" s="61" t="n">
        <v>46049</v>
      </c>
      <c r="B349" s="62" t="inlineStr">
        <is>
          <t>Antes-Projeto</t>
        </is>
      </c>
      <c r="C349" s="68" t="inlineStr">
        <is>
          <t>GAEs Abertas</t>
        </is>
      </c>
      <c r="D349" s="69" t="n">
        <v>238</v>
      </c>
      <c r="E349" s="69" t="n">
        <v>168</v>
      </c>
      <c r="F349" s="69" t="n">
        <v>140</v>
      </c>
      <c r="G349" s="69" t="n">
        <v>96</v>
      </c>
      <c r="H349" s="69" t="n">
        <v>230</v>
      </c>
      <c r="I349" s="69" t="n">
        <v>182</v>
      </c>
      <c r="J349" s="69" t="n">
        <v>101</v>
      </c>
      <c r="K349" s="69" t="n">
        <v>295</v>
      </c>
      <c r="L349" s="69" t="n">
        <v>156</v>
      </c>
      <c r="M349" s="69" t="n">
        <v>215</v>
      </c>
      <c r="N349" s="69" t="n">
        <v>189</v>
      </c>
      <c r="O349" s="69" t="n">
        <v>284</v>
      </c>
      <c r="P349" s="69" t="n">
        <v>206</v>
      </c>
    </row>
    <row r="350" ht="15.75" customHeight="1" s="45">
      <c r="A350" s="61" t="n">
        <v>46049</v>
      </c>
      <c r="B350" s="62" t="inlineStr">
        <is>
          <t>Antes-Projeto</t>
        </is>
      </c>
      <c r="C350" s="68" t="inlineStr">
        <is>
          <t>GAEs Classificadas</t>
        </is>
      </c>
      <c r="D350" s="69" t="n">
        <v>215</v>
      </c>
      <c r="E350" s="69" t="n">
        <v>162</v>
      </c>
      <c r="F350" s="69" t="n">
        <v>132</v>
      </c>
      <c r="G350" s="69" t="n">
        <v>94</v>
      </c>
      <c r="H350" s="69" t="n">
        <v>209</v>
      </c>
      <c r="I350" s="69" t="n">
        <v>166</v>
      </c>
      <c r="J350" s="69" t="n">
        <v>98</v>
      </c>
      <c r="K350" s="69" t="n">
        <v>252</v>
      </c>
      <c r="L350" s="69" t="n">
        <v>134</v>
      </c>
      <c r="M350" s="69" t="n">
        <v>207</v>
      </c>
      <c r="N350" s="69" t="n">
        <v>182</v>
      </c>
      <c r="O350" s="69" t="n">
        <v>217</v>
      </c>
      <c r="P350" s="69" t="n">
        <v>197</v>
      </c>
    </row>
    <row r="351" ht="15.75" customHeight="1" s="45">
      <c r="A351" s="61" t="n">
        <v>46049</v>
      </c>
      <c r="B351" s="62" t="inlineStr">
        <is>
          <t>Antes-Projeto</t>
        </is>
      </c>
      <c r="C351" s="70" t="inlineStr">
        <is>
          <t>Percentual de GAEs abertas classificadas</t>
        </is>
      </c>
      <c r="D351" s="71">
        <f>IFERROR(D350/D349,"-")</f>
        <v/>
      </c>
      <c r="E351" s="71">
        <f>IFERROR(E350/E349,"-")</f>
        <v/>
      </c>
      <c r="F351" s="71">
        <f>IFERROR(F350/F349,"-")</f>
        <v/>
      </c>
      <c r="G351" s="71">
        <f>IFERROR(G350/G349,"-")</f>
        <v/>
      </c>
      <c r="H351" s="71">
        <f>IFERROR(H350/H349,"-")</f>
        <v/>
      </c>
      <c r="I351" s="71">
        <f>IFERROR(I350/I349,"-")</f>
        <v/>
      </c>
      <c r="J351" s="71">
        <f>IFERROR(J350/J349,"-")</f>
        <v/>
      </c>
      <c r="K351" s="71">
        <f>IFERROR(K350/K349,"-")</f>
        <v/>
      </c>
      <c r="L351" s="71">
        <f>IFERROR(L350/L349,"-")</f>
        <v/>
      </c>
      <c r="M351" s="71">
        <f>IFERROR(M350/M349,"-")</f>
        <v/>
      </c>
      <c r="N351" s="71">
        <f>IFERROR(N350/N349,"-")</f>
        <v/>
      </c>
      <c r="O351" s="71">
        <f>IFERROR(O350/O349,"-")</f>
        <v/>
      </c>
      <c r="P351" s="71">
        <f>IFERROR(P350/P349,"-")</f>
        <v/>
      </c>
    </row>
    <row r="352" ht="15.75" customHeight="1" s="45">
      <c r="A352" s="61" t="n">
        <v>46049</v>
      </c>
      <c r="B352" s="62" t="inlineStr">
        <is>
          <t>Antes-Projeto</t>
        </is>
      </c>
      <c r="C352" s="72" t="inlineStr">
        <is>
          <t>Tempo Médio — 🟡 Amarelo (hh:mm)</t>
        </is>
      </c>
      <c r="D352" s="121" t="n">
        <v>0.06699074074074074</v>
      </c>
      <c r="E352" s="121" t="n">
        <v>0.09666666666666666</v>
      </c>
      <c r="F352" s="121" t="n">
        <v>0.1215856481481482</v>
      </c>
      <c r="G352" s="121" t="n">
        <v>0.02819444444444445</v>
      </c>
      <c r="H352" s="121" t="n">
        <v>0.1066319444444444</v>
      </c>
      <c r="I352" s="121" t="n">
        <v>0.09302083333333333</v>
      </c>
      <c r="J352" s="121" t="n">
        <v>0.03037037037037037</v>
      </c>
      <c r="K352" s="121" t="n">
        <v>0.09091435185185186</v>
      </c>
      <c r="L352" s="121" t="n">
        <v>0.1483680555555555</v>
      </c>
      <c r="M352" s="121" t="n">
        <v>0.02163194444444444</v>
      </c>
      <c r="N352" s="121" t="n">
        <v>0.1001157407407407</v>
      </c>
      <c r="O352" s="121" t="n">
        <v>0.08251157407407407</v>
      </c>
      <c r="P352" s="121" t="n">
        <v>0.1521643518518518</v>
      </c>
    </row>
    <row r="353" ht="15.75" customHeight="1" s="45">
      <c r="A353" s="61" t="n">
        <v>46049</v>
      </c>
      <c r="B353" s="62" t="inlineStr">
        <is>
          <t>Antes-Projeto</t>
        </is>
      </c>
      <c r="C353" s="74" t="inlineStr">
        <is>
          <t>Tempo Médio — 🟠 Laranja (hh:mm)</t>
        </is>
      </c>
      <c r="D353" s="122" t="n">
        <v>0.01112268518518519</v>
      </c>
      <c r="E353" s="122" t="n">
        <v>0.01465277777777778</v>
      </c>
      <c r="F353" s="122" t="n">
        <v>0.02465277777777778</v>
      </c>
      <c r="G353" s="122" t="n">
        <v>0.008599537037037037</v>
      </c>
      <c r="H353" s="122" t="n">
        <v>0.01292824074074074</v>
      </c>
      <c r="I353" s="122" t="n">
        <v>0.01415509259259259</v>
      </c>
      <c r="J353" s="122" t="n">
        <v>0.005231481481481481</v>
      </c>
      <c r="K353" s="122" t="n">
        <v>0.02609953703703704</v>
      </c>
      <c r="L353" s="122" t="n">
        <v>0.02795138888888889</v>
      </c>
      <c r="M353" s="122" t="n">
        <v>0.01454861111111111</v>
      </c>
      <c r="N353" s="122" t="n">
        <v>0.02174768518518519</v>
      </c>
      <c r="O353" s="122" t="n">
        <v>0.01842592592592593</v>
      </c>
      <c r="P353" s="122" t="n">
        <v>0.01256944444444444</v>
      </c>
    </row>
    <row r="354" ht="15.75" customHeight="1" s="45">
      <c r="A354" s="76" t="n">
        <v>46049</v>
      </c>
      <c r="B354" s="77" t="inlineStr">
        <is>
          <t>Antes-Projeto</t>
        </is>
      </c>
      <c r="C354" s="78" t="inlineStr">
        <is>
          <t>Tempo Médio — 🟢 Verde   (hh:mm)</t>
        </is>
      </c>
      <c r="D354" s="123" t="n">
        <v>0.1000578703703704</v>
      </c>
      <c r="E354" s="123" t="n">
        <v>0.1808564814814815</v>
      </c>
      <c r="F354" s="123" t="n">
        <v>0.08340277777777778</v>
      </c>
      <c r="G354" s="123" t="n">
        <v>0.0865625</v>
      </c>
      <c r="H354" s="123" t="n">
        <v>0.2080671296296296</v>
      </c>
      <c r="I354" s="123" t="n">
        <v>0.1215162037037037</v>
      </c>
      <c r="J354" s="123" t="n">
        <v>0.05092592592592592</v>
      </c>
      <c r="K354" s="123" t="n">
        <v>0.1291435185185185</v>
      </c>
      <c r="L354" s="123" t="n">
        <v>0.2700925925925926</v>
      </c>
      <c r="M354" s="123" t="n">
        <v>0.08493055555555555</v>
      </c>
      <c r="N354" s="123" t="n">
        <v>0.1044675925925926</v>
      </c>
      <c r="O354" s="123" t="n">
        <v>0.2324305555555556</v>
      </c>
      <c r="P354" s="123" t="n">
        <v>0.2109837962962963</v>
      </c>
    </row>
    <row r="355" ht="15.75" customHeight="1" s="45">
      <c r="A355" s="57" t="n">
        <v>46050</v>
      </c>
      <c r="B355" s="58" t="inlineStr">
        <is>
          <t>Antes-Projeto</t>
        </is>
      </c>
      <c r="C355" s="59" t="inlineStr">
        <is>
          <t>Acolhim. + Atend. Urgência + Atend. UPA</t>
        </is>
      </c>
      <c r="D355" s="60">
        <f>SUM(D356:D358)</f>
        <v/>
      </c>
      <c r="E355" s="60">
        <f>SUM(E356:E358)</f>
        <v/>
      </c>
      <c r="F355" s="60">
        <f>SUM(F356:F358)</f>
        <v/>
      </c>
      <c r="G355" s="60">
        <f>SUM(G356:G358)</f>
        <v/>
      </c>
      <c r="H355" s="60">
        <f>SUM(H356:H358)</f>
        <v/>
      </c>
      <c r="I355" s="60">
        <f>SUM(I356:I358)</f>
        <v/>
      </c>
      <c r="J355" s="60">
        <f>SUM(J356:J358)</f>
        <v/>
      </c>
      <c r="K355" s="60">
        <f>SUM(K356:K358)</f>
        <v/>
      </c>
      <c r="L355" s="60">
        <f>SUM(L356:L358)</f>
        <v/>
      </c>
      <c r="M355" s="60">
        <f>SUM(M356:M358)</f>
        <v/>
      </c>
      <c r="N355" s="60">
        <f>SUM(N356:N358)</f>
        <v/>
      </c>
      <c r="O355" s="60">
        <f>SUM(O356:O358)</f>
        <v/>
      </c>
      <c r="P355" s="60">
        <f>SUM(P356:P358)</f>
        <v/>
      </c>
    </row>
    <row r="356" ht="15.75" customHeight="1" s="45">
      <c r="A356" s="61" t="n">
        <v>46050</v>
      </c>
      <c r="B356" s="62" t="inlineStr">
        <is>
          <t>Antes-Projeto</t>
        </is>
      </c>
      <c r="C356" s="65" t="inlineStr">
        <is>
          <t>Acolhimento c/ Classif. de Risco</t>
        </is>
      </c>
      <c r="D356" s="66" t="n">
        <v>126</v>
      </c>
      <c r="E356" s="66" t="n">
        <v>55</v>
      </c>
      <c r="F356" s="66" t="n">
        <v>50</v>
      </c>
      <c r="G356" s="66" t="n">
        <v>69</v>
      </c>
      <c r="H356" s="66" t="n">
        <v>52</v>
      </c>
      <c r="I356" s="66" t="n">
        <v>95</v>
      </c>
      <c r="J356" s="66" t="n">
        <v>18</v>
      </c>
      <c r="K356" s="66" t="n">
        <v>100</v>
      </c>
      <c r="L356" s="66" t="n">
        <v>67</v>
      </c>
      <c r="M356" s="66" t="n">
        <v>68</v>
      </c>
      <c r="N356" s="66" t="n">
        <v>182</v>
      </c>
      <c r="O356" s="66" t="n">
        <v>110</v>
      </c>
      <c r="P356" s="66" t="n">
        <v>82</v>
      </c>
    </row>
    <row r="357" ht="15.75" customHeight="1" s="45">
      <c r="A357" s="61" t="n">
        <v>46050</v>
      </c>
      <c r="B357" s="62" t="inlineStr">
        <is>
          <t>Antes-Projeto</t>
        </is>
      </c>
      <c r="C357" s="63" t="inlineStr">
        <is>
          <t>Atend. Urgência Obs. ≤ 24h</t>
        </is>
      </c>
      <c r="D357" s="64" t="n">
        <v>20</v>
      </c>
      <c r="E357" s="64" t="n">
        <v>51</v>
      </c>
      <c r="F357" s="64" t="n">
        <v>21</v>
      </c>
      <c r="G357" s="64" t="n">
        <v>42</v>
      </c>
      <c r="H357" s="64" t="n">
        <v>28</v>
      </c>
      <c r="I357" s="64" t="n">
        <v>18</v>
      </c>
      <c r="J357" s="64" t="n">
        <v>9</v>
      </c>
      <c r="K357" s="64" t="n">
        <v>81</v>
      </c>
      <c r="L357" s="64" t="n">
        <v>41</v>
      </c>
      <c r="M357" s="64" t="n">
        <v>24</v>
      </c>
      <c r="N357" s="64" t="n">
        <v>21</v>
      </c>
      <c r="O357" s="64" t="n">
        <v>13</v>
      </c>
      <c r="P357" s="64" t="n">
        <v>12</v>
      </c>
    </row>
    <row r="358" ht="15.75" customHeight="1" s="45">
      <c r="A358" s="61" t="n">
        <v>46050</v>
      </c>
      <c r="B358" s="62" t="inlineStr">
        <is>
          <t>Antes-Projeto</t>
        </is>
      </c>
      <c r="C358" s="65" t="inlineStr">
        <is>
          <t>Atend. Médico em UPA</t>
        </is>
      </c>
      <c r="D358" s="66" t="n">
        <v>197</v>
      </c>
      <c r="E358" s="66" t="n">
        <v>76</v>
      </c>
      <c r="F358" s="66" t="n">
        <v>98</v>
      </c>
      <c r="G358" s="66" t="n">
        <v>58</v>
      </c>
      <c r="H358" s="66" t="n">
        <v>55</v>
      </c>
      <c r="I358" s="66" t="n">
        <v>130</v>
      </c>
      <c r="J358" s="66" t="n">
        <v>33</v>
      </c>
      <c r="K358" s="66" t="n">
        <v>160</v>
      </c>
      <c r="L358" s="66" t="n">
        <v>87</v>
      </c>
      <c r="M358" s="66" t="n">
        <v>91</v>
      </c>
      <c r="N358" s="66" t="n">
        <v>173</v>
      </c>
      <c r="O358" s="66" t="n">
        <v>122</v>
      </c>
      <c r="P358" s="66" t="n">
        <v>64</v>
      </c>
    </row>
    <row r="359" ht="15.75" customHeight="1" s="45">
      <c r="A359" s="61" t="n">
        <v>46050</v>
      </c>
      <c r="B359" s="62" t="inlineStr">
        <is>
          <t>Antes-Projeto</t>
        </is>
      </c>
      <c r="C359" s="63" t="inlineStr">
        <is>
          <t>Exames Laboratoriais</t>
        </is>
      </c>
      <c r="D359" s="64" t="n">
        <v>644</v>
      </c>
      <c r="E359" s="64" t="n">
        <v>402</v>
      </c>
      <c r="F359" s="64" t="n">
        <v>554</v>
      </c>
      <c r="G359" s="64" t="n">
        <v>298</v>
      </c>
      <c r="H359" s="64" t="n">
        <v>246</v>
      </c>
      <c r="I359" s="64" t="n">
        <v>485</v>
      </c>
      <c r="J359" s="64" t="n">
        <v>138</v>
      </c>
      <c r="K359" s="64" t="n">
        <v>680</v>
      </c>
      <c r="L359" s="64" t="n">
        <v>512</v>
      </c>
      <c r="M359" s="64" t="n">
        <v>630</v>
      </c>
      <c r="N359" s="64" t="n">
        <v>813</v>
      </c>
      <c r="O359" s="64" t="n">
        <v>368</v>
      </c>
      <c r="P359" s="64" t="n">
        <v>582</v>
      </c>
    </row>
    <row r="360" ht="15.75" customHeight="1" s="45">
      <c r="A360" s="61" t="n">
        <v>46050</v>
      </c>
      <c r="B360" s="62" t="inlineStr">
        <is>
          <t>Antes-Projeto</t>
        </is>
      </c>
      <c r="C360" s="65" t="inlineStr">
        <is>
          <t>Radiografias</t>
        </is>
      </c>
      <c r="D360" s="66" t="n">
        <v>24</v>
      </c>
      <c r="E360" s="67" t="n">
        <v>0</v>
      </c>
      <c r="F360" s="66" t="n">
        <v>44</v>
      </c>
      <c r="G360" s="66" t="n">
        <v>16</v>
      </c>
      <c r="H360" s="66" t="n">
        <v>7</v>
      </c>
      <c r="I360" s="66" t="n">
        <v>20</v>
      </c>
      <c r="J360" s="66" t="n">
        <v>4</v>
      </c>
      <c r="K360" s="66" t="n">
        <v>7</v>
      </c>
      <c r="L360" s="66" t="n">
        <v>25</v>
      </c>
      <c r="M360" s="66" t="n">
        <v>37</v>
      </c>
      <c r="N360" s="66" t="n">
        <v>39</v>
      </c>
      <c r="O360" s="66" t="n">
        <v>33</v>
      </c>
      <c r="P360" s="66" t="n">
        <v>28</v>
      </c>
    </row>
    <row r="361" ht="15.75" customHeight="1" s="45">
      <c r="A361" s="61" t="n">
        <v>46050</v>
      </c>
      <c r="B361" s="62" t="inlineStr">
        <is>
          <t>Antes-Projeto</t>
        </is>
      </c>
      <c r="C361" s="63" t="inlineStr">
        <is>
          <t>Eletrocardiogramas</t>
        </is>
      </c>
      <c r="D361" s="64" t="n">
        <v>11</v>
      </c>
      <c r="E361" s="64" t="n">
        <v>13</v>
      </c>
      <c r="F361" s="64" t="n">
        <v>11</v>
      </c>
      <c r="G361" s="64" t="n">
        <v>9</v>
      </c>
      <c r="H361" s="64" t="n">
        <v>11</v>
      </c>
      <c r="I361" s="64" t="n">
        <v>22</v>
      </c>
      <c r="J361" s="64" t="n">
        <v>4</v>
      </c>
      <c r="K361" s="64" t="n">
        <v>22</v>
      </c>
      <c r="L361" s="64" t="n">
        <v>15</v>
      </c>
      <c r="M361" s="64" t="n">
        <v>16</v>
      </c>
      <c r="N361" s="64" t="n">
        <v>27</v>
      </c>
      <c r="O361" s="64" t="n">
        <v>18</v>
      </c>
      <c r="P361" s="64" t="n">
        <v>17</v>
      </c>
    </row>
    <row r="362" ht="15.75" customHeight="1" s="45">
      <c r="A362" s="61" t="n">
        <v>46050</v>
      </c>
      <c r="B362" s="62" t="inlineStr">
        <is>
          <t>Antes-Projeto</t>
        </is>
      </c>
      <c r="C362" s="68" t="inlineStr">
        <is>
          <t>GAEs Abertas</t>
        </is>
      </c>
      <c r="D362" s="69" t="n">
        <v>302</v>
      </c>
      <c r="E362" s="69" t="n">
        <v>145</v>
      </c>
      <c r="F362" s="69" t="n">
        <v>133</v>
      </c>
      <c r="G362" s="69" t="n">
        <v>140</v>
      </c>
      <c r="H362" s="69" t="n">
        <v>129</v>
      </c>
      <c r="I362" s="69" t="n">
        <v>173</v>
      </c>
      <c r="J362" s="69" t="n">
        <v>79</v>
      </c>
      <c r="K362" s="69" t="n">
        <v>249</v>
      </c>
      <c r="L362" s="69" t="n">
        <v>143</v>
      </c>
      <c r="M362" s="69" t="n">
        <v>173</v>
      </c>
      <c r="N362" s="69" t="n">
        <v>181</v>
      </c>
      <c r="O362" s="69" t="n">
        <v>247</v>
      </c>
      <c r="P362" s="69" t="n">
        <v>198</v>
      </c>
    </row>
    <row r="363" ht="15.75" customHeight="1" s="45">
      <c r="A363" s="61" t="n">
        <v>46050</v>
      </c>
      <c r="B363" s="62" t="inlineStr">
        <is>
          <t>Antes-Projeto</t>
        </is>
      </c>
      <c r="C363" s="68" t="inlineStr">
        <is>
          <t>GAEs Classificadas</t>
        </is>
      </c>
      <c r="D363" s="69" t="n">
        <v>291</v>
      </c>
      <c r="E363" s="69" t="n">
        <v>143</v>
      </c>
      <c r="F363" s="69" t="n">
        <v>131</v>
      </c>
      <c r="G363" s="69" t="n">
        <v>136</v>
      </c>
      <c r="H363" s="69" t="n">
        <v>128</v>
      </c>
      <c r="I363" s="69" t="n">
        <v>164</v>
      </c>
      <c r="J363" s="69" t="n">
        <v>74</v>
      </c>
      <c r="K363" s="69" t="n">
        <v>240</v>
      </c>
      <c r="L363" s="69" t="n">
        <v>133</v>
      </c>
      <c r="M363" s="69" t="n">
        <v>162</v>
      </c>
      <c r="N363" s="69" t="n">
        <v>172</v>
      </c>
      <c r="O363" s="69" t="n">
        <v>224</v>
      </c>
      <c r="P363" s="69" t="n">
        <v>186</v>
      </c>
    </row>
    <row r="364" ht="15.75" customHeight="1" s="45">
      <c r="A364" s="61" t="n">
        <v>46050</v>
      </c>
      <c r="B364" s="62" t="inlineStr">
        <is>
          <t>Antes-Projeto</t>
        </is>
      </c>
      <c r="C364" s="70" t="inlineStr">
        <is>
          <t>Percentual de GAEs abertas classificadas</t>
        </is>
      </c>
      <c r="D364" s="71">
        <f>IFERROR(D363/D362,"-")</f>
        <v/>
      </c>
      <c r="E364" s="71">
        <f>IFERROR(E363/E362,"-")</f>
        <v/>
      </c>
      <c r="F364" s="71">
        <f>IFERROR(F363/F362,"-")</f>
        <v/>
      </c>
      <c r="G364" s="71">
        <f>IFERROR(G363/G362,"-")</f>
        <v/>
      </c>
      <c r="H364" s="71">
        <f>IFERROR(H363/H362,"-")</f>
        <v/>
      </c>
      <c r="I364" s="71">
        <f>IFERROR(I363/I362,"-")</f>
        <v/>
      </c>
      <c r="J364" s="71">
        <f>IFERROR(J363/J362,"-")</f>
        <v/>
      </c>
      <c r="K364" s="71">
        <f>IFERROR(K363/K362,"-")</f>
        <v/>
      </c>
      <c r="L364" s="71">
        <f>IFERROR(L363/L362,"-")</f>
        <v/>
      </c>
      <c r="M364" s="71">
        <f>IFERROR(M363/M362,"-")</f>
        <v/>
      </c>
      <c r="N364" s="71">
        <f>IFERROR(N363/N362,"-")</f>
        <v/>
      </c>
      <c r="O364" s="71">
        <f>IFERROR(O363/O362,"-")</f>
        <v/>
      </c>
      <c r="P364" s="71">
        <f>IFERROR(P363/P362,"-")</f>
        <v/>
      </c>
    </row>
    <row r="365" ht="15.75" customHeight="1" s="45">
      <c r="A365" s="61" t="n">
        <v>46050</v>
      </c>
      <c r="B365" s="62" t="inlineStr">
        <is>
          <t>Antes-Projeto</t>
        </is>
      </c>
      <c r="C365" s="72" t="inlineStr">
        <is>
          <t>Tempo Médio — 🟡 Amarelo (hh:mm)</t>
        </is>
      </c>
      <c r="D365" s="121" t="n">
        <v>0.06335648148148149</v>
      </c>
      <c r="E365" s="121" t="n">
        <v>0.1880208333333333</v>
      </c>
      <c r="F365" s="121" t="n">
        <v>0.05153935185185185</v>
      </c>
      <c r="G365" s="121" t="n">
        <v>0.1121759259259259</v>
      </c>
      <c r="H365" s="121" t="n">
        <v>0.06440972222222222</v>
      </c>
      <c r="I365" s="121" t="n">
        <v>0.127650462962963</v>
      </c>
      <c r="J365" s="121" t="n">
        <v>0.1400694444444444</v>
      </c>
      <c r="K365" s="121" t="n">
        <v>0.09428240740740741</v>
      </c>
      <c r="L365" s="121" t="n">
        <v>0.1561342592592593</v>
      </c>
      <c r="M365" s="121" t="n">
        <v>0.02202546296296296</v>
      </c>
      <c r="N365" s="121" t="n">
        <v>0.06070601851851852</v>
      </c>
      <c r="O365" s="121" t="n">
        <v>0.1301041666666667</v>
      </c>
      <c r="P365" s="121" t="n">
        <v>0.1355092592592592</v>
      </c>
    </row>
    <row r="366" ht="15.75" customHeight="1" s="45">
      <c r="A366" s="61" t="n">
        <v>46050</v>
      </c>
      <c r="B366" s="62" t="inlineStr">
        <is>
          <t>Antes-Projeto</t>
        </is>
      </c>
      <c r="C366" s="74" t="inlineStr">
        <is>
          <t>Tempo Médio — 🟠 Laranja (hh:mm)</t>
        </is>
      </c>
      <c r="D366" s="122" t="n">
        <v>0.006886574074074074</v>
      </c>
      <c r="E366" s="122" t="n">
        <v>0.01458333333333333</v>
      </c>
      <c r="F366" s="122" t="n">
        <v>0.006458333333333333</v>
      </c>
      <c r="G366" s="122" t="n">
        <v>0.008472222222222223</v>
      </c>
      <c r="H366" s="122" t="n">
        <v>0.01400462962962963</v>
      </c>
      <c r="I366" s="122" t="n">
        <v>0.03376157407407408</v>
      </c>
      <c r="J366" s="122" t="n">
        <v>0.01923611111111111</v>
      </c>
      <c r="K366" s="122" t="n">
        <v>0.03032407407407407</v>
      </c>
      <c r="L366" s="122" t="n">
        <v>0.0215625</v>
      </c>
      <c r="M366" s="122" t="n">
        <v>0.006203703703703703</v>
      </c>
      <c r="N366" s="122" t="n">
        <v>0.009594907407407408</v>
      </c>
      <c r="O366" s="122" t="n">
        <v>0.0166087962962963</v>
      </c>
      <c r="P366" s="122" t="n">
        <v>0.0178587962962963</v>
      </c>
    </row>
    <row r="367" ht="15.75" customHeight="1" s="45">
      <c r="A367" s="76" t="n">
        <v>46050</v>
      </c>
      <c r="B367" s="77" t="inlineStr">
        <is>
          <t>Antes-Projeto</t>
        </is>
      </c>
      <c r="C367" s="78" t="inlineStr">
        <is>
          <t>Tempo Médio — 🟢 Verde   (hh:mm)</t>
        </is>
      </c>
      <c r="D367" s="123" t="n">
        <v>0.1027199074074074</v>
      </c>
      <c r="E367" s="123" t="n">
        <v>0.196099537037037</v>
      </c>
      <c r="F367" s="123" t="n">
        <v>0.07417824074074074</v>
      </c>
      <c r="G367" s="123" t="n">
        <v>0.1856365740740741</v>
      </c>
      <c r="H367" s="123" t="n">
        <v>0.607175925925926</v>
      </c>
      <c r="I367" s="123" t="n">
        <v>0.1530324074074074</v>
      </c>
      <c r="J367" s="123" t="n">
        <v>0.1495601851851852</v>
      </c>
      <c r="K367" s="123" t="n">
        <v>0.07344907407407407</v>
      </c>
      <c r="L367" s="123" t="n">
        <v>0.2379282407407407</v>
      </c>
      <c r="M367" s="123" t="n">
        <v>0.0580787037037037</v>
      </c>
      <c r="N367" s="123" t="n">
        <v>0.1075231481481481</v>
      </c>
      <c r="O367" s="123" t="n">
        <v>0.1790625</v>
      </c>
      <c r="P367" s="123" t="n">
        <v>0.1702546296296296</v>
      </c>
    </row>
    <row r="368" ht="15.75" customHeight="1" s="45">
      <c r="A368" s="57" t="n">
        <v>46051</v>
      </c>
      <c r="B368" s="58" t="inlineStr">
        <is>
          <t>Antes-Projeto</t>
        </is>
      </c>
      <c r="C368" s="59" t="inlineStr">
        <is>
          <t>Acolhim. + Atend. Urgência + Atend. UPA</t>
        </is>
      </c>
      <c r="D368" s="60">
        <f>SUM(D369:D371)</f>
        <v/>
      </c>
      <c r="E368" s="60">
        <f>SUM(E369:E371)</f>
        <v/>
      </c>
      <c r="F368" s="60">
        <f>SUM(F369:F371)</f>
        <v/>
      </c>
      <c r="G368" s="60">
        <f>SUM(G369:G371)</f>
        <v/>
      </c>
      <c r="H368" s="60">
        <f>SUM(H369:H371)</f>
        <v/>
      </c>
      <c r="I368" s="60">
        <f>SUM(I369:I371)</f>
        <v/>
      </c>
      <c r="J368" s="60">
        <f>SUM(J369:J371)</f>
        <v/>
      </c>
      <c r="K368" s="60">
        <f>SUM(K369:K371)</f>
        <v/>
      </c>
      <c r="L368" s="60">
        <f>SUM(L369:L371)</f>
        <v/>
      </c>
      <c r="M368" s="60">
        <f>SUM(M369:M371)</f>
        <v/>
      </c>
      <c r="N368" s="60">
        <f>SUM(N369:N371)</f>
        <v/>
      </c>
      <c r="O368" s="60">
        <f>SUM(O369:O371)</f>
        <v/>
      </c>
      <c r="P368" s="60">
        <f>SUM(P369:P371)</f>
        <v/>
      </c>
    </row>
    <row r="369" ht="15.75" customHeight="1" s="45">
      <c r="A369" s="61" t="n">
        <v>46051</v>
      </c>
      <c r="B369" s="62" t="inlineStr">
        <is>
          <t>Antes-Projeto</t>
        </is>
      </c>
      <c r="C369" s="63" t="inlineStr">
        <is>
          <t>Acolhimento c/ Classif. de Risco</t>
        </is>
      </c>
      <c r="D369" s="64" t="n">
        <v>104</v>
      </c>
      <c r="E369" s="64" t="n">
        <v>54</v>
      </c>
      <c r="F369" s="64" t="n">
        <v>42</v>
      </c>
      <c r="G369" s="64" t="n">
        <v>64</v>
      </c>
      <c r="H369" s="64" t="n">
        <v>62</v>
      </c>
      <c r="I369" s="64" t="n">
        <v>120</v>
      </c>
      <c r="J369" s="64" t="n">
        <v>50</v>
      </c>
      <c r="K369" s="64" t="n">
        <v>97</v>
      </c>
      <c r="L369" s="64" t="n">
        <v>74</v>
      </c>
      <c r="M369" s="64" t="n">
        <v>78</v>
      </c>
      <c r="N369" s="64" t="n">
        <v>166</v>
      </c>
      <c r="O369" s="64" t="n">
        <v>91</v>
      </c>
      <c r="P369" s="64" t="n">
        <v>102</v>
      </c>
    </row>
    <row r="370" ht="15.75" customHeight="1" s="45">
      <c r="A370" s="61" t="n">
        <v>46051</v>
      </c>
      <c r="B370" s="62" t="inlineStr">
        <is>
          <t>Antes-Projeto</t>
        </is>
      </c>
      <c r="C370" s="65" t="inlineStr">
        <is>
          <t>Atend. Urgência Obs. ≤ 24h</t>
        </is>
      </c>
      <c r="D370" s="66" t="n">
        <v>21</v>
      </c>
      <c r="E370" s="66" t="n">
        <v>50</v>
      </c>
      <c r="F370" s="66" t="n">
        <v>21</v>
      </c>
      <c r="G370" s="66" t="n">
        <v>12</v>
      </c>
      <c r="H370" s="66" t="n">
        <v>14</v>
      </c>
      <c r="I370" s="66" t="n">
        <v>20</v>
      </c>
      <c r="J370" s="66" t="n">
        <v>5</v>
      </c>
      <c r="K370" s="66" t="n">
        <v>45</v>
      </c>
      <c r="L370" s="66" t="n">
        <v>47</v>
      </c>
      <c r="M370" s="66" t="n">
        <v>21</v>
      </c>
      <c r="N370" s="66" t="n">
        <v>23</v>
      </c>
      <c r="O370" s="66" t="n">
        <v>11</v>
      </c>
      <c r="P370" s="66" t="n">
        <v>18</v>
      </c>
    </row>
    <row r="371" ht="15.75" customHeight="1" s="45">
      <c r="A371" s="61" t="n">
        <v>46051</v>
      </c>
      <c r="B371" s="62" t="inlineStr">
        <is>
          <t>Antes-Projeto</t>
        </is>
      </c>
      <c r="C371" s="63" t="inlineStr">
        <is>
          <t>Atend. Médico em UPA</t>
        </is>
      </c>
      <c r="D371" s="64" t="n">
        <v>162</v>
      </c>
      <c r="E371" s="64" t="n">
        <v>59</v>
      </c>
      <c r="F371" s="64" t="n">
        <v>82</v>
      </c>
      <c r="G371" s="64" t="n">
        <v>103</v>
      </c>
      <c r="H371" s="64" t="n">
        <v>95</v>
      </c>
      <c r="I371" s="64" t="n">
        <v>218</v>
      </c>
      <c r="J371" s="64" t="n">
        <v>53</v>
      </c>
      <c r="K371" s="64" t="n">
        <v>156</v>
      </c>
      <c r="L371" s="64" t="n">
        <v>89</v>
      </c>
      <c r="M371" s="64" t="n">
        <v>111</v>
      </c>
      <c r="N371" s="64" t="n">
        <v>175</v>
      </c>
      <c r="O371" s="64" t="n">
        <v>144</v>
      </c>
      <c r="P371" s="64" t="n">
        <v>104</v>
      </c>
    </row>
    <row r="372" ht="15.75" customHeight="1" s="45">
      <c r="A372" s="61" t="n">
        <v>46051</v>
      </c>
      <c r="B372" s="62" t="inlineStr">
        <is>
          <t>Antes-Projeto</t>
        </is>
      </c>
      <c r="C372" s="65" t="inlineStr">
        <is>
          <t>Exames Laboratoriais</t>
        </is>
      </c>
      <c r="D372" s="66" t="n">
        <v>412</v>
      </c>
      <c r="E372" s="66" t="n">
        <v>484</v>
      </c>
      <c r="F372" s="66" t="n">
        <v>326</v>
      </c>
      <c r="G372" s="66" t="n">
        <v>238</v>
      </c>
      <c r="H372" s="66" t="n">
        <v>392</v>
      </c>
      <c r="I372" s="66" t="n">
        <v>478</v>
      </c>
      <c r="J372" s="66" t="n">
        <v>132</v>
      </c>
      <c r="K372" s="66" t="n">
        <v>723</v>
      </c>
      <c r="L372" s="66" t="n">
        <v>639</v>
      </c>
      <c r="M372" s="66" t="n">
        <v>464</v>
      </c>
      <c r="N372" s="66" t="n">
        <v>792</v>
      </c>
      <c r="O372" s="66" t="n">
        <v>268</v>
      </c>
      <c r="P372" s="66" t="n">
        <v>275</v>
      </c>
    </row>
    <row r="373" ht="15.75" customHeight="1" s="45">
      <c r="A373" s="61" t="n">
        <v>46051</v>
      </c>
      <c r="B373" s="62" t="inlineStr">
        <is>
          <t>Antes-Projeto</t>
        </is>
      </c>
      <c r="C373" s="63" t="inlineStr">
        <is>
          <t>Radiografias</t>
        </is>
      </c>
      <c r="D373" s="64" t="n">
        <v>17</v>
      </c>
      <c r="E373" s="64" t="n">
        <v>1</v>
      </c>
      <c r="F373" s="64" t="n">
        <v>31</v>
      </c>
      <c r="G373" s="64" t="n">
        <v>22</v>
      </c>
      <c r="H373" s="64" t="n">
        <v>19</v>
      </c>
      <c r="I373" s="64" t="n">
        <v>12</v>
      </c>
      <c r="J373" s="64" t="n">
        <v>12</v>
      </c>
      <c r="K373" s="64" t="n">
        <v>2</v>
      </c>
      <c r="L373" s="64" t="n">
        <v>27</v>
      </c>
      <c r="M373" s="64" t="n">
        <v>52</v>
      </c>
      <c r="N373" s="64" t="n">
        <v>29</v>
      </c>
      <c r="O373" s="64" t="n">
        <v>30</v>
      </c>
      <c r="P373" s="64" t="n">
        <v>40</v>
      </c>
    </row>
    <row r="374" ht="15.75" customHeight="1" s="45">
      <c r="A374" s="61" t="n">
        <v>46051</v>
      </c>
      <c r="B374" s="62" t="inlineStr">
        <is>
          <t>Antes-Projeto</t>
        </is>
      </c>
      <c r="C374" s="65" t="inlineStr">
        <is>
          <t>Eletrocardiogramas</t>
        </is>
      </c>
      <c r="D374" s="66" t="n">
        <v>6</v>
      </c>
      <c r="E374" s="66" t="n">
        <v>12</v>
      </c>
      <c r="F374" s="66" t="n">
        <v>21</v>
      </c>
      <c r="G374" s="66" t="n">
        <v>10</v>
      </c>
      <c r="H374" s="66" t="n">
        <v>10</v>
      </c>
      <c r="I374" s="66" t="n">
        <v>11</v>
      </c>
      <c r="J374" s="66" t="n">
        <v>5</v>
      </c>
      <c r="K374" s="66" t="n">
        <v>7</v>
      </c>
      <c r="L374" s="66" t="n">
        <v>10</v>
      </c>
      <c r="M374" s="66" t="n">
        <v>16</v>
      </c>
      <c r="N374" s="66" t="n">
        <v>17</v>
      </c>
      <c r="O374" s="66" t="n">
        <v>3</v>
      </c>
      <c r="P374" s="66" t="n">
        <v>17</v>
      </c>
    </row>
    <row r="375" ht="15.75" customHeight="1" s="45">
      <c r="A375" s="61" t="n">
        <v>46051</v>
      </c>
      <c r="B375" s="62" t="inlineStr">
        <is>
          <t>Antes-Projeto</t>
        </is>
      </c>
      <c r="C375" s="68" t="inlineStr">
        <is>
          <t>GAEs Abertas</t>
        </is>
      </c>
      <c r="D375" s="69" t="n">
        <v>191</v>
      </c>
      <c r="E375" s="69" t="n">
        <v>151</v>
      </c>
      <c r="F375" s="69" t="n">
        <v>134</v>
      </c>
      <c r="G375" s="69" t="n">
        <v>112</v>
      </c>
      <c r="H375" s="69" t="n">
        <v>138</v>
      </c>
      <c r="I375" s="69" t="n">
        <v>262</v>
      </c>
      <c r="J375" s="69" t="n">
        <v>102</v>
      </c>
      <c r="K375" s="69" t="n">
        <v>238</v>
      </c>
      <c r="L375" s="69" t="n">
        <v>147</v>
      </c>
      <c r="M375" s="69" t="n">
        <v>184</v>
      </c>
      <c r="N375" s="69" t="n">
        <v>168</v>
      </c>
      <c r="O375" s="69" t="n">
        <v>229</v>
      </c>
      <c r="P375" s="69" t="n">
        <v>199</v>
      </c>
    </row>
    <row r="376" ht="15.75" customHeight="1" s="45">
      <c r="A376" s="61" t="n">
        <v>46051</v>
      </c>
      <c r="B376" s="62" t="inlineStr">
        <is>
          <t>Antes-Projeto</t>
        </is>
      </c>
      <c r="C376" s="68" t="inlineStr">
        <is>
          <t>GAEs Classificadas</t>
        </is>
      </c>
      <c r="D376" s="69" t="n">
        <v>183</v>
      </c>
      <c r="E376" s="69" t="n">
        <v>148</v>
      </c>
      <c r="F376" s="69" t="n">
        <v>129</v>
      </c>
      <c r="G376" s="69" t="n">
        <v>111</v>
      </c>
      <c r="H376" s="69" t="n">
        <v>131</v>
      </c>
      <c r="I376" s="69" t="n">
        <v>245</v>
      </c>
      <c r="J376" s="69" t="n">
        <v>101</v>
      </c>
      <c r="K376" s="69" t="n">
        <v>227</v>
      </c>
      <c r="L376" s="69" t="n">
        <v>141</v>
      </c>
      <c r="M376" s="69" t="n">
        <v>173</v>
      </c>
      <c r="N376" s="69" t="n">
        <v>160</v>
      </c>
      <c r="O376" s="69" t="n">
        <v>217</v>
      </c>
      <c r="P376" s="69" t="n">
        <v>185</v>
      </c>
    </row>
    <row r="377" ht="15.75" customHeight="1" s="45">
      <c r="A377" s="61" t="n">
        <v>46051</v>
      </c>
      <c r="B377" s="62" t="inlineStr">
        <is>
          <t>Antes-Projeto</t>
        </is>
      </c>
      <c r="C377" s="70" t="inlineStr">
        <is>
          <t>Percentual de GAEs abertas classificadas</t>
        </is>
      </c>
      <c r="D377" s="71">
        <f>IFERROR(D376/D375,"-")</f>
        <v/>
      </c>
      <c r="E377" s="71">
        <f>IFERROR(E376/E375,"-")</f>
        <v/>
      </c>
      <c r="F377" s="71">
        <f>IFERROR(F376/F375,"-")</f>
        <v/>
      </c>
      <c r="G377" s="71">
        <f>IFERROR(G376/G375,"-")</f>
        <v/>
      </c>
      <c r="H377" s="71">
        <f>IFERROR(H376/H375,"-")</f>
        <v/>
      </c>
      <c r="I377" s="71">
        <f>IFERROR(I376/I375,"-")</f>
        <v/>
      </c>
      <c r="J377" s="71">
        <f>IFERROR(J376/J375,"-")</f>
        <v/>
      </c>
      <c r="K377" s="71">
        <f>IFERROR(K376/K375,"-")</f>
        <v/>
      </c>
      <c r="L377" s="71">
        <f>IFERROR(L376/L375,"-")</f>
        <v/>
      </c>
      <c r="M377" s="71">
        <f>IFERROR(M376/M375,"-")</f>
        <v/>
      </c>
      <c r="N377" s="71">
        <f>IFERROR(N376/N375,"-")</f>
        <v/>
      </c>
      <c r="O377" s="71">
        <f>IFERROR(O376/O375,"-")</f>
        <v/>
      </c>
      <c r="P377" s="71">
        <f>IFERROR(P376/P375,"-")</f>
        <v/>
      </c>
    </row>
    <row r="378" ht="15.75" customHeight="1" s="45">
      <c r="A378" s="61" t="n">
        <v>46051</v>
      </c>
      <c r="B378" s="62" t="inlineStr">
        <is>
          <t>Antes-Projeto</t>
        </is>
      </c>
      <c r="C378" s="72" t="inlineStr">
        <is>
          <t>Tempo Médio — 🟡 Amarelo (hh:mm)</t>
        </is>
      </c>
      <c r="D378" s="121" t="n">
        <v>0.03306712962962963</v>
      </c>
      <c r="E378" s="121" t="n">
        <v>0.1779861111111111</v>
      </c>
      <c r="F378" s="121" t="n">
        <v>0.044375</v>
      </c>
      <c r="G378" s="121" t="n">
        <v>0.02875</v>
      </c>
      <c r="H378" s="121" t="n">
        <v>0.07355324074074074</v>
      </c>
      <c r="I378" s="121" t="n">
        <v>0.05211805555555556</v>
      </c>
      <c r="J378" s="121" t="n">
        <v>0.05673611111111111</v>
      </c>
      <c r="K378" s="121" t="n">
        <v>0.08017361111111111</v>
      </c>
      <c r="L378" s="121" t="n">
        <v>0.2259722222222222</v>
      </c>
      <c r="M378" s="121" t="n">
        <v>0.0253125</v>
      </c>
      <c r="N378" s="121" t="n">
        <v>0.05306712962962963</v>
      </c>
      <c r="O378" s="121" t="n">
        <v>0.03302083333333333</v>
      </c>
      <c r="P378" s="121" t="n">
        <v>0.1289467592592592</v>
      </c>
    </row>
    <row r="379" ht="15.75" customHeight="1" s="45">
      <c r="A379" s="61" t="n">
        <v>46051</v>
      </c>
      <c r="B379" s="62" t="inlineStr">
        <is>
          <t>Antes-Projeto</t>
        </is>
      </c>
      <c r="C379" s="74" t="inlineStr">
        <is>
          <t>Tempo Médio — 🟠 Laranja (hh:mm)</t>
        </is>
      </c>
      <c r="D379" s="122" t="n">
        <v>0.006747685185185186</v>
      </c>
      <c r="E379" s="122" t="n">
        <v>0.008206018518518519</v>
      </c>
      <c r="F379" s="122" t="n">
        <v>0.005740740740740741</v>
      </c>
      <c r="G379" s="122" t="n">
        <v>0.01302083333333333</v>
      </c>
      <c r="H379" s="122" t="n">
        <v>0.01111111111111111</v>
      </c>
      <c r="I379" s="122" t="n">
        <v>0.004641203703703704</v>
      </c>
      <c r="J379" s="122" t="n">
        <v>0.02109953703703704</v>
      </c>
      <c r="K379" s="122" t="n">
        <v>0.007928240740740741</v>
      </c>
      <c r="L379" s="122" t="n">
        <v>0.03546296296296296</v>
      </c>
      <c r="M379" s="122" t="n">
        <v>0.007048611111111111</v>
      </c>
      <c r="N379" s="122" t="n">
        <v>0.0124537037037037</v>
      </c>
      <c r="O379" s="122" t="n">
        <v>0.01144675925925926</v>
      </c>
      <c r="P379" s="122" t="n">
        <v>0.02131944444444444</v>
      </c>
    </row>
    <row r="380" ht="15.75" customHeight="1" s="45">
      <c r="A380" s="76" t="n">
        <v>46051</v>
      </c>
      <c r="B380" s="77" t="inlineStr">
        <is>
          <t>Antes-Projeto</t>
        </is>
      </c>
      <c r="C380" s="78" t="inlineStr">
        <is>
          <t>Tempo Médio — 🟢 Verde   (hh:mm)</t>
        </is>
      </c>
      <c r="D380" s="123" t="n">
        <v>0.08146990740740741</v>
      </c>
      <c r="E380" s="123" t="n">
        <v>0.3824189814814815</v>
      </c>
      <c r="F380" s="123" t="n">
        <v>0.06931712962962963</v>
      </c>
      <c r="G380" s="123" t="n">
        <v>0.1431018518518518</v>
      </c>
      <c r="H380" s="123" t="n">
        <v>0.2920949074074074</v>
      </c>
      <c r="I380" s="123" t="n">
        <v>0.1362615740740741</v>
      </c>
      <c r="J380" s="123" t="n">
        <v>0.1717013888888889</v>
      </c>
      <c r="K380" s="123" t="n">
        <v>0.1358449074074074</v>
      </c>
      <c r="L380" s="123" t="n">
        <v>0.3926041666666666</v>
      </c>
      <c r="M380" s="123" t="n">
        <v>0.03890046296296296</v>
      </c>
      <c r="N380" s="123" t="n">
        <v>0.1320023148148148</v>
      </c>
      <c r="O380" s="123" t="n">
        <v>0.08562500000000001</v>
      </c>
      <c r="P380" s="123" t="n">
        <v>0.1609259259259259</v>
      </c>
    </row>
    <row r="381" ht="15.75" customHeight="1" s="45">
      <c r="A381" s="57" t="n">
        <v>46052</v>
      </c>
      <c r="B381" s="58" t="inlineStr">
        <is>
          <t>Antes-Projeto</t>
        </is>
      </c>
      <c r="C381" s="59" t="inlineStr">
        <is>
          <t>Acolhim. + Atend. Urgência + Atend. UPA</t>
        </is>
      </c>
      <c r="D381" s="60">
        <f>SUM(D382:D384)</f>
        <v/>
      </c>
      <c r="E381" s="60">
        <f>SUM(E382:E384)</f>
        <v/>
      </c>
      <c r="F381" s="60">
        <f>SUM(F382:F384)</f>
        <v/>
      </c>
      <c r="G381" s="60">
        <f>SUM(G382:G384)</f>
        <v/>
      </c>
      <c r="H381" s="60">
        <f>SUM(H382:H384)</f>
        <v/>
      </c>
      <c r="I381" s="60">
        <f>SUM(I382:I384)</f>
        <v/>
      </c>
      <c r="J381" s="60">
        <f>SUM(J382:J384)</f>
        <v/>
      </c>
      <c r="K381" s="60">
        <f>SUM(K382:K384)</f>
        <v/>
      </c>
      <c r="L381" s="60">
        <f>SUM(L382:L384)</f>
        <v/>
      </c>
      <c r="M381" s="60">
        <f>SUM(M382:M384)</f>
        <v/>
      </c>
      <c r="N381" s="60">
        <f>SUM(N382:N384)</f>
        <v/>
      </c>
      <c r="O381" s="60">
        <f>SUM(O382:O384)</f>
        <v/>
      </c>
      <c r="P381" s="60">
        <f>SUM(P382:P384)</f>
        <v/>
      </c>
    </row>
    <row r="382" ht="15.75" customHeight="1" s="45">
      <c r="A382" s="61" t="n">
        <v>46052</v>
      </c>
      <c r="B382" s="62" t="inlineStr">
        <is>
          <t>Antes-Projeto</t>
        </is>
      </c>
      <c r="C382" s="65" t="inlineStr">
        <is>
          <t>Acolhimento c/ Classif. de Risco</t>
        </is>
      </c>
      <c r="D382" s="66" t="n">
        <v>109</v>
      </c>
      <c r="E382" s="66" t="n">
        <v>59</v>
      </c>
      <c r="F382" s="66" t="n">
        <v>83</v>
      </c>
      <c r="G382" s="66" t="n">
        <v>56</v>
      </c>
      <c r="H382" s="66" t="n">
        <v>81</v>
      </c>
      <c r="I382" s="66" t="n">
        <v>163</v>
      </c>
      <c r="J382" s="66" t="n">
        <v>40</v>
      </c>
      <c r="K382" s="66" t="n">
        <v>137</v>
      </c>
      <c r="L382" s="66" t="n">
        <v>33</v>
      </c>
      <c r="M382" s="66" t="n">
        <v>100</v>
      </c>
      <c r="N382" s="66" t="n">
        <v>149</v>
      </c>
      <c r="O382" s="66" t="n">
        <v>85</v>
      </c>
      <c r="P382" s="66" t="n">
        <v>79</v>
      </c>
    </row>
    <row r="383" ht="15.75" customHeight="1" s="45">
      <c r="A383" s="61" t="n">
        <v>46052</v>
      </c>
      <c r="B383" s="62" t="inlineStr">
        <is>
          <t>Antes-Projeto</t>
        </is>
      </c>
      <c r="C383" s="63" t="inlineStr">
        <is>
          <t>Atend. Urgência Obs. ≤ 24h</t>
        </is>
      </c>
      <c r="D383" s="64" t="n">
        <v>25</v>
      </c>
      <c r="E383" s="64" t="n">
        <v>58</v>
      </c>
      <c r="F383" s="64" t="n">
        <v>28</v>
      </c>
      <c r="G383" s="64" t="n">
        <v>16</v>
      </c>
      <c r="H383" s="64" t="n">
        <v>18</v>
      </c>
      <c r="I383" s="64" t="n">
        <v>15</v>
      </c>
      <c r="J383" s="64" t="n">
        <v>8</v>
      </c>
      <c r="K383" s="64" t="n">
        <v>46</v>
      </c>
      <c r="L383" s="64" t="n">
        <v>62</v>
      </c>
      <c r="M383" s="64" t="n">
        <v>21</v>
      </c>
      <c r="N383" s="64" t="n">
        <v>93</v>
      </c>
      <c r="O383" s="64" t="n">
        <v>7</v>
      </c>
      <c r="P383" s="64" t="n">
        <v>43</v>
      </c>
    </row>
    <row r="384" ht="15.75" customHeight="1" s="45">
      <c r="A384" s="61" t="n">
        <v>46052</v>
      </c>
      <c r="B384" s="62" t="inlineStr">
        <is>
          <t>Antes-Projeto</t>
        </is>
      </c>
      <c r="C384" s="65" t="inlineStr">
        <is>
          <t>Atend. Médico em UPA</t>
        </is>
      </c>
      <c r="D384" s="66" t="n">
        <v>151</v>
      </c>
      <c r="E384" s="66" t="n">
        <v>74</v>
      </c>
      <c r="F384" s="66" t="n">
        <v>96</v>
      </c>
      <c r="G384" s="66" t="n">
        <v>88</v>
      </c>
      <c r="H384" s="66" t="n">
        <v>102</v>
      </c>
      <c r="I384" s="66" t="n">
        <v>220</v>
      </c>
      <c r="J384" s="66" t="n">
        <v>48</v>
      </c>
      <c r="K384" s="66" t="n">
        <v>153</v>
      </c>
      <c r="L384" s="66" t="n">
        <v>35</v>
      </c>
      <c r="M384" s="66" t="n">
        <v>86</v>
      </c>
      <c r="N384" s="66" t="n">
        <v>110</v>
      </c>
      <c r="O384" s="66" t="n">
        <v>152</v>
      </c>
      <c r="P384" s="66" t="n">
        <v>118</v>
      </c>
    </row>
    <row r="385" ht="15.75" customHeight="1" s="45">
      <c r="A385" s="61" t="n">
        <v>46052</v>
      </c>
      <c r="B385" s="62" t="inlineStr">
        <is>
          <t>Antes-Projeto</t>
        </is>
      </c>
      <c r="C385" s="63" t="inlineStr">
        <is>
          <t>Exames Laboratoriais</t>
        </is>
      </c>
      <c r="D385" s="64" t="n">
        <v>795</v>
      </c>
      <c r="E385" s="64" t="n">
        <v>360</v>
      </c>
      <c r="F385" s="64" t="n">
        <v>199</v>
      </c>
      <c r="G385" s="64" t="n">
        <v>279</v>
      </c>
      <c r="H385" s="64" t="n">
        <v>286</v>
      </c>
      <c r="I385" s="64" t="n">
        <v>665</v>
      </c>
      <c r="J385" s="64" t="n">
        <v>217</v>
      </c>
      <c r="K385" s="64" t="n">
        <v>742</v>
      </c>
      <c r="L385" s="64" t="n">
        <v>391</v>
      </c>
      <c r="M385" s="64" t="n">
        <v>633</v>
      </c>
      <c r="N385" s="64" t="n">
        <v>632</v>
      </c>
      <c r="O385" s="64" t="n">
        <v>339</v>
      </c>
      <c r="P385" s="64" t="n">
        <v>480</v>
      </c>
    </row>
    <row r="386" ht="15.75" customHeight="1" s="45">
      <c r="A386" s="61" t="n">
        <v>46052</v>
      </c>
      <c r="B386" s="62" t="inlineStr">
        <is>
          <t>Antes-Projeto</t>
        </is>
      </c>
      <c r="C386" s="65" t="inlineStr">
        <is>
          <t>Radiografias</t>
        </is>
      </c>
      <c r="D386" s="66" t="n">
        <v>29</v>
      </c>
      <c r="E386" s="67" t="n">
        <v>0</v>
      </c>
      <c r="F386" s="66" t="n">
        <v>17</v>
      </c>
      <c r="G386" s="66" t="n">
        <v>20</v>
      </c>
      <c r="H386" s="66" t="n">
        <v>4</v>
      </c>
      <c r="I386" s="66" t="n">
        <v>33</v>
      </c>
      <c r="J386" s="66" t="n">
        <v>12</v>
      </c>
      <c r="K386" s="67" t="n">
        <v>0</v>
      </c>
      <c r="L386" s="66" t="n">
        <v>16</v>
      </c>
      <c r="M386" s="66" t="n">
        <v>37</v>
      </c>
      <c r="N386" s="66" t="n">
        <v>27</v>
      </c>
      <c r="O386" s="66" t="n">
        <v>23</v>
      </c>
      <c r="P386" s="66" t="n">
        <v>32</v>
      </c>
    </row>
    <row r="387" ht="15.75" customHeight="1" s="45">
      <c r="A387" s="61" t="n">
        <v>46052</v>
      </c>
      <c r="B387" s="62" t="inlineStr">
        <is>
          <t>Antes-Projeto</t>
        </is>
      </c>
      <c r="C387" s="63" t="inlineStr">
        <is>
          <t>Eletrocardiogramas</t>
        </is>
      </c>
      <c r="D387" s="64" t="n">
        <v>6</v>
      </c>
      <c r="E387" s="64" t="n">
        <v>9</v>
      </c>
      <c r="F387" s="64" t="n">
        <v>11</v>
      </c>
      <c r="G387" s="64" t="n">
        <v>10</v>
      </c>
      <c r="H387" s="64" t="n">
        <v>6</v>
      </c>
      <c r="I387" s="64" t="n">
        <v>19</v>
      </c>
      <c r="J387" s="64" t="n">
        <v>6</v>
      </c>
      <c r="K387" s="64" t="n">
        <v>1</v>
      </c>
      <c r="L387" s="67" t="n">
        <v>0</v>
      </c>
      <c r="M387" s="67" t="n">
        <v>0</v>
      </c>
      <c r="N387" s="64" t="n">
        <v>2</v>
      </c>
      <c r="O387" s="67" t="n">
        <v>0</v>
      </c>
      <c r="P387" s="64" t="n">
        <v>8</v>
      </c>
    </row>
    <row r="388" ht="15.75" customHeight="1" s="45">
      <c r="A388" s="61" t="n">
        <v>46052</v>
      </c>
      <c r="B388" s="62" t="inlineStr">
        <is>
          <t>Antes-Projeto</t>
        </is>
      </c>
      <c r="C388" s="68" t="inlineStr">
        <is>
          <t>GAEs Abertas</t>
        </is>
      </c>
      <c r="D388" s="69" t="n">
        <v>205</v>
      </c>
      <c r="E388" s="69" t="n">
        <v>138</v>
      </c>
      <c r="F388" s="69" t="n">
        <v>172</v>
      </c>
      <c r="G388" s="69" t="n">
        <v>107</v>
      </c>
      <c r="H388" s="69" t="n">
        <v>156</v>
      </c>
      <c r="I388" s="69" t="n">
        <v>329</v>
      </c>
      <c r="J388" s="69" t="n">
        <v>94</v>
      </c>
      <c r="K388" s="69" t="n">
        <v>329</v>
      </c>
      <c r="L388" s="69" t="n">
        <v>68</v>
      </c>
      <c r="M388" s="69" t="n">
        <v>223</v>
      </c>
      <c r="N388" s="69" t="n">
        <v>145</v>
      </c>
      <c r="O388" s="69" t="n">
        <v>210</v>
      </c>
      <c r="P388" s="69" t="n">
        <v>208</v>
      </c>
    </row>
    <row r="389" ht="15.75" customHeight="1" s="45">
      <c r="A389" s="61" t="n">
        <v>46052</v>
      </c>
      <c r="B389" s="62" t="inlineStr">
        <is>
          <t>Antes-Projeto</t>
        </is>
      </c>
      <c r="C389" s="68" t="inlineStr">
        <is>
          <t>GAEs Classificadas</t>
        </is>
      </c>
      <c r="D389" s="69" t="n">
        <v>195</v>
      </c>
      <c r="E389" s="69" t="n">
        <v>135</v>
      </c>
      <c r="F389" s="69" t="n">
        <v>159</v>
      </c>
      <c r="G389" s="69" t="n">
        <v>106</v>
      </c>
      <c r="H389" s="69" t="n">
        <v>149</v>
      </c>
      <c r="I389" s="69" t="n">
        <v>300</v>
      </c>
      <c r="J389" s="69" t="n">
        <v>90</v>
      </c>
      <c r="K389" s="69" t="n">
        <v>303</v>
      </c>
      <c r="L389" s="69" t="n">
        <v>59</v>
      </c>
      <c r="M389" s="69" t="n">
        <v>214</v>
      </c>
      <c r="N389" s="69" t="n">
        <v>134</v>
      </c>
      <c r="O389" s="69" t="n">
        <v>199</v>
      </c>
      <c r="P389" s="69" t="n">
        <v>195</v>
      </c>
    </row>
    <row r="390" ht="15.75" customHeight="1" s="45">
      <c r="A390" s="61" t="n">
        <v>46052</v>
      </c>
      <c r="B390" s="62" t="inlineStr">
        <is>
          <t>Antes-Projeto</t>
        </is>
      </c>
      <c r="C390" s="70" t="inlineStr">
        <is>
          <t>Percentual de GAEs abertas classificadas</t>
        </is>
      </c>
      <c r="D390" s="71">
        <f>IFERROR(D389/D388,"-")</f>
        <v/>
      </c>
      <c r="E390" s="71">
        <f>IFERROR(E389/E388,"-")</f>
        <v/>
      </c>
      <c r="F390" s="71">
        <f>IFERROR(F389/F388,"-")</f>
        <v/>
      </c>
      <c r="G390" s="71">
        <f>IFERROR(G389/G388,"-")</f>
        <v/>
      </c>
      <c r="H390" s="71">
        <f>IFERROR(H389/H388,"-")</f>
        <v/>
      </c>
      <c r="I390" s="71">
        <f>IFERROR(I389/I388,"-")</f>
        <v/>
      </c>
      <c r="J390" s="71">
        <f>IFERROR(J389/J388,"-")</f>
        <v/>
      </c>
      <c r="K390" s="71">
        <f>IFERROR(K389/K388,"-")</f>
        <v/>
      </c>
      <c r="L390" s="71">
        <f>IFERROR(L389/L388,"-")</f>
        <v/>
      </c>
      <c r="M390" s="71">
        <f>IFERROR(M389/M388,"-")</f>
        <v/>
      </c>
      <c r="N390" s="71">
        <f>IFERROR(N389/N388,"-")</f>
        <v/>
      </c>
      <c r="O390" s="71">
        <f>IFERROR(O389/O388,"-")</f>
        <v/>
      </c>
      <c r="P390" s="71">
        <f>IFERROR(P389/P388,"-")</f>
        <v/>
      </c>
    </row>
    <row r="391" ht="15.75" customHeight="1" s="45">
      <c r="A391" s="61" t="n">
        <v>46052</v>
      </c>
      <c r="B391" s="62" t="inlineStr">
        <is>
          <t>Antes-Projeto</t>
        </is>
      </c>
      <c r="C391" s="72" t="inlineStr">
        <is>
          <t>Tempo Médio — 🟡 Amarelo (hh:mm)</t>
        </is>
      </c>
      <c r="D391" s="121" t="n">
        <v>0.05833333333333333</v>
      </c>
      <c r="E391" s="121" t="n">
        <v>0.05410879629629629</v>
      </c>
      <c r="F391" s="121" t="n">
        <v>0.04629629629629629</v>
      </c>
      <c r="G391" s="121" t="n">
        <v>0.01582175925925926</v>
      </c>
      <c r="H391" s="121" t="n">
        <v>0.07775462962962963</v>
      </c>
      <c r="I391" s="121" t="n">
        <v>0.04019675925925926</v>
      </c>
      <c r="J391" s="121" t="n">
        <v>0.1497569444444445</v>
      </c>
      <c r="K391" s="121" t="n">
        <v>0.07380787037037037</v>
      </c>
      <c r="L391" s="121" t="n">
        <v>0.1147222222222222</v>
      </c>
      <c r="M391" s="121" t="n">
        <v>0.04362268518518519</v>
      </c>
      <c r="N391" s="121" t="n">
        <v>0.04731481481481482</v>
      </c>
      <c r="O391" s="121" t="n">
        <v>0.05644675925925926</v>
      </c>
      <c r="P391" s="121" t="n">
        <v>0.1136574074074074</v>
      </c>
    </row>
    <row r="392" ht="15.75" customHeight="1" s="45">
      <c r="A392" s="61" t="n">
        <v>46052</v>
      </c>
      <c r="B392" s="62" t="inlineStr">
        <is>
          <t>Antes-Projeto</t>
        </is>
      </c>
      <c r="C392" s="74" t="inlineStr">
        <is>
          <t>Tempo Médio — 🟠 Laranja (hh:mm)</t>
        </is>
      </c>
      <c r="D392" s="122" t="n">
        <v>0.006643518518518518</v>
      </c>
      <c r="E392" s="122" t="n">
        <v>0.006678240740740741</v>
      </c>
      <c r="F392" s="122" t="n">
        <v>0.008888888888888889</v>
      </c>
      <c r="G392" s="122" t="n">
        <v>0.005150462962962963</v>
      </c>
      <c r="H392" s="122" t="n">
        <v>0.008912037037037038</v>
      </c>
      <c r="I392" s="122" t="n">
        <v>0.009039351851851852</v>
      </c>
      <c r="J392" s="122" t="n">
        <v>0.0503587962962963</v>
      </c>
      <c r="K392" s="122" t="n">
        <v>0.01383101851851852</v>
      </c>
      <c r="L392" s="122" t="n">
        <v>0.03185185185185185</v>
      </c>
      <c r="M392" s="122" t="n">
        <v>0.01883101851851852</v>
      </c>
      <c r="N392" s="122" t="n">
        <v>0.01123842592592593</v>
      </c>
      <c r="O392" s="122" t="n">
        <v>0.00974537037037037</v>
      </c>
      <c r="P392" s="122" t="n">
        <v>0.01278935185185185</v>
      </c>
    </row>
    <row r="393" ht="15.75" customHeight="1" s="45">
      <c r="A393" s="76" t="n">
        <v>46052</v>
      </c>
      <c r="B393" s="77" t="inlineStr">
        <is>
          <t>Antes-Projeto</t>
        </is>
      </c>
      <c r="C393" s="78" t="inlineStr">
        <is>
          <t>Tempo Médio — 🟢 Verde   (hh:mm)</t>
        </is>
      </c>
      <c r="D393" s="123" t="n">
        <v>0.0880787037037037</v>
      </c>
      <c r="E393" s="123" t="n">
        <v>0.09372685185185185</v>
      </c>
      <c r="F393" s="123" t="n">
        <v>0.133287037037037</v>
      </c>
      <c r="G393" s="123" t="n">
        <v>0.02290509259259259</v>
      </c>
      <c r="H393" s="123" t="n">
        <v>0.1395949074074074</v>
      </c>
      <c r="I393" s="123" t="n">
        <v>0.2073032407407407</v>
      </c>
      <c r="J393" s="123" t="n">
        <v>0.2259837962962963</v>
      </c>
      <c r="K393" s="123" t="n">
        <v>0.1464236111111111</v>
      </c>
      <c r="L393" s="123" t="n">
        <v>0.08753472222222222</v>
      </c>
      <c r="M393" s="123" t="n">
        <v>0.07519675925925925</v>
      </c>
      <c r="N393" s="123" t="n">
        <v>0.113912037037037</v>
      </c>
      <c r="O393" s="123" t="n">
        <v>0.1395601851851852</v>
      </c>
      <c r="P393" s="123" t="n">
        <v>0.1284837962962963</v>
      </c>
    </row>
    <row r="394" ht="15.75" customHeight="1" s="45">
      <c r="A394" s="57" t="n">
        <v>46053</v>
      </c>
      <c r="B394" s="58" t="inlineStr">
        <is>
          <t>Antes-Projeto</t>
        </is>
      </c>
      <c r="C394" s="59" t="inlineStr">
        <is>
          <t>Acolhim. + Atend. Urgência + Atend. UPA</t>
        </is>
      </c>
      <c r="D394" s="60">
        <f>SUM(D395:D397)</f>
        <v/>
      </c>
      <c r="E394" s="60">
        <f>SUM(E395:E397)</f>
        <v/>
      </c>
      <c r="F394" s="60">
        <f>SUM(F395:F397)</f>
        <v/>
      </c>
      <c r="G394" s="60">
        <f>SUM(G395:G397)</f>
        <v/>
      </c>
      <c r="H394" s="60">
        <f>SUM(H395:H397)</f>
        <v/>
      </c>
      <c r="I394" s="60">
        <f>SUM(I395:I397)</f>
        <v/>
      </c>
      <c r="J394" s="60">
        <f>SUM(J395:J397)</f>
        <v/>
      </c>
      <c r="K394" s="60">
        <f>SUM(K395:K397)</f>
        <v/>
      </c>
      <c r="L394" s="60">
        <f>SUM(L395:L397)</f>
        <v/>
      </c>
      <c r="M394" s="60">
        <f>SUM(M395:M397)</f>
        <v/>
      </c>
      <c r="N394" s="60">
        <f>SUM(N395:N397)</f>
        <v/>
      </c>
      <c r="O394" s="60">
        <f>SUM(O395:O397)</f>
        <v/>
      </c>
      <c r="P394" s="60">
        <f>SUM(P395:P397)</f>
        <v/>
      </c>
    </row>
    <row r="395" ht="15.75" customHeight="1" s="45">
      <c r="A395" s="61" t="n">
        <v>46053</v>
      </c>
      <c r="B395" s="62" t="inlineStr">
        <is>
          <t>Antes-Projeto</t>
        </is>
      </c>
      <c r="C395" s="63" t="inlineStr">
        <is>
          <t>Acolhimento c/ Classif. de Risco</t>
        </is>
      </c>
      <c r="D395" s="64" t="n">
        <v>80</v>
      </c>
      <c r="E395" s="64" t="n">
        <v>51</v>
      </c>
      <c r="F395" s="64" t="n">
        <v>46</v>
      </c>
      <c r="G395" s="64" t="n">
        <v>64</v>
      </c>
      <c r="H395" s="64" t="n">
        <v>54</v>
      </c>
      <c r="I395" s="64" t="n">
        <v>74</v>
      </c>
      <c r="J395" s="64" t="n">
        <v>25</v>
      </c>
      <c r="K395" s="64" t="n">
        <v>105</v>
      </c>
      <c r="L395" s="64" t="n">
        <v>52</v>
      </c>
      <c r="M395" s="64" t="n">
        <v>96</v>
      </c>
      <c r="N395" s="64" t="n">
        <v>163</v>
      </c>
      <c r="O395" s="64" t="n">
        <v>69</v>
      </c>
      <c r="P395" s="64" t="n">
        <v>60</v>
      </c>
    </row>
    <row r="396" ht="15.75" customHeight="1" s="45">
      <c r="A396" s="61" t="n">
        <v>46053</v>
      </c>
      <c r="B396" s="62" t="inlineStr">
        <is>
          <t>Antes-Projeto</t>
        </is>
      </c>
      <c r="C396" s="65" t="inlineStr">
        <is>
          <t>Atend. Urgência Obs. ≤ 24h</t>
        </is>
      </c>
      <c r="D396" s="66" t="n">
        <v>18</v>
      </c>
      <c r="E396" s="66" t="n">
        <v>50</v>
      </c>
      <c r="F396" s="66" t="n">
        <v>23</v>
      </c>
      <c r="G396" s="66" t="n">
        <v>20</v>
      </c>
      <c r="H396" s="66" t="n">
        <v>11</v>
      </c>
      <c r="I396" s="66" t="n">
        <v>19</v>
      </c>
      <c r="J396" s="66" t="n">
        <v>21</v>
      </c>
      <c r="K396" s="66" t="n">
        <v>39</v>
      </c>
      <c r="L396" s="66" t="n">
        <v>38</v>
      </c>
      <c r="M396" s="66" t="n">
        <v>12</v>
      </c>
      <c r="N396" s="66" t="n">
        <v>47</v>
      </c>
      <c r="O396" s="66" t="n">
        <v>9</v>
      </c>
      <c r="P396" s="66" t="n">
        <v>17</v>
      </c>
    </row>
    <row r="397" ht="15.75" customHeight="1" s="45">
      <c r="A397" s="61" t="n">
        <v>46053</v>
      </c>
      <c r="B397" s="62" t="inlineStr">
        <is>
          <t>Antes-Projeto</t>
        </is>
      </c>
      <c r="C397" s="63" t="inlineStr">
        <is>
          <t>Atend. Médico em UPA</t>
        </is>
      </c>
      <c r="D397" s="64" t="n">
        <v>140</v>
      </c>
      <c r="E397" s="64" t="n">
        <v>56</v>
      </c>
      <c r="F397" s="64" t="n">
        <v>80</v>
      </c>
      <c r="G397" s="64" t="n">
        <v>85</v>
      </c>
      <c r="H397" s="64" t="n">
        <v>69</v>
      </c>
      <c r="I397" s="64" t="n">
        <v>93</v>
      </c>
      <c r="J397" s="64" t="n">
        <v>17</v>
      </c>
      <c r="K397" s="64" t="n">
        <v>147</v>
      </c>
      <c r="L397" s="64" t="n">
        <v>61</v>
      </c>
      <c r="M397" s="64" t="n">
        <v>121</v>
      </c>
      <c r="N397" s="64" t="n">
        <v>87</v>
      </c>
      <c r="O397" s="64" t="n">
        <v>110</v>
      </c>
      <c r="P397" s="64" t="n">
        <v>108</v>
      </c>
    </row>
    <row r="398" ht="15.75" customHeight="1" s="45">
      <c r="A398" s="61" t="n">
        <v>46053</v>
      </c>
      <c r="B398" s="62" t="inlineStr">
        <is>
          <t>Antes-Projeto</t>
        </is>
      </c>
      <c r="C398" s="65" t="inlineStr">
        <is>
          <t>Exames Laboratoriais</t>
        </is>
      </c>
      <c r="D398" s="66" t="n">
        <v>508</v>
      </c>
      <c r="E398" s="66" t="n">
        <v>480</v>
      </c>
      <c r="F398" s="66" t="n">
        <v>395</v>
      </c>
      <c r="G398" s="66" t="n">
        <v>202</v>
      </c>
      <c r="H398" s="66" t="n">
        <v>207</v>
      </c>
      <c r="I398" s="66" t="n">
        <v>280</v>
      </c>
      <c r="J398" s="66" t="n">
        <v>84</v>
      </c>
      <c r="K398" s="66" t="n">
        <v>610</v>
      </c>
      <c r="L398" s="66" t="n">
        <v>411</v>
      </c>
      <c r="M398" s="66" t="n">
        <v>587</v>
      </c>
      <c r="N398" s="66" t="n">
        <v>554</v>
      </c>
      <c r="O398" s="66" t="n">
        <v>236</v>
      </c>
      <c r="P398" s="66" t="n">
        <v>311</v>
      </c>
    </row>
    <row r="399" ht="15.75" customHeight="1" s="45">
      <c r="A399" s="61" t="n">
        <v>46053</v>
      </c>
      <c r="B399" s="62" t="inlineStr">
        <is>
          <t>Antes-Projeto</t>
        </is>
      </c>
      <c r="C399" s="63" t="inlineStr">
        <is>
          <t>Radiografias</t>
        </is>
      </c>
      <c r="D399" s="64" t="n">
        <v>26</v>
      </c>
      <c r="E399" s="67" t="n">
        <v>0</v>
      </c>
      <c r="F399" s="64" t="n">
        <v>14</v>
      </c>
      <c r="G399" s="64" t="n">
        <v>11</v>
      </c>
      <c r="H399" s="64" t="n">
        <v>10</v>
      </c>
      <c r="I399" s="64" t="n">
        <v>23</v>
      </c>
      <c r="J399" s="64" t="n">
        <v>3</v>
      </c>
      <c r="K399" s="67" t="n">
        <v>0</v>
      </c>
      <c r="L399" s="64" t="n">
        <v>13</v>
      </c>
      <c r="M399" s="64" t="n">
        <v>35</v>
      </c>
      <c r="N399" s="64" t="n">
        <v>31</v>
      </c>
      <c r="O399" s="64" t="n">
        <v>28</v>
      </c>
      <c r="P399" s="64" t="n">
        <v>31</v>
      </c>
    </row>
    <row r="400" ht="15.75" customHeight="1" s="45">
      <c r="A400" s="61" t="n">
        <v>46053</v>
      </c>
      <c r="B400" s="62" t="inlineStr">
        <is>
          <t>Antes-Projeto</t>
        </is>
      </c>
      <c r="C400" s="65" t="inlineStr">
        <is>
          <t>Eletrocardiogramas</t>
        </is>
      </c>
      <c r="D400" s="66" t="n">
        <v>14</v>
      </c>
      <c r="E400" s="66" t="n">
        <v>6</v>
      </c>
      <c r="F400" s="66" t="n">
        <v>15</v>
      </c>
      <c r="G400" s="66" t="n">
        <v>5</v>
      </c>
      <c r="H400" s="66" t="n">
        <v>15</v>
      </c>
      <c r="I400" s="66" t="n">
        <v>11</v>
      </c>
      <c r="J400" s="66" t="n">
        <v>2</v>
      </c>
      <c r="K400" s="67" t="n">
        <v>0</v>
      </c>
      <c r="L400" s="66" t="n">
        <v>3</v>
      </c>
      <c r="M400" s="67" t="n">
        <v>0</v>
      </c>
      <c r="N400" s="66" t="n">
        <v>3</v>
      </c>
      <c r="O400" s="67" t="n">
        <v>0</v>
      </c>
      <c r="P400" s="66" t="n">
        <v>11</v>
      </c>
    </row>
    <row r="401" ht="15.75" customHeight="1" s="45">
      <c r="A401" s="61" t="n">
        <v>46053</v>
      </c>
      <c r="B401" s="62" t="inlineStr">
        <is>
          <t>Antes-Projeto</t>
        </is>
      </c>
      <c r="C401" s="68" t="inlineStr">
        <is>
          <t>GAEs Abertas</t>
        </is>
      </c>
      <c r="D401" s="69" t="n">
        <v>181</v>
      </c>
      <c r="E401" s="69" t="n">
        <v>121</v>
      </c>
      <c r="F401" s="69" t="n">
        <v>156</v>
      </c>
      <c r="G401" s="69" t="n">
        <v>113</v>
      </c>
      <c r="H401" s="69" t="n">
        <v>101</v>
      </c>
      <c r="I401" s="69" t="n">
        <v>143</v>
      </c>
      <c r="J401" s="69" t="n">
        <v>59</v>
      </c>
      <c r="K401" s="69" t="n">
        <v>274</v>
      </c>
      <c r="L401" s="69" t="n">
        <v>114</v>
      </c>
      <c r="M401" s="69" t="n">
        <v>207</v>
      </c>
      <c r="N401" s="69" t="n">
        <v>163</v>
      </c>
      <c r="O401" s="69" t="n">
        <v>206</v>
      </c>
      <c r="P401" s="69" t="n">
        <v>173</v>
      </c>
    </row>
    <row r="402" ht="15.75" customHeight="1" s="45">
      <c r="A402" s="61" t="n">
        <v>46053</v>
      </c>
      <c r="B402" s="62" t="inlineStr">
        <is>
          <t>Antes-Projeto</t>
        </is>
      </c>
      <c r="C402" s="68" t="inlineStr">
        <is>
          <t>GAEs Classificadas</t>
        </is>
      </c>
      <c r="D402" s="69" t="n">
        <v>175</v>
      </c>
      <c r="E402" s="69" t="n">
        <v>116</v>
      </c>
      <c r="F402" s="69" t="n">
        <v>147</v>
      </c>
      <c r="G402" s="69" t="n">
        <v>109</v>
      </c>
      <c r="H402" s="69" t="n">
        <v>98</v>
      </c>
      <c r="I402" s="69" t="n">
        <v>139</v>
      </c>
      <c r="J402" s="69" t="n">
        <v>56</v>
      </c>
      <c r="K402" s="69" t="n">
        <v>246</v>
      </c>
      <c r="L402" s="69" t="n">
        <v>109</v>
      </c>
      <c r="M402" s="69" t="n">
        <v>197</v>
      </c>
      <c r="N402" s="69" t="n">
        <v>153</v>
      </c>
      <c r="O402" s="69" t="n">
        <v>191</v>
      </c>
      <c r="P402" s="69" t="n">
        <v>167</v>
      </c>
    </row>
    <row r="403" ht="15.75" customHeight="1" s="45">
      <c r="A403" s="61" t="n">
        <v>46053</v>
      </c>
      <c r="B403" s="62" t="inlineStr">
        <is>
          <t>Antes-Projeto</t>
        </is>
      </c>
      <c r="C403" s="70" t="inlineStr">
        <is>
          <t>Percentual de GAEs abertas classificadas</t>
        </is>
      </c>
      <c r="D403" s="71">
        <f>IFERROR(D402/D401,"-")</f>
        <v/>
      </c>
      <c r="E403" s="71">
        <f>IFERROR(E402/E401,"-")</f>
        <v/>
      </c>
      <c r="F403" s="71">
        <f>IFERROR(F402/F401,"-")</f>
        <v/>
      </c>
      <c r="G403" s="71">
        <f>IFERROR(G402/G401,"-")</f>
        <v/>
      </c>
      <c r="H403" s="71">
        <f>IFERROR(H402/H401,"-")</f>
        <v/>
      </c>
      <c r="I403" s="71">
        <f>IFERROR(I402/I401,"-")</f>
        <v/>
      </c>
      <c r="J403" s="71">
        <f>IFERROR(J402/J401,"-")</f>
        <v/>
      </c>
      <c r="K403" s="71">
        <f>IFERROR(K402/K401,"-")</f>
        <v/>
      </c>
      <c r="L403" s="71">
        <f>IFERROR(L402/L401,"-")</f>
        <v/>
      </c>
      <c r="M403" s="71">
        <f>IFERROR(M402/M401,"-")</f>
        <v/>
      </c>
      <c r="N403" s="71">
        <f>IFERROR(N402/N401,"-")</f>
        <v/>
      </c>
      <c r="O403" s="71">
        <f>IFERROR(O402/O401,"-")</f>
        <v/>
      </c>
      <c r="P403" s="71">
        <f>IFERROR(P402/P401,"-")</f>
        <v/>
      </c>
    </row>
    <row r="404" ht="15.75" customHeight="1" s="45">
      <c r="A404" s="61" t="n">
        <v>46053</v>
      </c>
      <c r="B404" s="62" t="inlineStr">
        <is>
          <t>Antes-Projeto</t>
        </is>
      </c>
      <c r="C404" s="72" t="inlineStr">
        <is>
          <t>Tempo Médio — 🟡 Amarelo (hh:mm)</t>
        </is>
      </c>
      <c r="D404" s="121" t="n">
        <v>0.06215277777777778</v>
      </c>
      <c r="E404" s="121" t="n">
        <v>0.05125</v>
      </c>
      <c r="F404" s="121" t="n">
        <v>0.06263888888888888</v>
      </c>
      <c r="G404" s="121" t="n">
        <v>0.05386574074074074</v>
      </c>
      <c r="H404" s="121" t="n">
        <v>0.06513888888888889</v>
      </c>
      <c r="I404" s="121" t="n">
        <v>0.3661805555555556</v>
      </c>
      <c r="J404" s="121" t="n">
        <v>0.2858449074074074</v>
      </c>
      <c r="K404" s="121" t="n">
        <v>0.1178125</v>
      </c>
      <c r="L404" s="121" t="n">
        <v>0.1378935185185185</v>
      </c>
      <c r="M404" s="121" t="n">
        <v>0.0206712962962963</v>
      </c>
      <c r="N404" s="121" t="n">
        <v>0.07270833333333333</v>
      </c>
      <c r="O404" s="121" t="n">
        <v>0.08350694444444444</v>
      </c>
      <c r="P404" s="121" t="n">
        <v>0.06493055555555556</v>
      </c>
    </row>
    <row r="405" ht="15.75" customHeight="1" s="45">
      <c r="A405" s="61" t="n">
        <v>46053</v>
      </c>
      <c r="B405" s="62" t="inlineStr">
        <is>
          <t>Antes-Projeto</t>
        </is>
      </c>
      <c r="C405" s="74" t="inlineStr">
        <is>
          <t>Tempo Médio — 🟠 Laranja (hh:mm)</t>
        </is>
      </c>
      <c r="D405" s="122" t="n">
        <v>0.007604166666666667</v>
      </c>
      <c r="E405" s="122" t="n">
        <v>0.008449074074074074</v>
      </c>
      <c r="F405" s="122" t="n">
        <v>0.01415509259259259</v>
      </c>
      <c r="G405" s="122" t="n">
        <v>0.01122685185185185</v>
      </c>
      <c r="H405" s="122" t="n">
        <v>0.005833333333333334</v>
      </c>
      <c r="I405" s="122" t="n">
        <v>0.008229166666666666</v>
      </c>
      <c r="J405" s="122" t="n">
        <v>0.5506597222222223</v>
      </c>
      <c r="K405" s="122" t="n">
        <v>0.04671296296296296</v>
      </c>
      <c r="L405" s="122" t="n">
        <v>0.02769675925925926</v>
      </c>
      <c r="M405" s="122" t="n">
        <v>0.006215277777777778</v>
      </c>
      <c r="N405" s="122" t="n">
        <v>0.01083333333333333</v>
      </c>
      <c r="O405" s="122" t="n">
        <v>0.02109953703703704</v>
      </c>
      <c r="P405" s="122" t="n">
        <v>0.01108796296296296</v>
      </c>
    </row>
    <row r="406" ht="15.75" customHeight="1" s="45">
      <c r="A406" s="76" t="n">
        <v>46053</v>
      </c>
      <c r="B406" s="77" t="inlineStr">
        <is>
          <t>Antes-Projeto</t>
        </is>
      </c>
      <c r="C406" s="78" t="inlineStr">
        <is>
          <t>Tempo Médio — 🟢 Verde   (hh:mm)</t>
        </is>
      </c>
      <c r="D406" s="123" t="n">
        <v>0.1602777777777778</v>
      </c>
      <c r="E406" s="123" t="n">
        <v>0.1074652777777778</v>
      </c>
      <c r="F406" s="123" t="n">
        <v>0.1684953703703704</v>
      </c>
      <c r="G406" s="123" t="n">
        <v>0.1468865740740741</v>
      </c>
      <c r="H406" s="123" t="n">
        <v>0.1096643518518518</v>
      </c>
      <c r="I406" s="123" t="n">
        <v>0.2990509259259259</v>
      </c>
      <c r="J406" s="123" t="n">
        <v>0.2983912037037037</v>
      </c>
      <c r="K406" s="123" t="n">
        <v>0.09131944444444444</v>
      </c>
      <c r="L406" s="123" t="n">
        <v>0.1131597222222222</v>
      </c>
      <c r="M406" s="123" t="n">
        <v>0.03491898148148148</v>
      </c>
      <c r="N406" s="123" t="n">
        <v>0.1722222222222222</v>
      </c>
      <c r="O406" s="123" t="n">
        <v>0.2185648148148148</v>
      </c>
      <c r="P406" s="123" t="n">
        <v>0.09771990740740741</v>
      </c>
    </row>
  </sheetData>
  <autoFilter ref="A3:P406"/>
  <mergeCells count="4">
    <mergeCell ref="K2:P2"/>
    <mergeCell ref="A1:P1"/>
    <mergeCell ref="A2:C2"/>
    <mergeCell ref="D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3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I126" activeCellId="0" sqref="I126"/>
    </sheetView>
  </sheetViews>
  <sheetFormatPr baseColWidth="8" defaultColWidth="8.6796875" defaultRowHeight="15" zeroHeight="0" outlineLevelRow="0"/>
  <cols>
    <col width="13" customWidth="1" style="44" min="1" max="1"/>
    <col width="12" customWidth="1" style="44" min="2" max="2"/>
    <col width="36.71" customWidth="1" style="44" min="3" max="3"/>
    <col width="15" customWidth="1" style="44" min="4" max="16"/>
  </cols>
  <sheetData>
    <row r="1" ht="31.5" customHeight="1" s="45">
      <c r="A1" s="46" t="inlineStr">
        <is>
          <t>ANÁLISE COMPARATIVA DE INDICADORES — UPAs PORTE I e PORTE III — ANTES e APÓS O PROJETO</t>
        </is>
      </c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8" t="n"/>
    </row>
    <row r="2" ht="25.5" customHeight="1" s="45">
      <c r="A2" s="49" t="inlineStr">
        <is>
          <t>Obs.: O indicador TAXA DE MORTALIDADE é de responsabilidade da SUPPH.</t>
        </is>
      </c>
      <c r="B2" s="47" t="n"/>
      <c r="C2" s="50" t="n"/>
      <c r="D2" s="51" t="inlineStr">
        <is>
          <t>— PORTE I —</t>
        </is>
      </c>
      <c r="E2" s="47" t="n"/>
      <c r="F2" s="47" t="n"/>
      <c r="G2" s="47" t="n"/>
      <c r="H2" s="47" t="n"/>
      <c r="I2" s="47" t="n"/>
      <c r="J2" s="50" t="n"/>
      <c r="K2" s="52" t="inlineStr">
        <is>
          <t>— PORTE III —</t>
        </is>
      </c>
      <c r="L2" s="47" t="n"/>
      <c r="M2" s="47" t="n"/>
      <c r="N2" s="47" t="n"/>
      <c r="O2" s="47" t="n"/>
      <c r="P2" s="53" t="n"/>
    </row>
    <row r="3" ht="36" customHeight="1" s="45">
      <c r="A3" s="54" t="inlineStr">
        <is>
          <t>Data</t>
        </is>
      </c>
      <c r="B3" s="54" t="inlineStr">
        <is>
          <t>Fase</t>
        </is>
      </c>
      <c r="C3" s="54" t="inlineStr">
        <is>
          <t>Indicador</t>
        </is>
      </c>
      <c r="D3" s="55" t="inlineStr">
        <is>
          <t>UPA
CEILÂNDIA II</t>
        </is>
      </c>
      <c r="E3" s="55" t="inlineStr">
        <is>
          <t>UPA
PARANOÁ</t>
        </is>
      </c>
      <c r="F3" s="55" t="inlineStr">
        <is>
          <t>UPA
GAMA</t>
        </is>
      </c>
      <c r="G3" s="55" t="inlineStr">
        <is>
          <t>UPA
PLANALTINA</t>
        </is>
      </c>
      <c r="H3" s="55" t="inlineStr">
        <is>
          <t>UPA RIACHO FUNDO II</t>
        </is>
      </c>
      <c r="I3" s="55" t="inlineStr">
        <is>
          <t>UPA VICENTE PIRES</t>
        </is>
      </c>
      <c r="J3" s="55" t="inlineStr">
        <is>
          <t>UPA BRAZLÂNDIA</t>
        </is>
      </c>
      <c r="K3" s="56" t="inlineStr">
        <is>
          <t>UPA
CEILÂNDIA</t>
        </is>
      </c>
      <c r="L3" s="56" t="inlineStr">
        <is>
          <t>UPA NÚCLEO BANDEIRANTE</t>
        </is>
      </c>
      <c r="M3" s="56" t="inlineStr">
        <is>
          <t>UPA RECANTO DAS EMAS</t>
        </is>
      </c>
      <c r="N3" s="56" t="inlineStr">
        <is>
          <t>UPA SAMAMBAIA</t>
        </is>
      </c>
      <c r="O3" s="56" t="inlineStr">
        <is>
          <t>UPA
SÃO SEBASTIÃO</t>
        </is>
      </c>
      <c r="P3" s="56" t="inlineStr">
        <is>
          <t>UPA SOBRADINHO</t>
        </is>
      </c>
    </row>
    <row r="4" ht="15.75" customHeight="1" s="45">
      <c r="A4" s="57" t="n">
        <v>46054</v>
      </c>
      <c r="B4" s="58" t="inlineStr">
        <is>
          <t>Antes-Projeto</t>
        </is>
      </c>
      <c r="C4" s="59" t="inlineStr">
        <is>
          <t>Acolhim. + Atend. Urgência + Atend. UPA</t>
        </is>
      </c>
      <c r="D4" s="60">
        <f>SUM(D5:D7)</f>
        <v/>
      </c>
      <c r="E4" s="60">
        <f>SUM(E5:E7)</f>
        <v/>
      </c>
      <c r="F4" s="60">
        <f>SUM(F5:F7)</f>
        <v/>
      </c>
      <c r="G4" s="60">
        <f>SUM(G5:G7)</f>
        <v/>
      </c>
      <c r="H4" s="60">
        <f>SUM(H5:H7)</f>
        <v/>
      </c>
      <c r="I4" s="60">
        <f>SUM(I5:I7)</f>
        <v/>
      </c>
      <c r="J4" s="60">
        <f>SUM(J5:J7)</f>
        <v/>
      </c>
      <c r="K4" s="60">
        <f>SUM(K5:K7)</f>
        <v/>
      </c>
      <c r="L4" s="60">
        <f>SUM(L5:L7)</f>
        <v/>
      </c>
      <c r="M4" s="60">
        <f>SUM(M5:M7)</f>
        <v/>
      </c>
      <c r="N4" s="60">
        <f>SUM(N5:N7)</f>
        <v/>
      </c>
      <c r="O4" s="60">
        <f>SUM(O5:O7)</f>
        <v/>
      </c>
      <c r="P4" s="60">
        <f>SUM(P5:P7)</f>
        <v/>
      </c>
    </row>
    <row r="5" ht="15.75" customHeight="1" s="45">
      <c r="A5" s="61" t="n">
        <v>46054</v>
      </c>
      <c r="B5" s="62" t="inlineStr">
        <is>
          <t>Antes-Projeto</t>
        </is>
      </c>
      <c r="C5" s="63" t="inlineStr">
        <is>
          <t>Acolhimento c/ Classif. de Risco</t>
        </is>
      </c>
      <c r="D5" s="64" t="n">
        <v>181</v>
      </c>
      <c r="E5" s="64" t="n">
        <v>93</v>
      </c>
      <c r="F5" s="64" t="n">
        <v>130</v>
      </c>
      <c r="G5" s="64" t="n">
        <v>113</v>
      </c>
      <c r="H5" s="64" t="n">
        <v>100</v>
      </c>
      <c r="I5" s="64" t="n">
        <v>157</v>
      </c>
      <c r="J5" s="64" t="n">
        <v>68</v>
      </c>
      <c r="K5" s="64" t="n">
        <v>268</v>
      </c>
      <c r="L5" s="64" t="n">
        <v>114</v>
      </c>
      <c r="M5" s="64" t="n">
        <v>179</v>
      </c>
      <c r="N5" s="64" t="n">
        <v>176</v>
      </c>
      <c r="O5" s="64" t="n">
        <v>175</v>
      </c>
      <c r="P5" s="64" t="n">
        <v>159</v>
      </c>
    </row>
    <row r="6" ht="15.75" customHeight="1" s="45">
      <c r="A6" s="61" t="n">
        <v>46054</v>
      </c>
      <c r="B6" s="62" t="inlineStr">
        <is>
          <t>Antes-Projeto</t>
        </is>
      </c>
      <c r="C6" s="65" t="inlineStr">
        <is>
          <t>Atend. Urgência Obs. ≤ 24h</t>
        </is>
      </c>
      <c r="D6" s="66" t="n">
        <v>40</v>
      </c>
      <c r="E6" s="66" t="n">
        <v>15</v>
      </c>
      <c r="F6" s="66" t="n">
        <v>43</v>
      </c>
      <c r="G6" s="66" t="n">
        <v>46</v>
      </c>
      <c r="H6" s="66" t="n">
        <v>19</v>
      </c>
      <c r="I6" s="66" t="n">
        <v>63</v>
      </c>
      <c r="J6" s="66" t="n">
        <v>27</v>
      </c>
      <c r="K6" s="66" t="n">
        <v>65</v>
      </c>
      <c r="L6" s="66" t="n">
        <v>38</v>
      </c>
      <c r="M6" s="66" t="n">
        <v>129</v>
      </c>
      <c r="N6" s="66" t="n">
        <v>85</v>
      </c>
      <c r="O6" s="66" t="n">
        <v>16</v>
      </c>
      <c r="P6" s="66" t="n">
        <v>21</v>
      </c>
    </row>
    <row r="7" ht="15.75" customHeight="1" s="45">
      <c r="A7" s="61" t="n">
        <v>46054</v>
      </c>
      <c r="B7" s="62" t="inlineStr">
        <is>
          <t>Antes-Projeto</t>
        </is>
      </c>
      <c r="C7" s="63" t="inlineStr">
        <is>
          <t>Atend. Médico em UPA</t>
        </is>
      </c>
      <c r="D7" s="64" t="n">
        <v>119</v>
      </c>
      <c r="E7" s="64" t="n">
        <v>72</v>
      </c>
      <c r="F7" s="64" t="n">
        <v>68</v>
      </c>
      <c r="G7" s="64" t="n">
        <v>85</v>
      </c>
      <c r="H7" s="64" t="n">
        <v>81</v>
      </c>
      <c r="I7" s="64" t="n">
        <v>102</v>
      </c>
      <c r="J7" s="64" t="n">
        <v>70</v>
      </c>
      <c r="K7" s="64" t="n">
        <v>90</v>
      </c>
      <c r="L7" s="64" t="n">
        <v>58</v>
      </c>
      <c r="M7" s="64" t="n">
        <v>114</v>
      </c>
      <c r="N7" s="64" t="n">
        <v>176</v>
      </c>
      <c r="O7" s="64" t="n">
        <v>124</v>
      </c>
      <c r="P7" s="64" t="n">
        <v>118</v>
      </c>
    </row>
    <row r="8" ht="15.75" customHeight="1" s="45">
      <c r="A8" s="61" t="n">
        <v>46054</v>
      </c>
      <c r="B8" s="62" t="inlineStr">
        <is>
          <t>Antes-Projeto</t>
        </is>
      </c>
      <c r="C8" s="65" t="inlineStr">
        <is>
          <t>Exames Laboratoriais</t>
        </is>
      </c>
      <c r="D8" s="66" t="n">
        <v>622</v>
      </c>
      <c r="E8" s="66" t="n">
        <v>399</v>
      </c>
      <c r="F8" s="66" t="n">
        <v>366</v>
      </c>
      <c r="G8" s="66" t="n">
        <v>508</v>
      </c>
      <c r="H8" s="66" t="n">
        <v>257</v>
      </c>
      <c r="I8" s="66" t="n">
        <v>309</v>
      </c>
      <c r="J8" s="66" t="n">
        <v>67</v>
      </c>
      <c r="K8" s="66" t="n">
        <v>554</v>
      </c>
      <c r="L8" s="66" t="n">
        <v>342</v>
      </c>
      <c r="M8" s="66" t="n">
        <v>655</v>
      </c>
      <c r="N8" s="66" t="n">
        <v>638</v>
      </c>
      <c r="O8" s="66" t="n">
        <v>327</v>
      </c>
      <c r="P8" s="66" t="n">
        <v>539</v>
      </c>
    </row>
    <row r="9" ht="15.75" customHeight="1" s="45">
      <c r="A9" s="61" t="n">
        <v>46054</v>
      </c>
      <c r="B9" s="62" t="inlineStr">
        <is>
          <t>Antes-Projeto</t>
        </is>
      </c>
      <c r="C9" s="63" t="inlineStr">
        <is>
          <t>Radiografias</t>
        </is>
      </c>
      <c r="D9" s="64" t="n">
        <v>24</v>
      </c>
      <c r="E9" s="64" t="n">
        <v>1</v>
      </c>
      <c r="F9" s="64" t="n">
        <v>6</v>
      </c>
      <c r="G9" s="64" t="n">
        <v>10</v>
      </c>
      <c r="H9" s="64" t="n">
        <v>10</v>
      </c>
      <c r="I9" s="64" t="n">
        <v>16</v>
      </c>
      <c r="J9" s="67" t="n">
        <v>0</v>
      </c>
      <c r="K9" s="67" t="n">
        <v>0</v>
      </c>
      <c r="L9" s="64" t="n">
        <v>24</v>
      </c>
      <c r="M9" s="64" t="n">
        <v>32</v>
      </c>
      <c r="N9" s="64" t="n">
        <v>32</v>
      </c>
      <c r="O9" s="64" t="n">
        <v>21</v>
      </c>
      <c r="P9" s="64" t="n">
        <v>33</v>
      </c>
    </row>
    <row r="10" ht="15.75" customHeight="1" s="45">
      <c r="A10" s="61" t="n">
        <v>46054</v>
      </c>
      <c r="B10" s="62" t="inlineStr">
        <is>
          <t>Antes-Projeto</t>
        </is>
      </c>
      <c r="C10" s="65" t="inlineStr">
        <is>
          <t>Eletrocardiogramas</t>
        </is>
      </c>
      <c r="D10" s="66" t="n">
        <v>11</v>
      </c>
      <c r="E10" s="66" t="n">
        <v>10</v>
      </c>
      <c r="F10" s="66" t="n">
        <v>15</v>
      </c>
      <c r="G10" s="66" t="n">
        <v>8</v>
      </c>
      <c r="H10" s="66" t="n">
        <v>6</v>
      </c>
      <c r="I10" s="66" t="n">
        <v>13</v>
      </c>
      <c r="J10" s="66" t="n">
        <v>3</v>
      </c>
      <c r="K10" s="66" t="n">
        <v>7</v>
      </c>
      <c r="L10" s="66" t="n">
        <v>10</v>
      </c>
      <c r="M10" s="66" t="n">
        <v>14</v>
      </c>
      <c r="N10" s="66" t="n">
        <v>15</v>
      </c>
      <c r="O10" s="66" t="n">
        <v>8</v>
      </c>
      <c r="P10" s="66" t="n">
        <v>13</v>
      </c>
    </row>
    <row r="11" ht="15.75" customHeight="1" s="45">
      <c r="A11" s="61" t="n">
        <v>46054</v>
      </c>
      <c r="B11" s="62" t="inlineStr">
        <is>
          <t>Antes-Projeto</t>
        </is>
      </c>
      <c r="C11" s="68" t="inlineStr">
        <is>
          <t>GAEs Abertas</t>
        </is>
      </c>
      <c r="D11" s="69" t="n">
        <v>212</v>
      </c>
      <c r="E11" s="69" t="n">
        <v>116</v>
      </c>
      <c r="F11" s="69" t="n">
        <v>150</v>
      </c>
      <c r="G11" s="69" t="n">
        <v>127</v>
      </c>
      <c r="H11" s="69" t="n">
        <v>110</v>
      </c>
      <c r="I11" s="69" t="n">
        <v>184</v>
      </c>
      <c r="J11" s="69" t="n">
        <v>84</v>
      </c>
      <c r="K11" s="69" t="n">
        <v>303</v>
      </c>
      <c r="L11" s="69" t="n">
        <v>141</v>
      </c>
      <c r="M11" s="69" t="n">
        <v>196</v>
      </c>
      <c r="N11" s="69" t="n">
        <v>176</v>
      </c>
      <c r="O11" s="69" t="n">
        <v>212</v>
      </c>
      <c r="P11" s="69" t="n">
        <v>192</v>
      </c>
    </row>
    <row r="12" ht="15.75" customHeight="1" s="45">
      <c r="A12" s="61" t="n">
        <v>46054</v>
      </c>
      <c r="B12" s="62" t="inlineStr">
        <is>
          <t>Antes-Projeto</t>
        </is>
      </c>
      <c r="C12" s="68" t="inlineStr">
        <is>
          <t>GAEs Classificadas</t>
        </is>
      </c>
      <c r="D12" s="69" t="n">
        <v>205</v>
      </c>
      <c r="E12" s="69" t="n">
        <v>112</v>
      </c>
      <c r="F12" s="69" t="n">
        <v>146</v>
      </c>
      <c r="G12" s="69" t="n">
        <v>126</v>
      </c>
      <c r="H12" s="69" t="n">
        <v>110</v>
      </c>
      <c r="I12" s="69" t="n">
        <v>167</v>
      </c>
      <c r="J12" s="69" t="n">
        <v>77</v>
      </c>
      <c r="K12" s="69" t="n">
        <v>274</v>
      </c>
      <c r="L12" s="69" t="n">
        <v>135</v>
      </c>
      <c r="M12" s="69" t="n">
        <v>188</v>
      </c>
      <c r="N12" s="69" t="n">
        <v>165</v>
      </c>
      <c r="O12" s="69" t="n">
        <v>196</v>
      </c>
      <c r="P12" s="69" t="n">
        <v>173</v>
      </c>
    </row>
    <row r="13" ht="15.75" customHeight="1" s="45">
      <c r="A13" s="61" t="n">
        <v>46054</v>
      </c>
      <c r="B13" s="62" t="inlineStr">
        <is>
          <t>Antes-Projeto</t>
        </is>
      </c>
      <c r="C13" s="70" t="inlineStr">
        <is>
          <t>Percentual de GAEs abertas classificadas</t>
        </is>
      </c>
      <c r="D13" s="71">
        <f>IFERROR(D12/D11,"-")</f>
        <v/>
      </c>
      <c r="E13" s="71">
        <f>IFERROR(E12/E11,"-")</f>
        <v/>
      </c>
      <c r="F13" s="71">
        <f>IFERROR(F12/F11,"-")</f>
        <v/>
      </c>
      <c r="G13" s="71">
        <f>IFERROR(G12/G11,"-")</f>
        <v/>
      </c>
      <c r="H13" s="71">
        <f>IFERROR(H12/H11,"-")</f>
        <v/>
      </c>
      <c r="I13" s="71">
        <f>IFERROR(I12/I11,"-")</f>
        <v/>
      </c>
      <c r="J13" s="71">
        <f>IFERROR(J12/J11,"-")</f>
        <v/>
      </c>
      <c r="K13" s="71">
        <f>IFERROR(K12/K11,"-")</f>
        <v/>
      </c>
      <c r="L13" s="71">
        <f>IFERROR(L12/L11,"-")</f>
        <v/>
      </c>
      <c r="M13" s="71">
        <f>IFERROR(M12/M11,"-")</f>
        <v/>
      </c>
      <c r="N13" s="71">
        <f>IFERROR(N12/N11,"-")</f>
        <v/>
      </c>
      <c r="O13" s="71">
        <f>IFERROR(O12/O11,"-")</f>
        <v/>
      </c>
      <c r="P13" s="71">
        <f>IFERROR(P12/P11,"-")</f>
        <v/>
      </c>
    </row>
    <row r="14" ht="15.75" customHeight="1" s="45">
      <c r="A14" s="61" t="n">
        <v>46054</v>
      </c>
      <c r="B14" s="62" t="inlineStr">
        <is>
          <t>Antes-Projeto</t>
        </is>
      </c>
      <c r="C14" s="72" t="inlineStr">
        <is>
          <t>Tempo Médio — 🟡 Amarelo (hh:mm)</t>
        </is>
      </c>
      <c r="D14" s="73" t="n">
        <v>0.1004398148148148</v>
      </c>
      <c r="E14" s="73" t="n">
        <v>0.02739583333333333</v>
      </c>
      <c r="F14" s="73" t="n">
        <v>0.07784722222222222</v>
      </c>
      <c r="G14" s="73" t="n">
        <v>0.07833333333333334</v>
      </c>
      <c r="H14" s="73" t="n">
        <v>0.09908564814814814</v>
      </c>
      <c r="I14" s="73" t="n">
        <v>0.1221643518518519</v>
      </c>
      <c r="J14" s="73" t="n">
        <v>0.3214814814814815</v>
      </c>
      <c r="K14" s="73" t="n">
        <v>0.07270833333333333</v>
      </c>
      <c r="L14" s="73" t="n">
        <v>0.1339467592592593</v>
      </c>
      <c r="M14" s="73" t="n">
        <v>0.0255787037037037</v>
      </c>
      <c r="N14" s="73" t="n">
        <v>0.1066782407407407</v>
      </c>
      <c r="O14" s="73" t="n">
        <v>0.03060185185185185</v>
      </c>
      <c r="P14" s="73" t="n">
        <v>0.08229166666666667</v>
      </c>
    </row>
    <row r="15" ht="15.75" customHeight="1" s="45">
      <c r="A15" s="61" t="n">
        <v>46054</v>
      </c>
      <c r="B15" s="62" t="inlineStr">
        <is>
          <t>Antes-Projeto</t>
        </is>
      </c>
      <c r="C15" s="74" t="inlineStr">
        <is>
          <t>Tempo Médio — 🟠 Laranja (hh:mm)</t>
        </is>
      </c>
      <c r="D15" s="75" t="n">
        <v>0.02101851851851852</v>
      </c>
      <c r="E15" s="75" t="n">
        <v>0.008449074074074074</v>
      </c>
      <c r="F15" s="75" t="n">
        <v>0.01422453703703704</v>
      </c>
      <c r="G15" s="75" t="n">
        <v>0.007511574074074074</v>
      </c>
      <c r="H15" s="75" t="n">
        <v>0.01769675925925926</v>
      </c>
      <c r="I15" s="75" t="n">
        <v>0.007974537037037037</v>
      </c>
      <c r="J15" s="75" t="n">
        <v>0.2912384259259259</v>
      </c>
      <c r="K15" s="75" t="n">
        <v>0.01601851851851852</v>
      </c>
      <c r="L15" s="75" t="n">
        <v>0.01633101851851852</v>
      </c>
      <c r="M15" s="75" t="n">
        <v>0.007476851851851852</v>
      </c>
      <c r="N15" s="75" t="n">
        <v>0.01201388888888889</v>
      </c>
      <c r="O15" s="75" t="n">
        <v>0.009872685185185186</v>
      </c>
      <c r="P15" s="75" t="n">
        <v>0.01489583333333333</v>
      </c>
    </row>
    <row r="16" ht="15.75" customHeight="1" s="45">
      <c r="A16" s="76" t="n">
        <v>46054</v>
      </c>
      <c r="B16" s="77" t="inlineStr">
        <is>
          <t>Antes-Projeto</t>
        </is>
      </c>
      <c r="C16" s="78" t="inlineStr">
        <is>
          <t>Tempo Médio — 🟢 Verde   (hh:mm)</t>
        </is>
      </c>
      <c r="D16" s="79" t="n">
        <v>0.1481944444444444</v>
      </c>
      <c r="E16" s="79" t="n">
        <v>0.1035416666666667</v>
      </c>
      <c r="F16" s="79" t="n">
        <v>0.1038425925925926</v>
      </c>
      <c r="G16" s="79" t="n">
        <v>0.1455092592592593</v>
      </c>
      <c r="H16" s="79" t="n">
        <v>0.1067592592592593</v>
      </c>
      <c r="I16" s="79" t="n">
        <v>0.1895601851851852</v>
      </c>
      <c r="J16" s="79" t="n">
        <v>0.5632754629629629</v>
      </c>
      <c r="K16" s="79" t="n">
        <v>0.07488425925925926</v>
      </c>
      <c r="L16" s="79" t="n">
        <v>0.2739583333333334</v>
      </c>
      <c r="M16" s="79" t="n">
        <v>0.06538194444444445</v>
      </c>
      <c r="N16" s="79" t="n">
        <v>0.1644328703703704</v>
      </c>
      <c r="O16" s="79" t="n">
        <v>0.07108796296296296</v>
      </c>
      <c r="P16" s="79" t="n">
        <v>0.1168981481481482</v>
      </c>
    </row>
    <row r="17" ht="15.75" customHeight="1" s="45">
      <c r="A17" s="57" t="n">
        <v>46055</v>
      </c>
      <c r="B17" s="58" t="inlineStr">
        <is>
          <t>Antes-Projeto</t>
        </is>
      </c>
      <c r="C17" s="59" t="inlineStr">
        <is>
          <t>Acolhim. + Atend. Urgência + Atend. UPA</t>
        </is>
      </c>
      <c r="D17" s="60">
        <f>SUM(D18:D20)</f>
        <v/>
      </c>
      <c r="E17" s="60">
        <f>SUM(E18:E20)</f>
        <v/>
      </c>
      <c r="F17" s="60">
        <f>SUM(F18:F20)</f>
        <v/>
      </c>
      <c r="G17" s="60">
        <f>SUM(G18:G20)</f>
        <v/>
      </c>
      <c r="H17" s="60">
        <f>SUM(H18:H20)</f>
        <v/>
      </c>
      <c r="I17" s="60">
        <f>SUM(I18:I20)</f>
        <v/>
      </c>
      <c r="J17" s="60">
        <f>SUM(J18:J20)</f>
        <v/>
      </c>
      <c r="K17" s="60">
        <f>SUM(K18:K20)</f>
        <v/>
      </c>
      <c r="L17" s="60">
        <f>SUM(L18:L20)</f>
        <v/>
      </c>
      <c r="M17" s="60">
        <f>SUM(M18:M20)</f>
        <v/>
      </c>
      <c r="N17" s="60">
        <f>SUM(N18:N20)</f>
        <v/>
      </c>
      <c r="O17" s="60">
        <f>SUM(O18:O20)</f>
        <v/>
      </c>
      <c r="P17" s="60">
        <f>SUM(P18:P20)</f>
        <v/>
      </c>
    </row>
    <row r="18" ht="15.75" customHeight="1" s="45">
      <c r="A18" s="61" t="n">
        <v>46055</v>
      </c>
      <c r="B18" s="62" t="inlineStr">
        <is>
          <t>Antes-Projeto</t>
        </is>
      </c>
      <c r="C18" s="65" t="inlineStr">
        <is>
          <t>Acolhimento c/ Classif. de Risco</t>
        </is>
      </c>
      <c r="D18" s="66" t="n">
        <v>188</v>
      </c>
      <c r="E18" s="66" t="n">
        <v>135</v>
      </c>
      <c r="F18" s="66" t="n">
        <v>160</v>
      </c>
      <c r="G18" s="66" t="n">
        <v>118</v>
      </c>
      <c r="H18" s="66" t="n">
        <v>125</v>
      </c>
      <c r="I18" s="66" t="n">
        <v>160</v>
      </c>
      <c r="J18" s="66" t="n">
        <v>100</v>
      </c>
      <c r="K18" s="66" t="n">
        <v>246</v>
      </c>
      <c r="L18" s="66" t="n">
        <v>111</v>
      </c>
      <c r="M18" s="66" t="n">
        <v>223</v>
      </c>
      <c r="N18" s="66" t="n">
        <v>220</v>
      </c>
      <c r="O18" s="66" t="n">
        <v>216</v>
      </c>
      <c r="P18" s="66" t="n">
        <v>198</v>
      </c>
    </row>
    <row r="19" ht="15.75" customHeight="1" s="45">
      <c r="A19" s="61" t="n">
        <v>46055</v>
      </c>
      <c r="B19" s="62" t="inlineStr">
        <is>
          <t>Antes-Projeto</t>
        </is>
      </c>
      <c r="C19" s="63" t="inlineStr">
        <is>
          <t>Atend. Urgência Obs. ≤ 24h</t>
        </is>
      </c>
      <c r="D19" s="64" t="n">
        <v>21</v>
      </c>
      <c r="E19" s="64" t="n">
        <v>14</v>
      </c>
      <c r="F19" s="64" t="n">
        <v>26</v>
      </c>
      <c r="G19" s="64" t="n">
        <v>21</v>
      </c>
      <c r="H19" s="64" t="n">
        <v>48</v>
      </c>
      <c r="I19" s="64" t="n">
        <v>100</v>
      </c>
      <c r="J19" s="64" t="n">
        <v>1</v>
      </c>
      <c r="K19" s="64" t="n">
        <v>45</v>
      </c>
      <c r="L19" s="64" t="n">
        <v>34</v>
      </c>
      <c r="M19" s="64" t="n">
        <v>35</v>
      </c>
      <c r="N19" s="64" t="n">
        <v>65</v>
      </c>
      <c r="O19" s="64" t="n">
        <v>19</v>
      </c>
      <c r="P19" s="64" t="n">
        <v>7</v>
      </c>
    </row>
    <row r="20" ht="15.75" customHeight="1" s="45">
      <c r="A20" s="61" t="n">
        <v>46055</v>
      </c>
      <c r="B20" s="62" t="inlineStr">
        <is>
          <t>Antes-Projeto</t>
        </is>
      </c>
      <c r="C20" s="65" t="inlineStr">
        <is>
          <t>Atend. Médico em UPA</t>
        </is>
      </c>
      <c r="D20" s="66" t="n">
        <v>99</v>
      </c>
      <c r="E20" s="66" t="n">
        <v>69</v>
      </c>
      <c r="F20" s="66" t="n">
        <v>84</v>
      </c>
      <c r="G20" s="66" t="n">
        <v>75</v>
      </c>
      <c r="H20" s="66" t="n">
        <v>82</v>
      </c>
      <c r="I20" s="66" t="n">
        <v>136</v>
      </c>
      <c r="J20" s="66" t="n">
        <v>96</v>
      </c>
      <c r="K20" s="66" t="n">
        <v>131</v>
      </c>
      <c r="L20" s="66" t="n">
        <v>91</v>
      </c>
      <c r="M20" s="66" t="n">
        <v>167</v>
      </c>
      <c r="N20" s="66" t="n">
        <v>236</v>
      </c>
      <c r="O20" s="66" t="n">
        <v>144</v>
      </c>
      <c r="P20" s="66" t="n">
        <v>79</v>
      </c>
    </row>
    <row r="21" ht="15.75" customHeight="1" s="45">
      <c r="A21" s="61" t="n">
        <v>46055</v>
      </c>
      <c r="B21" s="62" t="inlineStr">
        <is>
          <t>Antes-Projeto</t>
        </is>
      </c>
      <c r="C21" s="63" t="inlineStr">
        <is>
          <t>Exames Laboratoriais</t>
        </is>
      </c>
      <c r="D21" s="64" t="n">
        <v>438</v>
      </c>
      <c r="E21" s="64" t="n">
        <v>345</v>
      </c>
      <c r="F21" s="64" t="n">
        <v>277</v>
      </c>
      <c r="G21" s="64" t="n">
        <v>279</v>
      </c>
      <c r="H21" s="64" t="n">
        <v>211</v>
      </c>
      <c r="I21" s="64" t="n">
        <v>605</v>
      </c>
      <c r="J21" s="64" t="n">
        <v>226</v>
      </c>
      <c r="K21" s="64" t="n">
        <v>607</v>
      </c>
      <c r="L21" s="64" t="n">
        <v>551</v>
      </c>
      <c r="M21" s="64" t="n">
        <v>571</v>
      </c>
      <c r="N21" s="64" t="n">
        <v>887</v>
      </c>
      <c r="O21" s="64" t="n">
        <v>378</v>
      </c>
      <c r="P21" s="64" t="n">
        <v>270</v>
      </c>
    </row>
    <row r="22" ht="15.75" customHeight="1" s="45">
      <c r="A22" s="61" t="n">
        <v>46055</v>
      </c>
      <c r="B22" s="62" t="inlineStr">
        <is>
          <t>Antes-Projeto</t>
        </is>
      </c>
      <c r="C22" s="65" t="inlineStr">
        <is>
          <t>Radiografias</t>
        </is>
      </c>
      <c r="D22" s="66" t="n">
        <v>26</v>
      </c>
      <c r="E22" s="67" t="n">
        <v>0</v>
      </c>
      <c r="F22" s="66" t="n">
        <v>18</v>
      </c>
      <c r="G22" s="66" t="n">
        <v>19</v>
      </c>
      <c r="H22" s="66" t="n">
        <v>7</v>
      </c>
      <c r="I22" s="66" t="n">
        <v>26</v>
      </c>
      <c r="J22" s="66" t="n">
        <v>18</v>
      </c>
      <c r="K22" s="67" t="n">
        <v>0</v>
      </c>
      <c r="L22" s="66" t="n">
        <v>26</v>
      </c>
      <c r="M22" s="66" t="n">
        <v>45</v>
      </c>
      <c r="N22" s="66" t="n">
        <v>36</v>
      </c>
      <c r="O22" s="66" t="n">
        <v>38</v>
      </c>
      <c r="P22" s="66" t="n">
        <v>31</v>
      </c>
    </row>
    <row r="23" ht="15.75" customHeight="1" s="45">
      <c r="A23" s="61" t="n">
        <v>46055</v>
      </c>
      <c r="B23" s="62" t="inlineStr">
        <is>
          <t>Antes-Projeto</t>
        </is>
      </c>
      <c r="C23" s="63" t="inlineStr">
        <is>
          <t>Eletrocardiogramas</t>
        </is>
      </c>
      <c r="D23" s="64" t="n">
        <v>14</v>
      </c>
      <c r="E23" s="64" t="n">
        <v>5</v>
      </c>
      <c r="F23" s="64" t="n">
        <v>24</v>
      </c>
      <c r="G23" s="64" t="n">
        <v>9</v>
      </c>
      <c r="H23" s="64" t="n">
        <v>11</v>
      </c>
      <c r="I23" s="64" t="n">
        <v>16</v>
      </c>
      <c r="J23" s="64" t="n">
        <v>1</v>
      </c>
      <c r="K23" s="64" t="n">
        <v>20</v>
      </c>
      <c r="L23" s="64" t="n">
        <v>13</v>
      </c>
      <c r="M23" s="64" t="n">
        <v>14</v>
      </c>
      <c r="N23" s="64" t="n">
        <v>16</v>
      </c>
      <c r="O23" s="64" t="n">
        <v>12</v>
      </c>
      <c r="P23" s="64" t="n">
        <v>12</v>
      </c>
    </row>
    <row r="24" ht="15.75" customHeight="1" s="45">
      <c r="A24" s="61" t="n">
        <v>46055</v>
      </c>
      <c r="B24" s="62" t="inlineStr">
        <is>
          <t>Antes-Projeto</t>
        </is>
      </c>
      <c r="C24" s="68" t="inlineStr">
        <is>
          <t>GAEs Abertas</t>
        </is>
      </c>
      <c r="D24" s="69" t="n">
        <v>234</v>
      </c>
      <c r="E24" s="69" t="n">
        <v>155</v>
      </c>
      <c r="F24" s="69" t="n">
        <v>186</v>
      </c>
      <c r="G24" s="69" t="n">
        <v>123</v>
      </c>
      <c r="H24" s="69" t="n">
        <v>130</v>
      </c>
      <c r="I24" s="69" t="n">
        <v>194</v>
      </c>
      <c r="J24" s="69" t="n">
        <v>99</v>
      </c>
      <c r="K24" s="69" t="n">
        <v>284</v>
      </c>
      <c r="L24" s="69" t="n">
        <v>119</v>
      </c>
      <c r="M24" s="69" t="n">
        <v>244</v>
      </c>
      <c r="N24" s="69" t="n">
        <v>220</v>
      </c>
      <c r="O24" s="69" t="n">
        <v>257</v>
      </c>
      <c r="P24" s="69" t="n">
        <v>224</v>
      </c>
    </row>
    <row r="25" ht="15.75" customHeight="1" s="45">
      <c r="A25" s="61" t="n">
        <v>46055</v>
      </c>
      <c r="B25" s="62" t="inlineStr">
        <is>
          <t>Antes-Projeto</t>
        </is>
      </c>
      <c r="C25" s="68" t="inlineStr">
        <is>
          <t>GAEs Classificadas</t>
        </is>
      </c>
      <c r="D25" s="69" t="n">
        <v>188</v>
      </c>
      <c r="E25" s="69" t="n">
        <v>146</v>
      </c>
      <c r="F25" s="69" t="n">
        <v>165</v>
      </c>
      <c r="G25" s="69" t="n">
        <v>119</v>
      </c>
      <c r="H25" s="69" t="n">
        <v>122</v>
      </c>
      <c r="I25" s="69" t="n">
        <v>168</v>
      </c>
      <c r="J25" s="69" t="n">
        <v>95</v>
      </c>
      <c r="K25" s="69" t="n">
        <v>254</v>
      </c>
      <c r="L25" s="69" t="n">
        <v>113</v>
      </c>
      <c r="M25" s="69" t="n">
        <v>230</v>
      </c>
      <c r="N25" s="69" t="n">
        <v>202</v>
      </c>
      <c r="O25" s="69" t="n">
        <v>234</v>
      </c>
      <c r="P25" s="69" t="n">
        <v>217</v>
      </c>
    </row>
    <row r="26" ht="15.75" customHeight="1" s="45">
      <c r="A26" s="61" t="n">
        <v>46055</v>
      </c>
      <c r="B26" s="62" t="inlineStr">
        <is>
          <t>Antes-Projeto</t>
        </is>
      </c>
      <c r="C26" s="70" t="inlineStr">
        <is>
          <t>Percentual de GAEs abertas classificadas</t>
        </is>
      </c>
      <c r="D26" s="71">
        <f>IFERROR(D25/D24,"-")</f>
        <v/>
      </c>
      <c r="E26" s="71">
        <f>IFERROR(E25/E24,"-")</f>
        <v/>
      </c>
      <c r="F26" s="71">
        <f>IFERROR(F25/F24,"-")</f>
        <v/>
      </c>
      <c r="G26" s="71">
        <f>IFERROR(G25/G24,"-")</f>
        <v/>
      </c>
      <c r="H26" s="71">
        <f>IFERROR(H25/H24,"-")</f>
        <v/>
      </c>
      <c r="I26" s="71">
        <f>IFERROR(I25/I24,"-")</f>
        <v/>
      </c>
      <c r="J26" s="71">
        <f>IFERROR(J25/J24,"-")</f>
        <v/>
      </c>
      <c r="K26" s="71">
        <f>IFERROR(K25/K24,"-")</f>
        <v/>
      </c>
      <c r="L26" s="71">
        <f>IFERROR(L25/L24,"-")</f>
        <v/>
      </c>
      <c r="M26" s="71">
        <f>IFERROR(M25/M24,"-")</f>
        <v/>
      </c>
      <c r="N26" s="71">
        <f>IFERROR(N25/N24,"-")</f>
        <v/>
      </c>
      <c r="O26" s="71">
        <f>IFERROR(O25/O24,"-")</f>
        <v/>
      </c>
      <c r="P26" s="71">
        <f>IFERROR(P25/P24,"-")</f>
        <v/>
      </c>
    </row>
    <row r="27" ht="15.75" customHeight="1" s="45">
      <c r="A27" s="61" t="n">
        <v>46055</v>
      </c>
      <c r="B27" s="62" t="inlineStr">
        <is>
          <t>Antes-Projeto</t>
        </is>
      </c>
      <c r="C27" s="72" t="inlineStr">
        <is>
          <t>Tempo Médio — 🟡 Amarelo (hh:mm)</t>
        </is>
      </c>
      <c r="D27" s="73" t="n">
        <v>0.1308449074074074</v>
      </c>
      <c r="E27" s="73" t="n">
        <v>0.0797337962962963</v>
      </c>
      <c r="F27" s="73" t="n">
        <v>0.1362962962962963</v>
      </c>
      <c r="G27" s="73" t="n">
        <v>0.1138425925925926</v>
      </c>
      <c r="H27" s="73" t="n">
        <v>0.06082175925925926</v>
      </c>
      <c r="I27" s="73" t="n">
        <v>0.07582175925925926</v>
      </c>
      <c r="J27" s="73" t="n">
        <v>0.08708333333333333</v>
      </c>
      <c r="K27" s="73" t="n">
        <v>0.1108680555555556</v>
      </c>
      <c r="L27" s="73" t="n">
        <v>0.08065972222222222</v>
      </c>
      <c r="M27" s="73" t="n">
        <v>0.02826388888888889</v>
      </c>
      <c r="N27" s="73" t="n">
        <v>0.08733796296296296</v>
      </c>
      <c r="O27" s="73" t="n">
        <v>0.06965277777777777</v>
      </c>
      <c r="P27" s="73" t="n">
        <v>0.05835648148148148</v>
      </c>
    </row>
    <row r="28" ht="15.75" customHeight="1" s="45">
      <c r="A28" s="61" t="n">
        <v>46055</v>
      </c>
      <c r="B28" s="62" t="inlineStr">
        <is>
          <t>Antes-Projeto</t>
        </is>
      </c>
      <c r="C28" s="74" t="inlineStr">
        <is>
          <t>Tempo Médio — 🟠 Laranja (hh:mm)</t>
        </is>
      </c>
      <c r="D28" s="75" t="n">
        <v>0.01327546296296296</v>
      </c>
      <c r="E28" s="75" t="n">
        <v>0.009027777777777777</v>
      </c>
      <c r="F28" s="75" t="n">
        <v>0.01020833333333333</v>
      </c>
      <c r="G28" s="75" t="n">
        <v>0.01361111111111111</v>
      </c>
      <c r="H28" s="75" t="n">
        <v>0.006631944444444445</v>
      </c>
      <c r="I28" s="75" t="n">
        <v>0.007916666666666667</v>
      </c>
      <c r="J28" s="75" t="n">
        <v>0.005798611111111111</v>
      </c>
      <c r="K28" s="75" t="n">
        <v>0.05526620370370371</v>
      </c>
      <c r="L28" s="75" t="n">
        <v>0.0127662037037037</v>
      </c>
      <c r="M28" s="75" t="n">
        <v>0.01484953703703704</v>
      </c>
      <c r="N28" s="75" t="n">
        <v>0.01739583333333333</v>
      </c>
      <c r="O28" s="75" t="n">
        <v>0.01190972222222222</v>
      </c>
      <c r="P28" s="75" t="n">
        <v>0.01215277777777778</v>
      </c>
    </row>
    <row r="29" ht="15.75" customHeight="1" s="45">
      <c r="A29" s="76" t="n">
        <v>46055</v>
      </c>
      <c r="B29" s="77" t="inlineStr">
        <is>
          <t>Antes-Projeto</t>
        </is>
      </c>
      <c r="C29" s="78" t="inlineStr">
        <is>
          <t>Tempo Médio — 🟢 Verde   (hh:mm)</t>
        </is>
      </c>
      <c r="D29" s="79" t="n">
        <v>0.04215277777777778</v>
      </c>
      <c r="E29" s="79" t="n">
        <v>0.1605092592592593</v>
      </c>
      <c r="F29" s="79" t="n">
        <v>0.08148148148148149</v>
      </c>
      <c r="G29" s="79" t="n">
        <v>0.1983449074074074</v>
      </c>
      <c r="H29" s="79" t="n">
        <v>0.06673611111111111</v>
      </c>
      <c r="I29" s="79" t="n">
        <v>0.1247222222222222</v>
      </c>
      <c r="J29" s="79" t="n">
        <v>0.1356481481481482</v>
      </c>
      <c r="K29" s="79" t="n">
        <v>0.1236689814814815</v>
      </c>
      <c r="L29" s="79" t="n">
        <v>0.09365740740740741</v>
      </c>
      <c r="M29" s="79" t="n">
        <v>0.08119212962962963</v>
      </c>
      <c r="N29" s="79" t="n">
        <v>0.0954861111111111</v>
      </c>
      <c r="O29" s="79" t="n">
        <v>0.1684027777777778</v>
      </c>
      <c r="P29" s="79" t="n">
        <v>0.1635532407407407</v>
      </c>
    </row>
    <row r="30" ht="15.75" customHeight="1" s="45">
      <c r="A30" s="57" t="n">
        <v>46056</v>
      </c>
      <c r="B30" s="58" t="inlineStr">
        <is>
          <t>Antes-Projeto</t>
        </is>
      </c>
      <c r="C30" s="59" t="inlineStr">
        <is>
          <t>Acolhim. + Atend. Urgência + Atend. UPA</t>
        </is>
      </c>
      <c r="D30" s="60">
        <f>SUM(D31:D33)</f>
        <v/>
      </c>
      <c r="E30" s="60">
        <f>SUM(E31:E33)</f>
        <v/>
      </c>
      <c r="F30" s="60">
        <f>SUM(F31:F33)</f>
        <v/>
      </c>
      <c r="G30" s="60">
        <f>SUM(G31:G33)</f>
        <v/>
      </c>
      <c r="H30" s="60">
        <f>SUM(H31:H33)</f>
        <v/>
      </c>
      <c r="I30" s="60">
        <f>SUM(I31:I33)</f>
        <v/>
      </c>
      <c r="J30" s="60">
        <f>SUM(J31:J33)</f>
        <v/>
      </c>
      <c r="K30" s="60">
        <f>SUM(K31:K33)</f>
        <v/>
      </c>
      <c r="L30" s="60">
        <f>SUM(L31:L33)</f>
        <v/>
      </c>
      <c r="M30" s="60">
        <f>SUM(M31:M33)</f>
        <v/>
      </c>
      <c r="N30" s="60">
        <f>SUM(N31:N33)</f>
        <v/>
      </c>
      <c r="O30" s="60">
        <f>SUM(O31:O33)</f>
        <v/>
      </c>
      <c r="P30" s="60">
        <f>SUM(P31:P33)</f>
        <v/>
      </c>
    </row>
    <row r="31" ht="15.75" customHeight="1" s="45">
      <c r="A31" s="61" t="n">
        <v>46056</v>
      </c>
      <c r="B31" s="62" t="inlineStr">
        <is>
          <t>Antes-Projeto</t>
        </is>
      </c>
      <c r="C31" s="63" t="inlineStr">
        <is>
          <t>Acolhimento c/ Classif. de Risco</t>
        </is>
      </c>
      <c r="D31" s="64" t="n">
        <v>181</v>
      </c>
      <c r="E31" s="64" t="n">
        <v>108</v>
      </c>
      <c r="F31" s="64" t="n">
        <v>142</v>
      </c>
      <c r="G31" s="64" t="n">
        <v>98</v>
      </c>
      <c r="H31" s="64" t="n">
        <v>98</v>
      </c>
      <c r="I31" s="64" t="n">
        <v>151</v>
      </c>
      <c r="J31" s="64" t="n">
        <v>75</v>
      </c>
      <c r="K31" s="64" t="n">
        <v>234</v>
      </c>
      <c r="L31" s="64" t="n">
        <v>125</v>
      </c>
      <c r="M31" s="64" t="n">
        <v>163</v>
      </c>
      <c r="N31" s="64" t="n">
        <v>174</v>
      </c>
      <c r="O31" s="64" t="n">
        <v>228</v>
      </c>
      <c r="P31" s="64" t="n">
        <v>154</v>
      </c>
    </row>
    <row r="32" ht="15.75" customHeight="1" s="45">
      <c r="A32" s="61" t="n">
        <v>46056</v>
      </c>
      <c r="B32" s="62" t="inlineStr">
        <is>
          <t>Antes-Projeto</t>
        </is>
      </c>
      <c r="C32" s="65" t="inlineStr">
        <is>
          <t>Atend. Urgência Obs. ≤ 24h</t>
        </is>
      </c>
      <c r="D32" s="66" t="n">
        <v>15</v>
      </c>
      <c r="E32" s="66" t="n">
        <v>11</v>
      </c>
      <c r="F32" s="66" t="n">
        <v>25</v>
      </c>
      <c r="G32" s="66" t="n">
        <v>32</v>
      </c>
      <c r="H32" s="66" t="n">
        <v>47</v>
      </c>
      <c r="I32" s="66" t="n">
        <v>125</v>
      </c>
      <c r="J32" s="66" t="n">
        <v>15</v>
      </c>
      <c r="K32" s="66" t="n">
        <v>27</v>
      </c>
      <c r="L32" s="66" t="n">
        <v>30</v>
      </c>
      <c r="M32" s="66" t="n">
        <v>24</v>
      </c>
      <c r="N32" s="66" t="n">
        <v>50</v>
      </c>
      <c r="O32" s="66" t="n">
        <v>5</v>
      </c>
      <c r="P32" s="66" t="n">
        <v>9</v>
      </c>
    </row>
    <row r="33" ht="15.75" customHeight="1" s="45">
      <c r="A33" s="61" t="n">
        <v>46056</v>
      </c>
      <c r="B33" s="62" t="inlineStr">
        <is>
          <t>Antes-Projeto</t>
        </is>
      </c>
      <c r="C33" s="63" t="inlineStr">
        <is>
          <t>Atend. Médico em UPA</t>
        </is>
      </c>
      <c r="D33" s="64" t="n">
        <v>130</v>
      </c>
      <c r="E33" s="64" t="n">
        <v>52</v>
      </c>
      <c r="F33" s="64" t="n">
        <v>87</v>
      </c>
      <c r="G33" s="64" t="n">
        <v>54</v>
      </c>
      <c r="H33" s="64" t="n">
        <v>62</v>
      </c>
      <c r="I33" s="64" t="n">
        <v>98</v>
      </c>
      <c r="J33" s="64" t="n">
        <v>70</v>
      </c>
      <c r="K33" s="64" t="n">
        <v>170</v>
      </c>
      <c r="L33" s="64" t="n">
        <v>72</v>
      </c>
      <c r="M33" s="64" t="n">
        <v>86</v>
      </c>
      <c r="N33" s="64" t="n">
        <v>188</v>
      </c>
      <c r="O33" s="64" t="n">
        <v>155</v>
      </c>
      <c r="P33" s="64" t="n">
        <v>75</v>
      </c>
    </row>
    <row r="34" ht="15.75" customHeight="1" s="45">
      <c r="A34" s="61" t="n">
        <v>46056</v>
      </c>
      <c r="B34" s="62" t="inlineStr">
        <is>
          <t>Antes-Projeto</t>
        </is>
      </c>
      <c r="C34" s="65" t="inlineStr">
        <is>
          <t>Exames Laboratoriais</t>
        </is>
      </c>
      <c r="D34" s="66" t="n">
        <v>667</v>
      </c>
      <c r="E34" s="66" t="n">
        <v>278</v>
      </c>
      <c r="F34" s="66" t="n">
        <v>531</v>
      </c>
      <c r="G34" s="66" t="n">
        <v>272</v>
      </c>
      <c r="H34" s="66" t="n">
        <v>296</v>
      </c>
      <c r="I34" s="66" t="n">
        <v>532</v>
      </c>
      <c r="J34" s="66" t="n">
        <v>141</v>
      </c>
      <c r="K34" s="66" t="n">
        <v>853</v>
      </c>
      <c r="L34" s="66" t="n">
        <v>383</v>
      </c>
      <c r="M34" s="66" t="n">
        <v>760</v>
      </c>
      <c r="N34" s="66" t="n">
        <v>415</v>
      </c>
      <c r="O34" s="66" t="n">
        <v>405</v>
      </c>
      <c r="P34" s="66" t="n">
        <v>535</v>
      </c>
    </row>
    <row r="35" ht="15.75" customHeight="1" s="45">
      <c r="A35" s="61" t="n">
        <v>46056</v>
      </c>
      <c r="B35" s="62" t="inlineStr">
        <is>
          <t>Antes-Projeto</t>
        </is>
      </c>
      <c r="C35" s="63" t="inlineStr">
        <is>
          <t>Radiografias</t>
        </is>
      </c>
      <c r="D35" s="64" t="n">
        <v>29</v>
      </c>
      <c r="E35" s="67" t="n">
        <v>0</v>
      </c>
      <c r="F35" s="64" t="n">
        <v>14</v>
      </c>
      <c r="G35" s="64" t="n">
        <v>13</v>
      </c>
      <c r="H35" s="64" t="n">
        <v>10</v>
      </c>
      <c r="I35" s="64" t="n">
        <v>35</v>
      </c>
      <c r="J35" s="64" t="n">
        <v>8</v>
      </c>
      <c r="K35" s="64" t="n">
        <v>1</v>
      </c>
      <c r="L35" s="64" t="n">
        <v>28</v>
      </c>
      <c r="M35" s="64" t="n">
        <v>30</v>
      </c>
      <c r="N35" s="64" t="n">
        <v>38</v>
      </c>
      <c r="O35" s="64" t="n">
        <v>39</v>
      </c>
      <c r="P35" s="64" t="n">
        <v>18</v>
      </c>
    </row>
    <row r="36" ht="15.75" customHeight="1" s="45">
      <c r="A36" s="61" t="n">
        <v>46056</v>
      </c>
      <c r="B36" s="62" t="inlineStr">
        <is>
          <t>Antes-Projeto</t>
        </is>
      </c>
      <c r="C36" s="65" t="inlineStr">
        <is>
          <t>Eletrocardiogramas</t>
        </is>
      </c>
      <c r="D36" s="66" t="n">
        <v>25</v>
      </c>
      <c r="E36" s="66" t="n">
        <v>7</v>
      </c>
      <c r="F36" s="66" t="n">
        <v>20</v>
      </c>
      <c r="G36" s="66" t="n">
        <v>6</v>
      </c>
      <c r="H36" s="66" t="n">
        <v>11</v>
      </c>
      <c r="I36" s="66" t="n">
        <v>14</v>
      </c>
      <c r="J36" s="66" t="n">
        <v>3</v>
      </c>
      <c r="K36" s="66" t="n">
        <v>18</v>
      </c>
      <c r="L36" s="66" t="n">
        <v>10</v>
      </c>
      <c r="M36" s="66" t="n">
        <v>12</v>
      </c>
      <c r="N36" s="66" t="n">
        <v>18</v>
      </c>
      <c r="O36" s="66" t="n">
        <v>6</v>
      </c>
      <c r="P36" s="66" t="n">
        <v>9</v>
      </c>
    </row>
    <row r="37" ht="15.75" customHeight="1" s="45">
      <c r="A37" s="61" t="n">
        <v>46056</v>
      </c>
      <c r="B37" s="62" t="inlineStr">
        <is>
          <t>Antes-Projeto</t>
        </is>
      </c>
      <c r="C37" s="68" t="inlineStr">
        <is>
          <t>GAEs Abertas</t>
        </is>
      </c>
      <c r="D37" s="69" t="n">
        <v>211</v>
      </c>
      <c r="E37" s="69" t="n">
        <v>118</v>
      </c>
      <c r="F37" s="69" t="n">
        <v>146</v>
      </c>
      <c r="G37" s="69" t="n">
        <v>102</v>
      </c>
      <c r="H37" s="69" t="n">
        <v>120</v>
      </c>
      <c r="I37" s="69" t="n">
        <v>159</v>
      </c>
      <c r="J37" s="69" t="n">
        <v>80</v>
      </c>
      <c r="K37" s="69" t="n">
        <v>267</v>
      </c>
      <c r="L37" s="69" t="n">
        <v>137</v>
      </c>
      <c r="M37" s="69" t="n">
        <v>196</v>
      </c>
      <c r="N37" s="69" t="n">
        <v>174</v>
      </c>
      <c r="O37" s="69" t="n">
        <v>252</v>
      </c>
      <c r="P37" s="69" t="n">
        <v>180</v>
      </c>
    </row>
    <row r="38" ht="15.75" customHeight="1" s="45">
      <c r="A38" s="61" t="n">
        <v>46056</v>
      </c>
      <c r="B38" s="62" t="inlineStr">
        <is>
          <t>Antes-Projeto</t>
        </is>
      </c>
      <c r="C38" s="68" t="inlineStr">
        <is>
          <t>GAEs Classificadas</t>
        </is>
      </c>
      <c r="D38" s="69" t="n">
        <v>185</v>
      </c>
      <c r="E38" s="69" t="n">
        <v>107</v>
      </c>
      <c r="F38" s="69" t="n">
        <v>143</v>
      </c>
      <c r="G38" s="69" t="n">
        <v>101</v>
      </c>
      <c r="H38" s="69" t="n">
        <v>112</v>
      </c>
      <c r="I38" s="69" t="n">
        <v>144</v>
      </c>
      <c r="J38" s="69" t="n">
        <v>77</v>
      </c>
      <c r="K38" s="69" t="n">
        <v>239</v>
      </c>
      <c r="L38" s="69" t="n">
        <v>128</v>
      </c>
      <c r="M38" s="69" t="n">
        <v>176</v>
      </c>
      <c r="N38" s="69" t="n">
        <v>165</v>
      </c>
      <c r="O38" s="69" t="n">
        <v>234</v>
      </c>
      <c r="P38" s="69" t="n">
        <v>170</v>
      </c>
    </row>
    <row r="39" ht="15.75" customHeight="1" s="45">
      <c r="A39" s="61" t="n">
        <v>46056</v>
      </c>
      <c r="B39" s="62" t="inlineStr">
        <is>
          <t>Antes-Projeto</t>
        </is>
      </c>
      <c r="C39" s="70" t="inlineStr">
        <is>
          <t>Percentual de GAEs abertas classificadas</t>
        </is>
      </c>
      <c r="D39" s="71">
        <f>IFERROR(D38/D37,"-")</f>
        <v/>
      </c>
      <c r="E39" s="71">
        <f>IFERROR(E38/E37,"-")</f>
        <v/>
      </c>
      <c r="F39" s="71">
        <f>IFERROR(F38/F37,"-")</f>
        <v/>
      </c>
      <c r="G39" s="71">
        <f>IFERROR(G38/G37,"-")</f>
        <v/>
      </c>
      <c r="H39" s="71">
        <f>IFERROR(H38/H37,"-")</f>
        <v/>
      </c>
      <c r="I39" s="71">
        <f>IFERROR(I38/I37,"-")</f>
        <v/>
      </c>
      <c r="J39" s="71">
        <f>IFERROR(J38/J37,"-")</f>
        <v/>
      </c>
      <c r="K39" s="71">
        <f>IFERROR(K38/K37,"-")</f>
        <v/>
      </c>
      <c r="L39" s="71">
        <f>IFERROR(L38/L37,"-")</f>
        <v/>
      </c>
      <c r="M39" s="71">
        <f>IFERROR(M38/M37,"-")</f>
        <v/>
      </c>
      <c r="N39" s="71">
        <f>IFERROR(N38/N37,"-")</f>
        <v/>
      </c>
      <c r="O39" s="71">
        <f>IFERROR(O38/O37,"-")</f>
        <v/>
      </c>
      <c r="P39" s="71">
        <f>IFERROR(P38/P37,"-")</f>
        <v/>
      </c>
    </row>
    <row r="40" ht="15.75" customHeight="1" s="45">
      <c r="A40" s="61" t="n">
        <v>46056</v>
      </c>
      <c r="B40" s="62" t="inlineStr">
        <is>
          <t>Antes-Projeto</t>
        </is>
      </c>
      <c r="C40" s="72" t="inlineStr">
        <is>
          <t>Tempo Médio — 🟡 Amarelo (hh:mm)</t>
        </is>
      </c>
      <c r="D40" s="73" t="n">
        <v>0.1117939814814815</v>
      </c>
      <c r="E40" s="73" t="n">
        <v>0.05560185185185185</v>
      </c>
      <c r="F40" s="73" t="n">
        <v>0.05408564814814815</v>
      </c>
      <c r="G40" s="73" t="n">
        <v>0.02922453703703704</v>
      </c>
      <c r="H40" s="73" t="n">
        <v>0.2013310185185185</v>
      </c>
      <c r="I40" s="73" t="n">
        <v>0.08413194444444444</v>
      </c>
      <c r="J40" s="73" t="n">
        <v>0.02898148148148148</v>
      </c>
      <c r="K40" s="73" t="n">
        <v>0.07391203703703704</v>
      </c>
      <c r="L40" s="73" t="n">
        <v>0.1687152777777778</v>
      </c>
      <c r="M40" s="73" t="n">
        <v>0.03039351851851852</v>
      </c>
      <c r="N40" s="73" t="n">
        <v>0.05966435185185185</v>
      </c>
      <c r="O40" s="73" t="n">
        <v>0.04629629629629629</v>
      </c>
      <c r="P40" s="73" t="n">
        <v>0.1152662037037037</v>
      </c>
    </row>
    <row r="41" ht="15.75" customHeight="1" s="45">
      <c r="A41" s="61" t="n">
        <v>46056</v>
      </c>
      <c r="B41" s="62" t="inlineStr">
        <is>
          <t>Antes-Projeto</t>
        </is>
      </c>
      <c r="C41" s="74" t="inlineStr">
        <is>
          <t>Tempo Médio — 🟠 Laranja (hh:mm)</t>
        </is>
      </c>
      <c r="D41" s="75" t="n">
        <v>0.01484953703703704</v>
      </c>
      <c r="E41" s="75" t="n">
        <v>0.02108796296296296</v>
      </c>
      <c r="F41" s="75" t="n">
        <v>0.008842592592592593</v>
      </c>
      <c r="G41" s="75" t="n">
        <v>0.007534722222222222</v>
      </c>
      <c r="H41" s="75" t="n">
        <v>0.01300925925925926</v>
      </c>
      <c r="I41" s="75" t="n">
        <v>0.01381944444444444</v>
      </c>
      <c r="J41" s="75" t="n">
        <v>0.0184375</v>
      </c>
      <c r="K41" s="75" t="n">
        <v>0.01236111111111111</v>
      </c>
      <c r="L41" s="75" t="n">
        <v>0.02630787037037037</v>
      </c>
      <c r="M41" s="75" t="n">
        <v>0.007708333333333334</v>
      </c>
      <c r="N41" s="75" t="n">
        <v>0.01581018518518518</v>
      </c>
      <c r="O41" s="75" t="n">
        <v>0.00869212962962963</v>
      </c>
      <c r="P41" s="75" t="n">
        <v>0.02200231481481481</v>
      </c>
    </row>
    <row r="42" ht="15.75" customHeight="1" s="45">
      <c r="A42" s="76" t="n">
        <v>46056</v>
      </c>
      <c r="B42" s="77" t="inlineStr">
        <is>
          <t>Antes-Projeto</t>
        </is>
      </c>
      <c r="C42" s="78" t="inlineStr">
        <is>
          <t>Tempo Médio — 🟢 Verde   (hh:mm)</t>
        </is>
      </c>
      <c r="D42" s="79" t="n">
        <v>0.05336805555555556</v>
      </c>
      <c r="E42" s="79" t="n">
        <v>0.100787037037037</v>
      </c>
      <c r="F42" s="79" t="n">
        <v>0.1017013888888889</v>
      </c>
      <c r="G42" s="79" t="n">
        <v>0.1603819444444445</v>
      </c>
      <c r="H42" s="79" t="n">
        <v>0.2728240740740741</v>
      </c>
      <c r="I42" s="79" t="n">
        <v>0.1165972222222222</v>
      </c>
      <c r="J42" s="79" t="n">
        <v>0.07010416666666666</v>
      </c>
      <c r="K42" s="79" t="n">
        <v>0.1011342592592593</v>
      </c>
      <c r="L42" s="79" t="n">
        <v>0.202650462962963</v>
      </c>
      <c r="M42" s="79" t="n">
        <v>0.1243518518518519</v>
      </c>
      <c r="N42" s="79" t="n">
        <v>0.09128472222222223</v>
      </c>
      <c r="O42" s="79" t="n">
        <v>0.09965277777777778</v>
      </c>
      <c r="P42" s="79" t="n">
        <v>0.1660069444444444</v>
      </c>
    </row>
    <row r="43" ht="15.75" customHeight="1" s="45">
      <c r="A43" s="57" t="n">
        <v>46057</v>
      </c>
      <c r="B43" s="58" t="inlineStr">
        <is>
          <t>Antes-Projeto</t>
        </is>
      </c>
      <c r="C43" s="59" t="inlineStr">
        <is>
          <t>Acolhim. + Atend. Urgência + Atend. UPA</t>
        </is>
      </c>
      <c r="D43" s="60">
        <f>SUM(D44:D46)</f>
        <v/>
      </c>
      <c r="E43" s="60">
        <f>SUM(E44:E46)</f>
        <v/>
      </c>
      <c r="F43" s="60">
        <f>SUM(F44:F46)</f>
        <v/>
      </c>
      <c r="G43" s="60">
        <f>SUM(G44:G46)</f>
        <v/>
      </c>
      <c r="H43" s="60">
        <f>SUM(H44:H46)</f>
        <v/>
      </c>
      <c r="I43" s="60">
        <f>SUM(I44:I46)</f>
        <v/>
      </c>
      <c r="J43" s="60">
        <f>SUM(J44:J46)</f>
        <v/>
      </c>
      <c r="K43" s="60">
        <f>SUM(K44:K46)</f>
        <v/>
      </c>
      <c r="L43" s="60">
        <f>SUM(L44:L46)</f>
        <v/>
      </c>
      <c r="M43" s="60">
        <f>SUM(M44:M46)</f>
        <v/>
      </c>
      <c r="N43" s="60">
        <f>SUM(N44:N46)</f>
        <v/>
      </c>
      <c r="O43" s="60">
        <f>SUM(O44:O46)</f>
        <v/>
      </c>
      <c r="P43" s="60">
        <f>SUM(P44:P46)</f>
        <v/>
      </c>
    </row>
    <row r="44" ht="15.75" customHeight="1" s="45">
      <c r="A44" s="61" t="n">
        <v>46057</v>
      </c>
      <c r="B44" s="62" t="inlineStr">
        <is>
          <t>Antes-Projeto</t>
        </is>
      </c>
      <c r="C44" s="65" t="inlineStr">
        <is>
          <t>Acolhimento c/ Classif. de Risco</t>
        </is>
      </c>
      <c r="D44" s="66" t="n">
        <v>189</v>
      </c>
      <c r="E44" s="66" t="n">
        <v>125</v>
      </c>
      <c r="F44" s="66" t="n">
        <v>138</v>
      </c>
      <c r="G44" s="66" t="n">
        <v>105</v>
      </c>
      <c r="H44" s="66" t="n">
        <v>108</v>
      </c>
      <c r="I44" s="66" t="n">
        <v>154</v>
      </c>
      <c r="J44" s="66" t="n">
        <v>102</v>
      </c>
      <c r="K44" s="66" t="n">
        <v>243</v>
      </c>
      <c r="L44" s="66" t="n">
        <v>119</v>
      </c>
      <c r="M44" s="66" t="n">
        <v>149</v>
      </c>
      <c r="N44" s="66" t="n">
        <v>174</v>
      </c>
      <c r="O44" s="66" t="n">
        <v>198</v>
      </c>
      <c r="P44" s="66" t="n">
        <v>162</v>
      </c>
    </row>
    <row r="45" ht="15.75" customHeight="1" s="45">
      <c r="A45" s="61" t="n">
        <v>46057</v>
      </c>
      <c r="B45" s="62" t="inlineStr">
        <is>
          <t>Antes-Projeto</t>
        </is>
      </c>
      <c r="C45" s="63" t="inlineStr">
        <is>
          <t>Atend. Urgência Obs. ≤ 24h</t>
        </is>
      </c>
      <c r="D45" s="64" t="n">
        <v>18</v>
      </c>
      <c r="E45" s="64" t="n">
        <v>12</v>
      </c>
      <c r="F45" s="64" t="n">
        <v>20</v>
      </c>
      <c r="G45" s="64" t="n">
        <v>13</v>
      </c>
      <c r="H45" s="64" t="n">
        <v>32</v>
      </c>
      <c r="I45" s="64" t="n">
        <v>129</v>
      </c>
      <c r="J45" s="64" t="n">
        <v>9</v>
      </c>
      <c r="K45" s="64" t="n">
        <v>282</v>
      </c>
      <c r="L45" s="64" t="n">
        <v>35</v>
      </c>
      <c r="M45" s="64" t="n">
        <v>61</v>
      </c>
      <c r="N45" s="64" t="n">
        <v>40</v>
      </c>
      <c r="O45" s="64" t="n">
        <v>9</v>
      </c>
      <c r="P45" s="64" t="n">
        <v>15</v>
      </c>
    </row>
    <row r="46" ht="15.75" customHeight="1" s="45">
      <c r="A46" s="61" t="n">
        <v>46057</v>
      </c>
      <c r="B46" s="62" t="inlineStr">
        <is>
          <t>Antes-Projeto</t>
        </is>
      </c>
      <c r="C46" s="65" t="inlineStr">
        <is>
          <t>Atend. Médico em UPA</t>
        </is>
      </c>
      <c r="D46" s="66" t="n">
        <v>134</v>
      </c>
      <c r="E46" s="66" t="n">
        <v>106</v>
      </c>
      <c r="F46" s="66" t="n">
        <v>108</v>
      </c>
      <c r="G46" s="66" t="n">
        <v>53</v>
      </c>
      <c r="H46" s="66" t="n">
        <v>96</v>
      </c>
      <c r="I46" s="66" t="n">
        <v>129</v>
      </c>
      <c r="J46" s="66" t="n">
        <v>79</v>
      </c>
      <c r="K46" s="66" t="n">
        <v>151</v>
      </c>
      <c r="L46" s="66" t="n">
        <v>96</v>
      </c>
      <c r="M46" s="66" t="n">
        <v>94</v>
      </c>
      <c r="N46" s="66" t="n">
        <v>187</v>
      </c>
      <c r="O46" s="66" t="n">
        <v>116</v>
      </c>
      <c r="P46" s="66" t="n">
        <v>71</v>
      </c>
    </row>
    <row r="47" ht="15.75" customHeight="1" s="45">
      <c r="A47" s="61" t="n">
        <v>46057</v>
      </c>
      <c r="B47" s="62" t="inlineStr">
        <is>
          <t>Antes-Projeto</t>
        </is>
      </c>
      <c r="C47" s="63" t="inlineStr">
        <is>
          <t>Exames Laboratoriais</t>
        </is>
      </c>
      <c r="D47" s="64" t="n">
        <v>560</v>
      </c>
      <c r="E47" s="64" t="n">
        <v>335</v>
      </c>
      <c r="F47" s="64" t="n">
        <v>155</v>
      </c>
      <c r="G47" s="64" t="n">
        <v>239</v>
      </c>
      <c r="H47" s="64" t="n">
        <v>388</v>
      </c>
      <c r="I47" s="64" t="n">
        <v>566</v>
      </c>
      <c r="J47" s="64" t="n">
        <v>225</v>
      </c>
      <c r="K47" s="64" t="n">
        <v>728</v>
      </c>
      <c r="L47" s="64" t="n">
        <v>541</v>
      </c>
      <c r="M47" s="64" t="n">
        <v>556</v>
      </c>
      <c r="N47" s="64" t="n">
        <v>737</v>
      </c>
      <c r="O47" s="64" t="n">
        <v>356</v>
      </c>
      <c r="P47" s="64" t="n">
        <v>283</v>
      </c>
    </row>
    <row r="48" ht="15.75" customHeight="1" s="45">
      <c r="A48" s="61" t="n">
        <v>46057</v>
      </c>
      <c r="B48" s="62" t="inlineStr">
        <is>
          <t>Antes-Projeto</t>
        </is>
      </c>
      <c r="C48" s="65" t="inlineStr">
        <is>
          <t>Radiografias</t>
        </is>
      </c>
      <c r="D48" s="66" t="n">
        <v>16</v>
      </c>
      <c r="E48" s="67" t="n">
        <v>0</v>
      </c>
      <c r="F48" s="66" t="n">
        <v>27</v>
      </c>
      <c r="G48" s="66" t="n">
        <v>14</v>
      </c>
      <c r="H48" s="66" t="n">
        <v>22</v>
      </c>
      <c r="I48" s="66" t="n">
        <v>26</v>
      </c>
      <c r="J48" s="66" t="n">
        <v>7</v>
      </c>
      <c r="K48" s="67" t="n">
        <v>0</v>
      </c>
      <c r="L48" s="66" t="n">
        <v>20</v>
      </c>
      <c r="M48" s="66" t="n">
        <v>36</v>
      </c>
      <c r="N48" s="66" t="n">
        <v>21</v>
      </c>
      <c r="O48" s="66" t="n">
        <v>38</v>
      </c>
      <c r="P48" s="66" t="n">
        <v>20</v>
      </c>
    </row>
    <row r="49" ht="15.75" customHeight="1" s="45">
      <c r="A49" s="61" t="n">
        <v>46057</v>
      </c>
      <c r="B49" s="62" t="inlineStr">
        <is>
          <t>Antes-Projeto</t>
        </is>
      </c>
      <c r="C49" s="63" t="inlineStr">
        <is>
          <t>Eletrocardiogramas</t>
        </is>
      </c>
      <c r="D49" s="64" t="n">
        <v>9</v>
      </c>
      <c r="E49" s="64" t="n">
        <v>3</v>
      </c>
      <c r="F49" s="64" t="n">
        <v>15</v>
      </c>
      <c r="G49" s="64" t="n">
        <v>5</v>
      </c>
      <c r="H49" s="64" t="n">
        <v>8</v>
      </c>
      <c r="I49" s="64" t="n">
        <v>14</v>
      </c>
      <c r="J49" s="64" t="n">
        <v>6</v>
      </c>
      <c r="K49" s="64" t="n">
        <v>13</v>
      </c>
      <c r="L49" s="64" t="n">
        <v>16</v>
      </c>
      <c r="M49" s="64" t="n">
        <v>12</v>
      </c>
      <c r="N49" s="64" t="n">
        <v>6</v>
      </c>
      <c r="O49" s="64" t="n">
        <v>11</v>
      </c>
      <c r="P49" s="64" t="n">
        <v>15</v>
      </c>
    </row>
    <row r="50" ht="15.75" customHeight="1" s="45">
      <c r="A50" s="61" t="n">
        <v>46057</v>
      </c>
      <c r="B50" s="62" t="inlineStr">
        <is>
          <t>Antes-Projeto</t>
        </is>
      </c>
      <c r="C50" s="68" t="inlineStr">
        <is>
          <t>GAEs Abertas</t>
        </is>
      </c>
      <c r="D50" s="69" t="n">
        <v>210</v>
      </c>
      <c r="E50" s="69" t="n">
        <v>134</v>
      </c>
      <c r="F50" s="69" t="n">
        <v>151</v>
      </c>
      <c r="G50" s="69" t="n">
        <v>111</v>
      </c>
      <c r="H50" s="69" t="n">
        <v>115</v>
      </c>
      <c r="I50" s="69" t="n">
        <v>164</v>
      </c>
      <c r="J50" s="69" t="n">
        <v>104</v>
      </c>
      <c r="K50" s="69" t="n">
        <v>265</v>
      </c>
      <c r="L50" s="69" t="n">
        <v>129</v>
      </c>
      <c r="M50" s="69" t="n">
        <v>177</v>
      </c>
      <c r="N50" s="69" t="n">
        <v>176</v>
      </c>
      <c r="O50" s="69" t="n">
        <v>236</v>
      </c>
      <c r="P50" s="69" t="n">
        <v>168</v>
      </c>
    </row>
    <row r="51" ht="15.75" customHeight="1" s="45">
      <c r="A51" s="61" t="n">
        <v>46057</v>
      </c>
      <c r="B51" s="62" t="inlineStr">
        <is>
          <t>Antes-Projeto</t>
        </is>
      </c>
      <c r="C51" s="68" t="inlineStr">
        <is>
          <t>GAEs Classificadas</t>
        </is>
      </c>
      <c r="D51" s="69" t="n">
        <v>182</v>
      </c>
      <c r="E51" s="69" t="n">
        <v>130</v>
      </c>
      <c r="F51" s="69" t="n">
        <v>146</v>
      </c>
      <c r="G51" s="69" t="n">
        <v>111</v>
      </c>
      <c r="H51" s="69" t="n">
        <v>108</v>
      </c>
      <c r="I51" s="69" t="n">
        <v>157</v>
      </c>
      <c r="J51" s="69" t="n">
        <v>102</v>
      </c>
      <c r="K51" s="69" t="n">
        <v>251</v>
      </c>
      <c r="L51" s="69" t="n">
        <v>123</v>
      </c>
      <c r="M51" s="69" t="n">
        <v>171</v>
      </c>
      <c r="N51" s="69" t="n">
        <v>157</v>
      </c>
      <c r="O51" s="69" t="n">
        <v>215</v>
      </c>
      <c r="P51" s="69" t="n">
        <v>165</v>
      </c>
    </row>
    <row r="52" ht="15.75" customHeight="1" s="45">
      <c r="A52" s="61" t="n">
        <v>46057</v>
      </c>
      <c r="B52" s="62" t="inlineStr">
        <is>
          <t>Antes-Projeto</t>
        </is>
      </c>
      <c r="C52" s="70" t="inlineStr">
        <is>
          <t>Percentual de GAEs abertas classificadas</t>
        </is>
      </c>
      <c r="D52" s="71">
        <f>IFERROR(D51/D50,"-")</f>
        <v/>
      </c>
      <c r="E52" s="71">
        <f>IFERROR(E51/E50,"-")</f>
        <v/>
      </c>
      <c r="F52" s="71">
        <f>IFERROR(F51/F50,"-")</f>
        <v/>
      </c>
      <c r="G52" s="71">
        <f>IFERROR(G51/G50,"-")</f>
        <v/>
      </c>
      <c r="H52" s="71">
        <f>IFERROR(H51/H50,"-")</f>
        <v/>
      </c>
      <c r="I52" s="71">
        <f>IFERROR(I51/I50,"-")</f>
        <v/>
      </c>
      <c r="J52" s="71">
        <f>IFERROR(J51/J50,"-")</f>
        <v/>
      </c>
      <c r="K52" s="71">
        <f>IFERROR(K51/K50,"-")</f>
        <v/>
      </c>
      <c r="L52" s="71">
        <f>IFERROR(L51/L50,"-")</f>
        <v/>
      </c>
      <c r="M52" s="71">
        <f>IFERROR(M51/M50,"-")</f>
        <v/>
      </c>
      <c r="N52" s="71">
        <f>IFERROR(N51/N50,"-")</f>
        <v/>
      </c>
      <c r="O52" s="71">
        <f>IFERROR(O51/O50,"-")</f>
        <v/>
      </c>
      <c r="P52" s="71">
        <f>IFERROR(P51/P50,"-")</f>
        <v/>
      </c>
    </row>
    <row r="53" ht="15.75" customHeight="1" s="45">
      <c r="A53" s="61" t="n">
        <v>46057</v>
      </c>
      <c r="B53" s="62" t="inlineStr">
        <is>
          <t>Antes-Projeto</t>
        </is>
      </c>
      <c r="C53" s="72" t="inlineStr">
        <is>
          <t>Tempo Médio — 🟡 Amarelo (hh:mm)</t>
        </is>
      </c>
      <c r="D53" s="73" t="n">
        <v>0.0400462962962963</v>
      </c>
      <c r="E53" s="73" t="n">
        <v>0.05731481481481481</v>
      </c>
      <c r="F53" s="73" t="n">
        <v>0.03039351851851852</v>
      </c>
      <c r="G53" s="73" t="n">
        <v>0.09068287037037037</v>
      </c>
      <c r="H53" s="73" t="n">
        <v>0.04289351851851852</v>
      </c>
      <c r="I53" s="73" t="n">
        <v>0.06165509259259259</v>
      </c>
      <c r="J53" s="73" t="n">
        <v>0.03053240740740741</v>
      </c>
      <c r="K53" s="73" t="n">
        <v>0.09260416666666667</v>
      </c>
      <c r="L53" s="73" t="n">
        <v>0.1442361111111111</v>
      </c>
      <c r="M53" s="73" t="n">
        <v>0.03012731481481482</v>
      </c>
      <c r="N53" s="73" t="n">
        <v>0.09356481481481481</v>
      </c>
      <c r="O53" s="73" t="n">
        <v>0.08534722222222223</v>
      </c>
      <c r="P53" s="73" t="n">
        <v>0.1826273148148148</v>
      </c>
    </row>
    <row r="54" ht="15.75" customHeight="1" s="45">
      <c r="A54" s="61" t="n">
        <v>46057</v>
      </c>
      <c r="B54" s="62" t="inlineStr">
        <is>
          <t>Antes-Projeto</t>
        </is>
      </c>
      <c r="C54" s="74" t="inlineStr">
        <is>
          <t>Tempo Médio — 🟠 Laranja (hh:mm)</t>
        </is>
      </c>
      <c r="D54" s="75" t="n">
        <v>0.009537037037037037</v>
      </c>
      <c r="E54" s="75" t="n">
        <v>0.008784722222222222</v>
      </c>
      <c r="F54" s="75" t="n">
        <v>0.006076388888888889</v>
      </c>
      <c r="G54" s="75" t="n">
        <v>0.01314814814814815</v>
      </c>
      <c r="H54" s="75" t="n">
        <v>0.008229166666666666</v>
      </c>
      <c r="I54" s="75" t="n">
        <v>0.005717592592592593</v>
      </c>
      <c r="J54" s="75" t="n">
        <v>0.0137962962962963</v>
      </c>
      <c r="K54" s="75" t="n">
        <v>0.02334490740740741</v>
      </c>
      <c r="L54" s="75" t="n">
        <v>0.02337962962962963</v>
      </c>
      <c r="M54" s="75" t="n">
        <v>0.00787037037037037</v>
      </c>
      <c r="N54" s="75" t="n">
        <v>0.01886574074074074</v>
      </c>
      <c r="O54" s="75" t="n">
        <v>0.02571759259259259</v>
      </c>
      <c r="P54" s="75" t="n">
        <v>0.02060185185185185</v>
      </c>
    </row>
    <row r="55" ht="15.75" customHeight="1" s="45">
      <c r="A55" s="76" t="n">
        <v>46057</v>
      </c>
      <c r="B55" s="77" t="inlineStr">
        <is>
          <t>Antes-Projeto</t>
        </is>
      </c>
      <c r="C55" s="78" t="inlineStr">
        <is>
          <t>Tempo Médio — 🟢 Verde   (hh:mm)</t>
        </is>
      </c>
      <c r="D55" s="79" t="n">
        <v>0.05678240740740741</v>
      </c>
      <c r="E55" s="79" t="n">
        <v>0.1172106481481481</v>
      </c>
      <c r="F55" s="79" t="n">
        <v>0.07276620370370371</v>
      </c>
      <c r="G55" s="79" t="n">
        <v>0.150787037037037</v>
      </c>
      <c r="H55" s="79" t="n">
        <v>0.1439583333333333</v>
      </c>
      <c r="I55" s="79" t="n">
        <v>0.1174421296296296</v>
      </c>
      <c r="J55" s="79" t="n">
        <v>0.1036458333333333</v>
      </c>
      <c r="K55" s="79" t="n">
        <v>0.1403356481481481</v>
      </c>
      <c r="L55" s="79" t="n">
        <v>0.4140740740740741</v>
      </c>
      <c r="M55" s="79" t="n">
        <v>0.09759259259259259</v>
      </c>
      <c r="N55" s="79" t="n">
        <v>0.09987268518518519</v>
      </c>
      <c r="O55" s="79" t="n">
        <v>0.1436458333333333</v>
      </c>
      <c r="P55" s="79" t="n">
        <v>0.1271990740740741</v>
      </c>
    </row>
    <row r="56" ht="15.75" customHeight="1" s="45">
      <c r="A56" s="57" t="n">
        <v>46058</v>
      </c>
      <c r="B56" s="58" t="inlineStr">
        <is>
          <t>Antes-Projeto</t>
        </is>
      </c>
      <c r="C56" s="59" t="inlineStr">
        <is>
          <t>Acolhim. + Atend. Urgência + Atend. UPA</t>
        </is>
      </c>
      <c r="D56" s="60">
        <f>SUM(D57:D59)</f>
        <v/>
      </c>
      <c r="E56" s="60">
        <f>SUM(E57:E59)</f>
        <v/>
      </c>
      <c r="F56" s="60">
        <f>SUM(F57:F59)</f>
        <v/>
      </c>
      <c r="G56" s="60">
        <f>SUM(G57:G59)</f>
        <v/>
      </c>
      <c r="H56" s="60">
        <f>SUM(H57:H59)</f>
        <v/>
      </c>
      <c r="I56" s="60">
        <f>SUM(I57:I59)</f>
        <v/>
      </c>
      <c r="J56" s="60">
        <f>SUM(J57:J59)</f>
        <v/>
      </c>
      <c r="K56" s="60">
        <f>SUM(K57:K59)</f>
        <v/>
      </c>
      <c r="L56" s="60">
        <f>SUM(L57:L59)</f>
        <v/>
      </c>
      <c r="M56" s="60">
        <f>SUM(M57:M59)</f>
        <v/>
      </c>
      <c r="N56" s="60">
        <f>SUM(N57:N59)</f>
        <v/>
      </c>
      <c r="O56" s="60">
        <f>SUM(O57:O59)</f>
        <v/>
      </c>
      <c r="P56" s="60">
        <f>SUM(P57:P59)</f>
        <v/>
      </c>
    </row>
    <row r="57" ht="15.75" customHeight="1" s="45">
      <c r="A57" s="61" t="n">
        <v>46058</v>
      </c>
      <c r="B57" s="62" t="inlineStr">
        <is>
          <t>Antes-Projeto</t>
        </is>
      </c>
      <c r="C57" s="63" t="inlineStr">
        <is>
          <t>Acolhimento c/ Classif. de Risco</t>
        </is>
      </c>
      <c r="D57" s="64" t="n">
        <v>196</v>
      </c>
      <c r="E57" s="64" t="n">
        <v>114</v>
      </c>
      <c r="F57" s="64" t="n">
        <v>120</v>
      </c>
      <c r="G57" s="64" t="n">
        <v>110</v>
      </c>
      <c r="H57" s="64" t="n">
        <v>115</v>
      </c>
      <c r="I57" s="64" t="n">
        <v>139</v>
      </c>
      <c r="J57" s="64" t="n">
        <v>89</v>
      </c>
      <c r="K57" s="64" t="n">
        <v>252</v>
      </c>
      <c r="L57" s="64" t="n">
        <v>111</v>
      </c>
      <c r="M57" s="64" t="n">
        <v>147</v>
      </c>
      <c r="N57" s="64" t="n">
        <v>170</v>
      </c>
      <c r="O57" s="64" t="n">
        <v>204</v>
      </c>
      <c r="P57" s="64" t="n">
        <v>174</v>
      </c>
    </row>
    <row r="58" ht="15.75" customHeight="1" s="45">
      <c r="A58" s="61" t="n">
        <v>46058</v>
      </c>
      <c r="B58" s="62" t="inlineStr">
        <is>
          <t>Antes-Projeto</t>
        </is>
      </c>
      <c r="C58" s="65" t="inlineStr">
        <is>
          <t>Atend. Urgência Obs. ≤ 24h</t>
        </is>
      </c>
      <c r="D58" s="66" t="n">
        <v>20</v>
      </c>
      <c r="E58" s="66" t="n">
        <v>22</v>
      </c>
      <c r="F58" s="66" t="n">
        <v>25</v>
      </c>
      <c r="G58" s="66" t="n">
        <v>29</v>
      </c>
      <c r="H58" s="66" t="n">
        <v>65</v>
      </c>
      <c r="I58" s="66" t="n">
        <v>104</v>
      </c>
      <c r="J58" s="66" t="n">
        <v>30</v>
      </c>
      <c r="K58" s="66" t="n">
        <v>348</v>
      </c>
      <c r="L58" s="66" t="n">
        <v>40</v>
      </c>
      <c r="M58" s="66" t="n">
        <v>51</v>
      </c>
      <c r="N58" s="66" t="n">
        <v>50</v>
      </c>
      <c r="O58" s="66" t="n">
        <v>9</v>
      </c>
      <c r="P58" s="66" t="n">
        <v>24</v>
      </c>
    </row>
    <row r="59" ht="15.75" customHeight="1" s="45">
      <c r="A59" s="61" t="n">
        <v>46058</v>
      </c>
      <c r="B59" s="62" t="inlineStr">
        <is>
          <t>Antes-Projeto</t>
        </is>
      </c>
      <c r="C59" s="63" t="inlineStr">
        <is>
          <t>Atend. Médico em UPA</t>
        </is>
      </c>
      <c r="D59" s="64" t="n">
        <v>148</v>
      </c>
      <c r="E59" s="64" t="n">
        <v>90</v>
      </c>
      <c r="F59" s="64" t="n">
        <v>84</v>
      </c>
      <c r="G59" s="64" t="n">
        <v>60</v>
      </c>
      <c r="H59" s="64" t="n">
        <v>88</v>
      </c>
      <c r="I59" s="64" t="n">
        <v>112</v>
      </c>
      <c r="J59" s="64" t="n">
        <v>71</v>
      </c>
      <c r="K59" s="64" t="n">
        <v>229</v>
      </c>
      <c r="L59" s="64" t="n">
        <v>72</v>
      </c>
      <c r="M59" s="64" t="n">
        <v>100</v>
      </c>
      <c r="N59" s="64" t="n">
        <v>174</v>
      </c>
      <c r="O59" s="64" t="n">
        <v>162</v>
      </c>
      <c r="P59" s="64" t="n">
        <v>104</v>
      </c>
    </row>
    <row r="60" ht="15.75" customHeight="1" s="45">
      <c r="A60" s="61" t="n">
        <v>46058</v>
      </c>
      <c r="B60" s="62" t="inlineStr">
        <is>
          <t>Antes-Projeto</t>
        </is>
      </c>
      <c r="C60" s="65" t="inlineStr">
        <is>
          <t>Exames Laboratoriais</t>
        </is>
      </c>
      <c r="D60" s="66" t="n">
        <v>518</v>
      </c>
      <c r="E60" s="66" t="n">
        <v>293</v>
      </c>
      <c r="F60" s="66" t="n">
        <v>344</v>
      </c>
      <c r="G60" s="66" t="n">
        <v>275</v>
      </c>
      <c r="H60" s="66" t="n">
        <v>425</v>
      </c>
      <c r="I60" s="66" t="n">
        <v>402</v>
      </c>
      <c r="J60" s="66" t="n">
        <v>213</v>
      </c>
      <c r="K60" s="66" t="n">
        <v>903</v>
      </c>
      <c r="L60" s="66" t="n">
        <v>485</v>
      </c>
      <c r="M60" s="66" t="n">
        <v>625</v>
      </c>
      <c r="N60" s="66" t="n">
        <v>385</v>
      </c>
      <c r="O60" s="66" t="n">
        <v>306</v>
      </c>
      <c r="P60" s="66" t="n">
        <v>482</v>
      </c>
    </row>
    <row r="61" ht="15.75" customHeight="1" s="45">
      <c r="A61" s="61" t="n">
        <v>46058</v>
      </c>
      <c r="B61" s="62" t="inlineStr">
        <is>
          <t>Antes-Projeto</t>
        </is>
      </c>
      <c r="C61" s="63" t="inlineStr">
        <is>
          <t>Radiografias</t>
        </is>
      </c>
      <c r="D61" s="64" t="n">
        <v>15</v>
      </c>
      <c r="E61" s="67" t="n">
        <v>0</v>
      </c>
      <c r="F61" s="64" t="n">
        <v>23</v>
      </c>
      <c r="G61" s="64" t="n">
        <v>17</v>
      </c>
      <c r="H61" s="64" t="n">
        <v>17</v>
      </c>
      <c r="I61" s="64" t="n">
        <v>20</v>
      </c>
      <c r="J61" s="64" t="n">
        <v>15</v>
      </c>
      <c r="K61" s="64" t="n">
        <v>1</v>
      </c>
      <c r="L61" s="64" t="n">
        <v>25</v>
      </c>
      <c r="M61" s="64" t="n">
        <v>38</v>
      </c>
      <c r="N61" s="64" t="n">
        <v>30</v>
      </c>
      <c r="O61" s="64" t="n">
        <v>46</v>
      </c>
      <c r="P61" s="64" t="n">
        <v>31</v>
      </c>
    </row>
    <row r="62" ht="15.75" customHeight="1" s="45">
      <c r="A62" s="61" t="n">
        <v>46058</v>
      </c>
      <c r="B62" s="62" t="inlineStr">
        <is>
          <t>Antes-Projeto</t>
        </is>
      </c>
      <c r="C62" s="65" t="inlineStr">
        <is>
          <t>Eletrocardiogramas</t>
        </is>
      </c>
      <c r="D62" s="66" t="n">
        <v>19</v>
      </c>
      <c r="E62" s="66" t="n">
        <v>12</v>
      </c>
      <c r="F62" s="66" t="n">
        <v>12</v>
      </c>
      <c r="G62" s="66" t="n">
        <v>9</v>
      </c>
      <c r="H62" s="66" t="n">
        <v>21</v>
      </c>
      <c r="I62" s="66" t="n">
        <v>8</v>
      </c>
      <c r="J62" s="66" t="n">
        <v>12</v>
      </c>
      <c r="K62" s="66" t="n">
        <v>30</v>
      </c>
      <c r="L62" s="66" t="n">
        <v>17</v>
      </c>
      <c r="M62" s="66" t="n">
        <v>9</v>
      </c>
      <c r="N62" s="66" t="n">
        <v>17</v>
      </c>
      <c r="O62" s="66" t="n">
        <v>8</v>
      </c>
      <c r="P62" s="66" t="n">
        <v>11</v>
      </c>
    </row>
    <row r="63" ht="15.75" customHeight="1" s="45">
      <c r="A63" s="61" t="n">
        <v>46058</v>
      </c>
      <c r="B63" s="62" t="inlineStr">
        <is>
          <t>Antes-Projeto</t>
        </is>
      </c>
      <c r="C63" s="68" t="inlineStr">
        <is>
          <t>GAEs Abertas</t>
        </is>
      </c>
      <c r="D63" s="69" t="n">
        <v>216</v>
      </c>
      <c r="E63" s="69" t="n">
        <v>135</v>
      </c>
      <c r="F63" s="69" t="n">
        <v>129</v>
      </c>
      <c r="G63" s="69" t="n">
        <v>114</v>
      </c>
      <c r="H63" s="69" t="n">
        <v>131</v>
      </c>
      <c r="I63" s="69" t="n">
        <v>145</v>
      </c>
      <c r="J63" s="69" t="n">
        <v>95</v>
      </c>
      <c r="K63" s="69" t="n">
        <v>277</v>
      </c>
      <c r="L63" s="69" t="n">
        <v>126</v>
      </c>
      <c r="M63" s="69" t="n">
        <v>168</v>
      </c>
      <c r="N63" s="69" t="n">
        <v>176</v>
      </c>
      <c r="O63" s="69" t="n">
        <v>233</v>
      </c>
      <c r="P63" s="69" t="n">
        <v>184</v>
      </c>
    </row>
    <row r="64" ht="15.75" customHeight="1" s="45">
      <c r="A64" s="61" t="n">
        <v>46058</v>
      </c>
      <c r="B64" s="62" t="inlineStr">
        <is>
          <t>Antes-Projeto</t>
        </is>
      </c>
      <c r="C64" s="68" t="inlineStr">
        <is>
          <t>GAEs Classificadas</t>
        </is>
      </c>
      <c r="D64" s="69" t="n">
        <v>209</v>
      </c>
      <c r="E64" s="69" t="n">
        <v>129</v>
      </c>
      <c r="F64" s="69" t="n">
        <v>122</v>
      </c>
      <c r="G64" s="69" t="n">
        <v>110</v>
      </c>
      <c r="H64" s="69" t="n">
        <v>121</v>
      </c>
      <c r="I64" s="69" t="n">
        <v>141</v>
      </c>
      <c r="J64" s="69" t="n">
        <v>92</v>
      </c>
      <c r="K64" s="69" t="n">
        <v>263</v>
      </c>
      <c r="L64" s="69" t="n">
        <v>117</v>
      </c>
      <c r="M64" s="69" t="n">
        <v>161</v>
      </c>
      <c r="N64" s="69" t="n">
        <v>167</v>
      </c>
      <c r="O64" s="69" t="n">
        <v>221</v>
      </c>
      <c r="P64" s="69" t="n">
        <v>178</v>
      </c>
    </row>
    <row r="65" ht="15.75" customHeight="1" s="45">
      <c r="A65" s="61" t="n">
        <v>46058</v>
      </c>
      <c r="B65" s="62" t="inlineStr">
        <is>
          <t>Antes-Projeto</t>
        </is>
      </c>
      <c r="C65" s="70" t="inlineStr">
        <is>
          <t>Percentual de GAEs abertas classificadas</t>
        </is>
      </c>
      <c r="D65" s="71">
        <f>IFERROR(D64/D63,"-")</f>
        <v/>
      </c>
      <c r="E65" s="71">
        <f>IFERROR(E64/E63,"-")</f>
        <v/>
      </c>
      <c r="F65" s="71">
        <f>IFERROR(F64/F63,"-")</f>
        <v/>
      </c>
      <c r="G65" s="71">
        <f>IFERROR(G64/G63,"-")</f>
        <v/>
      </c>
      <c r="H65" s="71">
        <f>IFERROR(H64/H63,"-")</f>
        <v/>
      </c>
      <c r="I65" s="71">
        <f>IFERROR(I64/I63,"-")</f>
        <v/>
      </c>
      <c r="J65" s="71">
        <f>IFERROR(J64/J63,"-")</f>
        <v/>
      </c>
      <c r="K65" s="71">
        <f>IFERROR(K64/K63,"-")</f>
        <v/>
      </c>
      <c r="L65" s="71">
        <f>IFERROR(L64/L63,"-")</f>
        <v/>
      </c>
      <c r="M65" s="71">
        <f>IFERROR(M64/M63,"-")</f>
        <v/>
      </c>
      <c r="N65" s="71">
        <f>IFERROR(N64/N63,"-")</f>
        <v/>
      </c>
      <c r="O65" s="71">
        <f>IFERROR(O64/O63,"-")</f>
        <v/>
      </c>
      <c r="P65" s="71">
        <f>IFERROR(P64/P63,"-")</f>
        <v/>
      </c>
    </row>
    <row r="66" ht="15.75" customHeight="1" s="45">
      <c r="A66" s="61" t="n">
        <v>46058</v>
      </c>
      <c r="B66" s="62" t="inlineStr">
        <is>
          <t>Antes-Projeto</t>
        </is>
      </c>
      <c r="C66" s="72" t="inlineStr">
        <is>
          <t>Tempo Médio — 🟡 Amarelo (hh:mm)</t>
        </is>
      </c>
      <c r="D66" s="73" t="n">
        <v>0.04476851851851852</v>
      </c>
      <c r="E66" s="73" t="n">
        <v>0.02834490740740741</v>
      </c>
      <c r="F66" s="73" t="n">
        <v>0.02613425925925926</v>
      </c>
      <c r="G66" s="73" t="n">
        <v>0.04291666666666667</v>
      </c>
      <c r="H66" s="73" t="n">
        <v>0.08581018518518518</v>
      </c>
      <c r="I66" s="73" t="n">
        <v>0.03951388888888889</v>
      </c>
      <c r="J66" s="73" t="n">
        <v>0.03708333333333334</v>
      </c>
      <c r="K66" s="73" t="n">
        <v>0.0998263888888889</v>
      </c>
      <c r="L66" s="73" t="n">
        <v>0.1264699074074074</v>
      </c>
      <c r="M66" s="73" t="n">
        <v>0.05091435185185185</v>
      </c>
      <c r="N66" s="73" t="n">
        <v>0.08614583333333334</v>
      </c>
      <c r="O66" s="73" t="n">
        <v>0.07241898148148149</v>
      </c>
      <c r="P66" s="73" t="n">
        <v>0.08037037037037037</v>
      </c>
    </row>
    <row r="67" ht="15.75" customHeight="1" s="45">
      <c r="A67" s="61" t="n">
        <v>46058</v>
      </c>
      <c r="B67" s="62" t="inlineStr">
        <is>
          <t>Antes-Projeto</t>
        </is>
      </c>
      <c r="C67" s="74" t="inlineStr">
        <is>
          <t>Tempo Médio — 🟠 Laranja (hh:mm)</t>
        </is>
      </c>
      <c r="D67" s="75" t="n">
        <v>0.155162037037037</v>
      </c>
      <c r="E67" s="75" t="n">
        <v>0.005590277777777777</v>
      </c>
      <c r="F67" s="75" t="n">
        <v>0.008530092592592593</v>
      </c>
      <c r="G67" s="75" t="n">
        <v>0.01037037037037037</v>
      </c>
      <c r="H67" s="75" t="n">
        <v>0.008958333333333334</v>
      </c>
      <c r="I67" s="75" t="n">
        <v>0.009803240740740741</v>
      </c>
      <c r="J67" s="75" t="n">
        <v>0.01219907407407407</v>
      </c>
      <c r="K67" s="75" t="n">
        <v>0.01700231481481481</v>
      </c>
      <c r="L67" s="75" t="n">
        <v>0.02596064814814815</v>
      </c>
      <c r="M67" s="75" t="n">
        <v>0.007372685185185185</v>
      </c>
      <c r="N67" s="75" t="n">
        <v>0.0180787037037037</v>
      </c>
      <c r="O67" s="75" t="n">
        <v>0.01456018518518518</v>
      </c>
      <c r="P67" s="75" t="n">
        <v>0.01359953703703704</v>
      </c>
    </row>
    <row r="68" ht="15.75" customHeight="1" s="45">
      <c r="A68" s="76" t="n">
        <v>46058</v>
      </c>
      <c r="B68" s="77" t="inlineStr">
        <is>
          <t>Antes-Projeto</t>
        </is>
      </c>
      <c r="C68" s="78" t="inlineStr">
        <is>
          <t>Tempo Médio — 🟢 Verde   (hh:mm)</t>
        </is>
      </c>
      <c r="D68" s="79" t="n">
        <v>0.1015972222222222</v>
      </c>
      <c r="E68" s="79" t="n">
        <v>0.08758101851851852</v>
      </c>
      <c r="F68" s="79" t="n">
        <v>0.05520833333333333</v>
      </c>
      <c r="G68" s="79" t="n">
        <v>0.2412731481481482</v>
      </c>
      <c r="H68" s="79" t="n">
        <v>0.1337962962962963</v>
      </c>
      <c r="I68" s="79" t="n">
        <v>0.0791550925925926</v>
      </c>
      <c r="J68" s="79" t="n">
        <v>0.1247916666666667</v>
      </c>
      <c r="K68" s="79" t="n">
        <v>0.06438657407407407</v>
      </c>
      <c r="L68" s="79" t="n">
        <v>0.1766435185185185</v>
      </c>
      <c r="M68" s="79" t="n">
        <v>0.06523148148148149</v>
      </c>
      <c r="N68" s="79" t="n">
        <v>0.1984953703703704</v>
      </c>
      <c r="O68" s="79" t="n">
        <v>0.147962962962963</v>
      </c>
      <c r="P68" s="79" t="n">
        <v>0.137662037037037</v>
      </c>
    </row>
    <row r="69" ht="15.75" customHeight="1" s="45">
      <c r="A69" s="57" t="n">
        <v>46059</v>
      </c>
      <c r="B69" s="58" t="inlineStr">
        <is>
          <t>Antes-Projeto</t>
        </is>
      </c>
      <c r="C69" s="59" t="inlineStr">
        <is>
          <t>Acolhim. + Atend. Urgência + Atend. UPA</t>
        </is>
      </c>
      <c r="D69" s="60">
        <f>SUM(D70:D72)</f>
        <v/>
      </c>
      <c r="E69" s="60">
        <f>SUM(E70:E72)</f>
        <v/>
      </c>
      <c r="F69" s="60">
        <f>SUM(F70:F72)</f>
        <v/>
      </c>
      <c r="G69" s="60">
        <f>SUM(G70:G72)</f>
        <v/>
      </c>
      <c r="H69" s="60">
        <f>SUM(H70:H72)</f>
        <v/>
      </c>
      <c r="I69" s="60">
        <f>SUM(I70:I72)</f>
        <v/>
      </c>
      <c r="J69" s="60">
        <f>SUM(J70:J72)</f>
        <v/>
      </c>
      <c r="K69" s="60">
        <f>SUM(K70:K72)</f>
        <v/>
      </c>
      <c r="L69" s="60">
        <f>SUM(L70:L72)</f>
        <v/>
      </c>
      <c r="M69" s="60">
        <f>SUM(M70:M72)</f>
        <v/>
      </c>
      <c r="N69" s="60">
        <f>SUM(N70:N72)</f>
        <v/>
      </c>
      <c r="O69" s="60">
        <f>SUM(O70:O72)</f>
        <v/>
      </c>
      <c r="P69" s="60">
        <f>SUM(P70:P72)</f>
        <v/>
      </c>
    </row>
    <row r="70" ht="15.75" customHeight="1" s="45">
      <c r="A70" s="61" t="n">
        <v>46059</v>
      </c>
      <c r="B70" s="62" t="inlineStr">
        <is>
          <t>Antes-Projeto</t>
        </is>
      </c>
      <c r="C70" s="65" t="inlineStr">
        <is>
          <t>Acolhimento c/ Classif. de Risco</t>
        </is>
      </c>
      <c r="D70" s="66" t="n">
        <v>195</v>
      </c>
      <c r="E70" s="66" t="n">
        <v>135</v>
      </c>
      <c r="F70" s="66" t="n">
        <v>169</v>
      </c>
      <c r="G70" s="66" t="n">
        <v>83</v>
      </c>
      <c r="H70" s="66" t="n">
        <v>130</v>
      </c>
      <c r="I70" s="66" t="n">
        <v>164</v>
      </c>
      <c r="J70" s="66" t="n">
        <v>65</v>
      </c>
      <c r="K70" s="66" t="n">
        <v>217</v>
      </c>
      <c r="L70" s="66" t="n">
        <v>135</v>
      </c>
      <c r="M70" s="66" t="n">
        <v>172</v>
      </c>
      <c r="N70" s="66" t="n">
        <v>192</v>
      </c>
      <c r="O70" s="66" t="n">
        <v>234</v>
      </c>
      <c r="P70" s="66" t="n">
        <v>160</v>
      </c>
    </row>
    <row r="71" ht="15.75" customHeight="1" s="45">
      <c r="A71" s="61" t="n">
        <v>46059</v>
      </c>
      <c r="B71" s="62" t="inlineStr">
        <is>
          <t>Antes-Projeto</t>
        </is>
      </c>
      <c r="C71" s="63" t="inlineStr">
        <is>
          <t>Atend. Urgência Obs. ≤ 24h</t>
        </is>
      </c>
      <c r="D71" s="64" t="n">
        <v>29</v>
      </c>
      <c r="E71" s="64" t="n">
        <v>33</v>
      </c>
      <c r="F71" s="64" t="n">
        <v>27</v>
      </c>
      <c r="G71" s="64" t="n">
        <v>30</v>
      </c>
      <c r="H71" s="64" t="n">
        <v>53</v>
      </c>
      <c r="I71" s="64" t="n">
        <v>65</v>
      </c>
      <c r="J71" s="64" t="n">
        <v>18</v>
      </c>
      <c r="K71" s="64" t="n">
        <v>84</v>
      </c>
      <c r="L71" s="64" t="n">
        <v>55</v>
      </c>
      <c r="M71" s="64" t="n">
        <v>43</v>
      </c>
      <c r="N71" s="64" t="n">
        <v>76</v>
      </c>
      <c r="O71" s="64" t="n">
        <v>10</v>
      </c>
      <c r="P71" s="64" t="n">
        <v>32</v>
      </c>
    </row>
    <row r="72" ht="15.75" customHeight="1" s="45">
      <c r="A72" s="61" t="n">
        <v>46059</v>
      </c>
      <c r="B72" s="62" t="inlineStr">
        <is>
          <t>Antes-Projeto</t>
        </is>
      </c>
      <c r="C72" s="65" t="inlineStr">
        <is>
          <t>Atend. Médico em UPA</t>
        </is>
      </c>
      <c r="D72" s="66" t="n">
        <v>174</v>
      </c>
      <c r="E72" s="66" t="n">
        <v>89</v>
      </c>
      <c r="F72" s="66" t="n">
        <v>88</v>
      </c>
      <c r="G72" s="66" t="n">
        <v>52</v>
      </c>
      <c r="H72" s="66" t="n">
        <v>78</v>
      </c>
      <c r="I72" s="66" t="n">
        <v>131</v>
      </c>
      <c r="J72" s="66" t="n">
        <v>25</v>
      </c>
      <c r="K72" s="66" t="n">
        <v>131</v>
      </c>
      <c r="L72" s="66" t="n">
        <v>107</v>
      </c>
      <c r="M72" s="66" t="n">
        <v>58</v>
      </c>
      <c r="N72" s="66" t="n">
        <v>182</v>
      </c>
      <c r="O72" s="66" t="n">
        <v>177</v>
      </c>
      <c r="P72" s="66" t="n">
        <v>90</v>
      </c>
    </row>
    <row r="73" ht="15.75" customHeight="1" s="45">
      <c r="A73" s="61" t="n">
        <v>46059</v>
      </c>
      <c r="B73" s="62" t="inlineStr">
        <is>
          <t>Antes-Projeto</t>
        </is>
      </c>
      <c r="C73" s="63" t="inlineStr">
        <is>
          <t>Exames Laboratoriais</t>
        </is>
      </c>
      <c r="D73" s="64" t="n">
        <v>727</v>
      </c>
      <c r="E73" s="64" t="n">
        <v>392</v>
      </c>
      <c r="F73" s="64" t="n">
        <v>211</v>
      </c>
      <c r="G73" s="64" t="n">
        <v>162</v>
      </c>
      <c r="H73" s="64" t="n">
        <v>469</v>
      </c>
      <c r="I73" s="64" t="n">
        <v>411</v>
      </c>
      <c r="J73" s="64" t="n">
        <v>109</v>
      </c>
      <c r="K73" s="64" t="n">
        <v>644</v>
      </c>
      <c r="L73" s="64" t="n">
        <v>364</v>
      </c>
      <c r="M73" s="64" t="n">
        <v>500</v>
      </c>
      <c r="N73" s="64" t="n">
        <v>779</v>
      </c>
      <c r="O73" s="64" t="n">
        <v>357</v>
      </c>
      <c r="P73" s="64" t="n">
        <v>466</v>
      </c>
    </row>
    <row r="74" ht="15.75" customHeight="1" s="45">
      <c r="A74" s="61" t="n">
        <v>46059</v>
      </c>
      <c r="B74" s="62" t="inlineStr">
        <is>
          <t>Antes-Projeto</t>
        </is>
      </c>
      <c r="C74" s="65" t="inlineStr">
        <is>
          <t>Radiografias</t>
        </is>
      </c>
      <c r="D74" s="66" t="n">
        <v>33</v>
      </c>
      <c r="E74" s="67" t="n">
        <v>0</v>
      </c>
      <c r="F74" s="66" t="n">
        <v>23</v>
      </c>
      <c r="G74" s="66" t="n">
        <v>20</v>
      </c>
      <c r="H74" s="66" t="n">
        <v>14</v>
      </c>
      <c r="I74" s="66" t="n">
        <v>22</v>
      </c>
      <c r="J74" s="66" t="n">
        <v>5</v>
      </c>
      <c r="K74" s="67" t="n">
        <v>0</v>
      </c>
      <c r="L74" s="66" t="n">
        <v>23</v>
      </c>
      <c r="M74" s="66" t="n">
        <v>21</v>
      </c>
      <c r="N74" s="66" t="n">
        <v>46</v>
      </c>
      <c r="O74" s="66" t="n">
        <v>27</v>
      </c>
      <c r="P74" s="66" t="n">
        <v>31</v>
      </c>
    </row>
    <row r="75" ht="15.75" customHeight="1" s="45">
      <c r="A75" s="61" t="n">
        <v>46059</v>
      </c>
      <c r="B75" s="62" t="inlineStr">
        <is>
          <t>Antes-Projeto</t>
        </is>
      </c>
      <c r="C75" s="63" t="inlineStr">
        <is>
          <t>Eletrocardiogramas</t>
        </is>
      </c>
      <c r="D75" s="64" t="n">
        <v>22</v>
      </c>
      <c r="E75" s="64" t="n">
        <v>13</v>
      </c>
      <c r="F75" s="64" t="n">
        <v>15</v>
      </c>
      <c r="G75" s="64" t="n">
        <v>9</v>
      </c>
      <c r="H75" s="64" t="n">
        <v>9</v>
      </c>
      <c r="I75" s="64" t="n">
        <v>15</v>
      </c>
      <c r="J75" s="64" t="n">
        <v>2</v>
      </c>
      <c r="K75" s="64" t="n">
        <v>18</v>
      </c>
      <c r="L75" s="64" t="n">
        <v>17</v>
      </c>
      <c r="M75" s="64" t="n">
        <v>10</v>
      </c>
      <c r="N75" s="64" t="n">
        <v>23</v>
      </c>
      <c r="O75" s="64" t="n">
        <v>14</v>
      </c>
      <c r="P75" s="64" t="n">
        <v>11</v>
      </c>
    </row>
    <row r="76" ht="15.75" customHeight="1" s="45">
      <c r="A76" s="61" t="n">
        <v>46059</v>
      </c>
      <c r="B76" s="62" t="inlineStr">
        <is>
          <t>Antes-Projeto</t>
        </is>
      </c>
      <c r="C76" s="68" t="inlineStr">
        <is>
          <t>GAEs Abertas</t>
        </is>
      </c>
      <c r="D76" s="69" t="n">
        <v>201</v>
      </c>
      <c r="E76" s="69" t="n">
        <v>141</v>
      </c>
      <c r="F76" s="69" t="n">
        <v>174</v>
      </c>
      <c r="G76" s="69" t="n">
        <v>92</v>
      </c>
      <c r="H76" s="69" t="n">
        <v>124</v>
      </c>
      <c r="I76" s="69" t="n">
        <v>175</v>
      </c>
      <c r="J76" s="69" t="n">
        <v>73</v>
      </c>
      <c r="K76" s="69" t="n">
        <v>264</v>
      </c>
      <c r="L76" s="69" t="n">
        <v>140</v>
      </c>
      <c r="M76" s="69" t="n">
        <v>192</v>
      </c>
      <c r="N76" s="69" t="n">
        <v>184</v>
      </c>
      <c r="O76" s="69" t="n">
        <v>246</v>
      </c>
      <c r="P76" s="69" t="n">
        <v>188</v>
      </c>
    </row>
    <row r="77" ht="15.75" customHeight="1" s="45">
      <c r="A77" s="61" t="n">
        <v>46059</v>
      </c>
      <c r="B77" s="62" t="inlineStr">
        <is>
          <t>Antes-Projeto</t>
        </is>
      </c>
      <c r="C77" s="68" t="inlineStr">
        <is>
          <t>GAEs Classificadas</t>
        </is>
      </c>
      <c r="D77" s="69" t="n">
        <v>194</v>
      </c>
      <c r="E77" s="69" t="n">
        <v>136</v>
      </c>
      <c r="F77" s="69" t="n">
        <v>165</v>
      </c>
      <c r="G77" s="69" t="n">
        <v>87</v>
      </c>
      <c r="H77" s="69" t="n">
        <v>121</v>
      </c>
      <c r="I77" s="69" t="n">
        <v>166</v>
      </c>
      <c r="J77" s="69" t="n">
        <v>71</v>
      </c>
      <c r="K77" s="69" t="n">
        <v>250</v>
      </c>
      <c r="L77" s="69" t="n">
        <v>138</v>
      </c>
      <c r="M77" s="69" t="n">
        <v>189</v>
      </c>
      <c r="N77" s="69" t="n">
        <v>165</v>
      </c>
      <c r="O77" s="69" t="n">
        <v>223</v>
      </c>
      <c r="P77" s="69" t="n">
        <v>174</v>
      </c>
    </row>
    <row r="78" ht="15.75" customHeight="1" s="45">
      <c r="A78" s="61" t="n">
        <v>46059</v>
      </c>
      <c r="B78" s="62" t="inlineStr">
        <is>
          <t>Antes-Projeto</t>
        </is>
      </c>
      <c r="C78" s="70" t="inlineStr">
        <is>
          <t>Percentual de GAEs abertas classificadas</t>
        </is>
      </c>
      <c r="D78" s="71">
        <f>IFERROR(D77/D76,"-")</f>
        <v/>
      </c>
      <c r="E78" s="71">
        <f>IFERROR(E77/E76,"-")</f>
        <v/>
      </c>
      <c r="F78" s="71">
        <f>IFERROR(F77/F76,"-")</f>
        <v/>
      </c>
      <c r="G78" s="71">
        <f>IFERROR(G77/G76,"-")</f>
        <v/>
      </c>
      <c r="H78" s="71">
        <f>IFERROR(H77/H76,"-")</f>
        <v/>
      </c>
      <c r="I78" s="71">
        <f>IFERROR(I77/I76,"-")</f>
        <v/>
      </c>
      <c r="J78" s="71">
        <f>IFERROR(J77/J76,"-")</f>
        <v/>
      </c>
      <c r="K78" s="71">
        <f>IFERROR(K77/K76,"-")</f>
        <v/>
      </c>
      <c r="L78" s="71">
        <f>IFERROR(L77/L76,"-")</f>
        <v/>
      </c>
      <c r="M78" s="71">
        <f>IFERROR(M77/M76,"-")</f>
        <v/>
      </c>
      <c r="N78" s="71">
        <f>IFERROR(N77/N76,"-")</f>
        <v/>
      </c>
      <c r="O78" s="71">
        <f>IFERROR(O77/O76,"-")</f>
        <v/>
      </c>
      <c r="P78" s="71">
        <f>IFERROR(P77/P76,"-")</f>
        <v/>
      </c>
    </row>
    <row r="79" ht="15.75" customHeight="1" s="45">
      <c r="A79" s="61" t="n">
        <v>46059</v>
      </c>
      <c r="B79" s="62" t="inlineStr">
        <is>
          <t>Antes-Projeto</t>
        </is>
      </c>
      <c r="C79" s="72" t="inlineStr">
        <is>
          <t>Tempo Médio — 🟡 Amarelo (hh:mm)</t>
        </is>
      </c>
      <c r="D79" s="73" t="n">
        <v>0.03638888888888889</v>
      </c>
      <c r="E79" s="73" t="n">
        <v>0.09944444444444445</v>
      </c>
      <c r="F79" s="73" t="n">
        <v>0.07569444444444444</v>
      </c>
      <c r="G79" s="73" t="n">
        <v>0.02181712962962963</v>
      </c>
      <c r="H79" s="73" t="n">
        <v>0.2228472222222222</v>
      </c>
      <c r="I79" s="73" t="n">
        <v>0.03449074074074074</v>
      </c>
      <c r="J79" s="73" t="n">
        <v>0.1449652777777778</v>
      </c>
      <c r="K79" s="73" t="n">
        <v>0.0478587962962963</v>
      </c>
      <c r="L79" s="73" t="n">
        <v>0.1213541666666667</v>
      </c>
      <c r="M79" s="73" t="n">
        <v>0.04228009259259259</v>
      </c>
      <c r="N79" s="73" t="n">
        <v>0.1171759259259259</v>
      </c>
      <c r="O79" s="73" t="n">
        <v>0.04828703703703704</v>
      </c>
      <c r="P79" s="73" t="n">
        <v>0.1060069444444444</v>
      </c>
    </row>
    <row r="80" ht="15.75" customHeight="1" s="45">
      <c r="A80" s="61" t="n">
        <v>46059</v>
      </c>
      <c r="B80" s="62" t="inlineStr">
        <is>
          <t>Antes-Projeto</t>
        </is>
      </c>
      <c r="C80" s="74" t="inlineStr">
        <is>
          <t>Tempo Médio — 🟠 Laranja (hh:mm)</t>
        </is>
      </c>
      <c r="D80" s="75" t="n">
        <v>0.006493055555555556</v>
      </c>
      <c r="E80" s="75" t="n">
        <v>0.01378472222222222</v>
      </c>
      <c r="F80" s="75" t="n">
        <v>0.01304398148148148</v>
      </c>
      <c r="G80" s="75" t="n">
        <v>0.01716435185185185</v>
      </c>
      <c r="H80" s="75" t="n">
        <v>0.007916666666666667</v>
      </c>
      <c r="I80" s="75" t="n">
        <v>0.01260416666666667</v>
      </c>
      <c r="J80" s="75" t="n">
        <v>0.02707175925925926</v>
      </c>
      <c r="K80" s="75" t="n">
        <v>0.02456018518518518</v>
      </c>
      <c r="L80" s="75" t="n">
        <v>0.01856481481481482</v>
      </c>
      <c r="M80" s="75" t="n">
        <v>0.009918981481481482</v>
      </c>
      <c r="N80" s="75" t="n">
        <v>0.02233796296296296</v>
      </c>
      <c r="O80" s="75" t="n">
        <v>0.01163194444444444</v>
      </c>
      <c r="P80" s="75" t="n">
        <v>0.02362268518518518</v>
      </c>
    </row>
    <row r="81" ht="15.75" customHeight="1" s="45">
      <c r="A81" s="76" t="n">
        <v>46059</v>
      </c>
      <c r="B81" s="77" t="inlineStr">
        <is>
          <t>Antes-Projeto</t>
        </is>
      </c>
      <c r="C81" s="78" t="inlineStr">
        <is>
          <t>Tempo Médio — 🟢 Verde   (hh:mm)</t>
        </is>
      </c>
      <c r="D81" s="79" t="n">
        <v>0.08331018518518518</v>
      </c>
      <c r="E81" s="79" t="n">
        <v>0.1576967592592593</v>
      </c>
      <c r="F81" s="79" t="n">
        <v>0.1411226851851852</v>
      </c>
      <c r="G81" s="79" t="n">
        <v>0.04959490740740741</v>
      </c>
      <c r="H81" s="79" t="n">
        <v>0.06375</v>
      </c>
      <c r="I81" s="79" t="n">
        <v>0.09550925925925927</v>
      </c>
      <c r="J81" s="79" t="n">
        <v>0.3354976851851852</v>
      </c>
      <c r="K81" s="79" t="n">
        <v>0.0512962962962963</v>
      </c>
      <c r="L81" s="79" t="n">
        <v>0.09369212962962963</v>
      </c>
      <c r="M81" s="79" t="n">
        <v>0.1096527777777778</v>
      </c>
      <c r="N81" s="79" t="n">
        <v>0.100625</v>
      </c>
      <c r="O81" s="79" t="n">
        <v>0.05584490740740741</v>
      </c>
      <c r="P81" s="79" t="n">
        <v>0.04844907407407407</v>
      </c>
    </row>
    <row r="82" ht="15.75" customHeight="1" s="45">
      <c r="A82" s="57" t="n">
        <v>46060</v>
      </c>
      <c r="B82" s="58" t="inlineStr">
        <is>
          <t>Antes-Projeto</t>
        </is>
      </c>
      <c r="C82" s="59" t="inlineStr">
        <is>
          <t>Acolhim. + Atend. Urgência + Atend. UPA</t>
        </is>
      </c>
      <c r="D82" s="60">
        <f>SUM(D83:D85)</f>
        <v/>
      </c>
      <c r="E82" s="60">
        <f>SUM(E83:E85)</f>
        <v/>
      </c>
      <c r="F82" s="60">
        <f>SUM(F83:F85)</f>
        <v/>
      </c>
      <c r="G82" s="60">
        <f>SUM(G83:G85)</f>
        <v/>
      </c>
      <c r="H82" s="60">
        <f>SUM(H83:H85)</f>
        <v/>
      </c>
      <c r="I82" s="60">
        <f>SUM(I83:I85)</f>
        <v/>
      </c>
      <c r="J82" s="60">
        <f>SUM(J83:J85)</f>
        <v/>
      </c>
      <c r="K82" s="60">
        <f>SUM(K83:K85)</f>
        <v/>
      </c>
      <c r="L82" s="60">
        <f>SUM(L83:L85)</f>
        <v/>
      </c>
      <c r="M82" s="60">
        <f>SUM(M83:M85)</f>
        <v/>
      </c>
      <c r="N82" s="60">
        <f>SUM(N83:N85)</f>
        <v/>
      </c>
      <c r="O82" s="60">
        <f>SUM(O83:O85)</f>
        <v/>
      </c>
      <c r="P82" s="60">
        <f>SUM(P83:P85)</f>
        <v/>
      </c>
    </row>
    <row r="83" ht="15.75" customHeight="1" s="45">
      <c r="A83" s="61" t="n">
        <v>46060</v>
      </c>
      <c r="B83" s="62" t="inlineStr">
        <is>
          <t>Antes-Projeto</t>
        </is>
      </c>
      <c r="C83" s="63" t="inlineStr">
        <is>
          <t>Acolhimento c/ Classif. de Risco</t>
        </is>
      </c>
      <c r="D83" s="64" t="n">
        <v>136</v>
      </c>
      <c r="E83" s="64" t="n">
        <v>129</v>
      </c>
      <c r="F83" s="64" t="n">
        <v>123</v>
      </c>
      <c r="G83" s="64" t="n">
        <v>88</v>
      </c>
      <c r="H83" s="64" t="n">
        <v>97</v>
      </c>
      <c r="I83" s="64" t="n">
        <v>143</v>
      </c>
      <c r="J83" s="64" t="n">
        <v>56</v>
      </c>
      <c r="K83" s="64" t="n">
        <v>232</v>
      </c>
      <c r="L83" s="64" t="n">
        <v>86</v>
      </c>
      <c r="M83" s="64" t="n">
        <v>163</v>
      </c>
      <c r="N83" s="64" t="n">
        <v>171</v>
      </c>
      <c r="O83" s="64" t="n">
        <v>200</v>
      </c>
      <c r="P83" s="64" t="n">
        <v>165</v>
      </c>
    </row>
    <row r="84" ht="15.75" customHeight="1" s="45">
      <c r="A84" s="61" t="n">
        <v>46060</v>
      </c>
      <c r="B84" s="62" t="inlineStr">
        <is>
          <t>Antes-Projeto</t>
        </is>
      </c>
      <c r="C84" s="65" t="inlineStr">
        <is>
          <t>Atend. Urgência Obs. ≤ 24h</t>
        </is>
      </c>
      <c r="D84" s="66" t="n">
        <v>34</v>
      </c>
      <c r="E84" s="66" t="n">
        <v>39</v>
      </c>
      <c r="F84" s="66" t="n">
        <v>21</v>
      </c>
      <c r="G84" s="66" t="n">
        <v>14</v>
      </c>
      <c r="H84" s="66" t="n">
        <v>21</v>
      </c>
      <c r="I84" s="66" t="n">
        <v>43</v>
      </c>
      <c r="J84" s="66" t="n">
        <v>6</v>
      </c>
      <c r="K84" s="66" t="n">
        <v>78</v>
      </c>
      <c r="L84" s="66" t="n">
        <v>58</v>
      </c>
      <c r="M84" s="66" t="n">
        <v>30</v>
      </c>
      <c r="N84" s="66" t="n">
        <v>31</v>
      </c>
      <c r="O84" s="66" t="n">
        <v>8</v>
      </c>
      <c r="P84" s="66" t="n">
        <v>17</v>
      </c>
    </row>
    <row r="85" ht="15.75" customHeight="1" s="45">
      <c r="A85" s="61" t="n">
        <v>46060</v>
      </c>
      <c r="B85" s="62" t="inlineStr">
        <is>
          <t>Antes-Projeto</t>
        </is>
      </c>
      <c r="C85" s="63" t="inlineStr">
        <is>
          <t>Atend. Médico em UPA</t>
        </is>
      </c>
      <c r="D85" s="64" t="n">
        <v>55</v>
      </c>
      <c r="E85" s="64" t="n">
        <v>53</v>
      </c>
      <c r="F85" s="64" t="n">
        <v>85</v>
      </c>
      <c r="G85" s="64" t="n">
        <v>68</v>
      </c>
      <c r="H85" s="64" t="n">
        <v>63</v>
      </c>
      <c r="I85" s="64" t="n">
        <v>133</v>
      </c>
      <c r="J85" s="64" t="n">
        <v>16</v>
      </c>
      <c r="K85" s="64" t="n">
        <v>181</v>
      </c>
      <c r="L85" s="64" t="n">
        <v>67</v>
      </c>
      <c r="M85" s="64" t="n">
        <v>118</v>
      </c>
      <c r="N85" s="64" t="n">
        <v>179</v>
      </c>
      <c r="O85" s="64" t="n">
        <v>155</v>
      </c>
      <c r="P85" s="64" t="n">
        <v>129</v>
      </c>
    </row>
    <row r="86" ht="15.75" customHeight="1" s="45">
      <c r="A86" s="61" t="n">
        <v>46060</v>
      </c>
      <c r="B86" s="62" t="inlineStr">
        <is>
          <t>Antes-Projeto</t>
        </is>
      </c>
      <c r="C86" s="65" t="inlineStr">
        <is>
          <t>Exames Laboratoriais</t>
        </is>
      </c>
      <c r="D86" s="66" t="n">
        <v>498</v>
      </c>
      <c r="E86" s="66" t="n">
        <v>284</v>
      </c>
      <c r="F86" s="66" t="n">
        <v>303</v>
      </c>
      <c r="G86" s="66" t="n">
        <v>229</v>
      </c>
      <c r="H86" s="66" t="n">
        <v>331</v>
      </c>
      <c r="I86" s="66" t="n">
        <v>361</v>
      </c>
      <c r="J86" s="66" t="n">
        <v>123</v>
      </c>
      <c r="K86" s="66" t="n">
        <v>806</v>
      </c>
      <c r="L86" s="66" t="n">
        <v>428</v>
      </c>
      <c r="M86" s="66" t="n">
        <v>579</v>
      </c>
      <c r="N86" s="66" t="n">
        <v>726</v>
      </c>
      <c r="O86" s="66" t="n">
        <v>301</v>
      </c>
      <c r="P86" s="66" t="n">
        <v>588</v>
      </c>
    </row>
    <row r="87" ht="15.75" customHeight="1" s="45">
      <c r="A87" s="61" t="n">
        <v>46060</v>
      </c>
      <c r="B87" s="62" t="inlineStr">
        <is>
          <t>Antes-Projeto</t>
        </is>
      </c>
      <c r="C87" s="63" t="inlineStr">
        <is>
          <t>Radiografias</t>
        </is>
      </c>
      <c r="D87" s="64" t="n">
        <v>10</v>
      </c>
      <c r="E87" s="67" t="n">
        <v>0</v>
      </c>
      <c r="F87" s="64" t="n">
        <v>20</v>
      </c>
      <c r="G87" s="64" t="n">
        <v>13</v>
      </c>
      <c r="H87" s="64" t="n">
        <v>10</v>
      </c>
      <c r="I87" s="64" t="n">
        <v>31</v>
      </c>
      <c r="J87" s="64" t="n">
        <v>14</v>
      </c>
      <c r="K87" s="64" t="n">
        <v>1</v>
      </c>
      <c r="L87" s="64" t="n">
        <v>15</v>
      </c>
      <c r="M87" s="64" t="n">
        <v>39</v>
      </c>
      <c r="N87" s="64" t="n">
        <v>42</v>
      </c>
      <c r="O87" s="64" t="n">
        <v>40</v>
      </c>
      <c r="P87" s="64" t="n">
        <v>36</v>
      </c>
    </row>
    <row r="88" ht="15.75" customHeight="1" s="45">
      <c r="A88" s="61" t="n">
        <v>46060</v>
      </c>
      <c r="B88" s="62" t="inlineStr">
        <is>
          <t>Antes-Projeto</t>
        </is>
      </c>
      <c r="C88" s="65" t="inlineStr">
        <is>
          <t>Eletrocardiogramas</t>
        </is>
      </c>
      <c r="D88" s="66" t="n">
        <v>7</v>
      </c>
      <c r="E88" s="66" t="n">
        <v>1</v>
      </c>
      <c r="F88" s="66" t="n">
        <v>22</v>
      </c>
      <c r="G88" s="66" t="n">
        <v>11</v>
      </c>
      <c r="H88" s="66" t="n">
        <v>15</v>
      </c>
      <c r="I88" s="66" t="n">
        <v>16</v>
      </c>
      <c r="J88" s="66" t="n">
        <v>5</v>
      </c>
      <c r="K88" s="66" t="n">
        <v>26</v>
      </c>
      <c r="L88" s="66" t="n">
        <v>12</v>
      </c>
      <c r="M88" s="66" t="n">
        <v>13</v>
      </c>
      <c r="N88" s="66" t="n">
        <v>16</v>
      </c>
      <c r="O88" s="66" t="n">
        <v>9</v>
      </c>
      <c r="P88" s="66" t="n">
        <v>16</v>
      </c>
    </row>
    <row r="89" ht="15.75" customHeight="1" s="45">
      <c r="A89" s="61" t="n">
        <v>46060</v>
      </c>
      <c r="B89" s="62" t="inlineStr">
        <is>
          <t>Antes-Projeto</t>
        </is>
      </c>
      <c r="C89" s="68" t="inlineStr">
        <is>
          <t>GAEs Abertas</t>
        </is>
      </c>
      <c r="D89" s="69" t="n">
        <v>151</v>
      </c>
      <c r="E89" s="69" t="n">
        <v>135</v>
      </c>
      <c r="F89" s="69" t="n">
        <v>135</v>
      </c>
      <c r="G89" s="69" t="n">
        <v>96</v>
      </c>
      <c r="H89" s="69" t="n">
        <v>104</v>
      </c>
      <c r="I89" s="69" t="n">
        <v>158</v>
      </c>
      <c r="J89" s="69" t="n">
        <v>63</v>
      </c>
      <c r="K89" s="69" t="n">
        <v>268</v>
      </c>
      <c r="L89" s="69" t="n">
        <v>92</v>
      </c>
      <c r="M89" s="69" t="n">
        <v>180</v>
      </c>
      <c r="N89" s="69" t="n">
        <v>171</v>
      </c>
      <c r="O89" s="69" t="n">
        <v>228</v>
      </c>
      <c r="P89" s="69" t="n">
        <v>172</v>
      </c>
    </row>
    <row r="90" ht="15.75" customHeight="1" s="45">
      <c r="A90" s="61" t="n">
        <v>46060</v>
      </c>
      <c r="B90" s="62" t="inlineStr">
        <is>
          <t>Antes-Projeto</t>
        </is>
      </c>
      <c r="C90" s="68" t="inlineStr">
        <is>
          <t>GAEs Classificadas</t>
        </is>
      </c>
      <c r="D90" s="69" t="n">
        <v>138</v>
      </c>
      <c r="E90" s="69" t="n">
        <v>126</v>
      </c>
      <c r="F90" s="69" t="n">
        <v>125</v>
      </c>
      <c r="G90" s="69" t="n">
        <v>92</v>
      </c>
      <c r="H90" s="69" t="n">
        <v>97</v>
      </c>
      <c r="I90" s="69" t="n">
        <v>148</v>
      </c>
      <c r="J90" s="69" t="n">
        <v>62</v>
      </c>
      <c r="K90" s="69" t="n">
        <v>248</v>
      </c>
      <c r="L90" s="69" t="n">
        <v>88</v>
      </c>
      <c r="M90" s="69" t="n">
        <v>169</v>
      </c>
      <c r="N90" s="69" t="n">
        <v>155</v>
      </c>
      <c r="O90" s="69" t="n">
        <v>209</v>
      </c>
      <c r="P90" s="69" t="n">
        <v>169</v>
      </c>
    </row>
    <row r="91" ht="15.75" customHeight="1" s="45">
      <c r="A91" s="61" t="n">
        <v>46060</v>
      </c>
      <c r="B91" s="62" t="inlineStr">
        <is>
          <t>Antes-Projeto</t>
        </is>
      </c>
      <c r="C91" s="70" t="inlineStr">
        <is>
          <t>Percentual de GAEs abertas classificadas</t>
        </is>
      </c>
      <c r="D91" s="71">
        <f>IFERROR(D90/D89,"-")</f>
        <v/>
      </c>
      <c r="E91" s="71">
        <f>IFERROR(E90/E89,"-")</f>
        <v/>
      </c>
      <c r="F91" s="71">
        <f>IFERROR(F90/F89,"-")</f>
        <v/>
      </c>
      <c r="G91" s="71">
        <f>IFERROR(G90/G89,"-")</f>
        <v/>
      </c>
      <c r="H91" s="71">
        <f>IFERROR(H90/H89,"-")</f>
        <v/>
      </c>
      <c r="I91" s="71">
        <f>IFERROR(I90/I89,"-")</f>
        <v/>
      </c>
      <c r="J91" s="71">
        <f>IFERROR(J90/J89,"-")</f>
        <v/>
      </c>
      <c r="K91" s="71">
        <f>IFERROR(K90/K89,"-")</f>
        <v/>
      </c>
      <c r="L91" s="71">
        <f>IFERROR(L90/L89,"-")</f>
        <v/>
      </c>
      <c r="M91" s="71">
        <f>IFERROR(M90/M89,"-")</f>
        <v/>
      </c>
      <c r="N91" s="71">
        <f>IFERROR(N90/N89,"-")</f>
        <v/>
      </c>
      <c r="O91" s="71">
        <f>IFERROR(O90/O89,"-")</f>
        <v/>
      </c>
      <c r="P91" s="71">
        <f>IFERROR(P90/P89,"-")</f>
        <v/>
      </c>
    </row>
    <row r="92" ht="15.75" customHeight="1" s="45">
      <c r="A92" s="61" t="n">
        <v>46060</v>
      </c>
      <c r="B92" s="62" t="inlineStr">
        <is>
          <t>Antes-Projeto</t>
        </is>
      </c>
      <c r="C92" s="72" t="inlineStr">
        <is>
          <t>Tempo Médio — 🟡 Amarelo (hh:mm)</t>
        </is>
      </c>
      <c r="D92" s="73" t="n">
        <v>0.07337962962962963</v>
      </c>
      <c r="E92" s="73" t="n">
        <v>0.07642361111111111</v>
      </c>
      <c r="F92" s="73" t="n">
        <v>0.06071759259259259</v>
      </c>
      <c r="G92" s="73" t="n">
        <v>0.04716435185185185</v>
      </c>
      <c r="H92" s="73" t="n">
        <v>0.1025925925925926</v>
      </c>
      <c r="I92" s="73" t="n">
        <v>0.03806712962962963</v>
      </c>
      <c r="J92" s="73" t="n">
        <v>0.1333564814814815</v>
      </c>
      <c r="K92" s="73" t="n">
        <v>0.07945601851851852</v>
      </c>
      <c r="L92" s="73" t="n">
        <v>0.06318287037037038</v>
      </c>
      <c r="M92" s="73" t="n">
        <v>0.03096064814814815</v>
      </c>
      <c r="N92" s="73" t="n">
        <v>0.03378472222222222</v>
      </c>
      <c r="O92" s="73" t="n">
        <v>0.07721064814814815</v>
      </c>
      <c r="P92" s="73" t="n">
        <v>0.03935185185185185</v>
      </c>
    </row>
    <row r="93" ht="15.75" customHeight="1" s="45">
      <c r="A93" s="61" t="n">
        <v>46060</v>
      </c>
      <c r="B93" s="62" t="inlineStr">
        <is>
          <t>Antes-Projeto</t>
        </is>
      </c>
      <c r="C93" s="74" t="inlineStr">
        <is>
          <t>Tempo Médio — 🟠 Laranja (hh:mm)</t>
        </is>
      </c>
      <c r="D93" s="75" t="n">
        <v>0.01140046296296296</v>
      </c>
      <c r="E93" s="75" t="n">
        <v>0.01451388888888889</v>
      </c>
      <c r="F93" s="75" t="n">
        <v>0.009513888888888889</v>
      </c>
      <c r="G93" s="75" t="n">
        <v>0.005324074074074074</v>
      </c>
      <c r="H93" s="75" t="n">
        <v>0.008159722222222223</v>
      </c>
      <c r="I93" s="75" t="n">
        <v>0.005972222222222223</v>
      </c>
      <c r="J93" s="75" t="n">
        <v>0.015</v>
      </c>
      <c r="K93" s="75" t="n">
        <v>0.01458333333333333</v>
      </c>
      <c r="L93" s="75" t="n">
        <v>0.01527777777777778</v>
      </c>
      <c r="M93" s="75" t="n">
        <v>0.006215277777777778</v>
      </c>
      <c r="N93" s="75" t="n">
        <v>0.01108796296296296</v>
      </c>
      <c r="O93" s="75" t="n">
        <v>0.01261574074074074</v>
      </c>
      <c r="P93" s="75" t="n">
        <v>0.005972222222222223</v>
      </c>
    </row>
    <row r="94" ht="15.75" customHeight="1" s="45">
      <c r="A94" s="76" t="n">
        <v>46060</v>
      </c>
      <c r="B94" s="77" t="inlineStr">
        <is>
          <t>Antes-Projeto</t>
        </is>
      </c>
      <c r="C94" s="78" t="inlineStr">
        <is>
          <t>Tempo Médio — 🟢 Verde   (hh:mm)</t>
        </is>
      </c>
      <c r="D94" s="79" t="n">
        <v>0.08465277777777777</v>
      </c>
      <c r="E94" s="79" t="n">
        <v>0.1562731481481482</v>
      </c>
      <c r="F94" s="79" t="n">
        <v>0.1167592592592593</v>
      </c>
      <c r="G94" s="79" t="n">
        <v>0.1592013888888889</v>
      </c>
      <c r="H94" s="79" t="n">
        <v>0.1666666666666667</v>
      </c>
      <c r="I94" s="79" t="n">
        <v>0.1499652777777778</v>
      </c>
      <c r="J94" s="79" t="n">
        <v>0.1475115740740741</v>
      </c>
      <c r="K94" s="79" t="n">
        <v>0.1500231481481482</v>
      </c>
      <c r="L94" s="79" t="n">
        <v>0.1480555555555556</v>
      </c>
      <c r="M94" s="79" t="n">
        <v>0.05589120370370371</v>
      </c>
      <c r="N94" s="79" t="n">
        <v>0.1258217592592593</v>
      </c>
      <c r="O94" s="79" t="n">
        <v>0.1546527777777778</v>
      </c>
      <c r="P94" s="79" t="n">
        <v>0.04232638888888889</v>
      </c>
    </row>
    <row r="95" ht="15.75" customHeight="1" s="45">
      <c r="A95" s="57" t="n">
        <v>46061</v>
      </c>
      <c r="B95" s="58" t="inlineStr">
        <is>
          <t>Antes-Projeto</t>
        </is>
      </c>
      <c r="C95" s="59" t="inlineStr">
        <is>
          <t>Acolhim. + Atend. Urgência + Atend. UPA</t>
        </is>
      </c>
      <c r="D95" s="60">
        <f>SUM(D96:D98)</f>
        <v/>
      </c>
      <c r="E95" s="60">
        <f>SUM(E96:E98)</f>
        <v/>
      </c>
      <c r="F95" s="60">
        <f>SUM(F96:F98)</f>
        <v/>
      </c>
      <c r="G95" s="60">
        <f>SUM(G96:G98)</f>
        <v/>
      </c>
      <c r="H95" s="60">
        <f>SUM(H96:H98)</f>
        <v/>
      </c>
      <c r="I95" s="60">
        <f>SUM(I96:I98)</f>
        <v/>
      </c>
      <c r="J95" s="60">
        <f>SUM(J96:J98)</f>
        <v/>
      </c>
      <c r="K95" s="60">
        <f>SUM(K96:K98)</f>
        <v/>
      </c>
      <c r="L95" s="60">
        <f>SUM(L96:L98)</f>
        <v/>
      </c>
      <c r="M95" s="60">
        <f>SUM(M96:M98)</f>
        <v/>
      </c>
      <c r="N95" s="60">
        <f>SUM(N96:N98)</f>
        <v/>
      </c>
      <c r="O95" s="60">
        <f>SUM(O96:O98)</f>
        <v/>
      </c>
      <c r="P95" s="60">
        <f>SUM(P96:P98)</f>
        <v/>
      </c>
    </row>
    <row r="96" ht="15.75" customHeight="1" s="45">
      <c r="A96" s="61" t="n">
        <v>46061</v>
      </c>
      <c r="B96" s="62" t="inlineStr">
        <is>
          <t>Antes-Projeto</t>
        </is>
      </c>
      <c r="C96" s="65" t="inlineStr">
        <is>
          <t>Acolhimento c/ Classif. de Risco</t>
        </is>
      </c>
      <c r="D96" s="66" t="n">
        <v>162</v>
      </c>
      <c r="E96" s="66" t="n">
        <v>109</v>
      </c>
      <c r="F96" s="66" t="n">
        <v>119</v>
      </c>
      <c r="G96" s="66" t="n">
        <v>85</v>
      </c>
      <c r="H96" s="66" t="n">
        <v>94</v>
      </c>
      <c r="I96" s="66" t="n">
        <v>145</v>
      </c>
      <c r="J96" s="66" t="n">
        <v>58</v>
      </c>
      <c r="K96" s="66" t="n">
        <v>187</v>
      </c>
      <c r="L96" s="66" t="n">
        <v>116</v>
      </c>
      <c r="M96" s="66" t="n">
        <v>166</v>
      </c>
      <c r="N96" s="66" t="n">
        <v>158</v>
      </c>
      <c r="O96" s="66" t="n">
        <v>197</v>
      </c>
      <c r="P96" s="66" t="n">
        <v>152</v>
      </c>
    </row>
    <row r="97" ht="15.75" customHeight="1" s="45">
      <c r="A97" s="61" t="n">
        <v>46061</v>
      </c>
      <c r="B97" s="62" t="inlineStr">
        <is>
          <t>Antes-Projeto</t>
        </is>
      </c>
      <c r="C97" s="63" t="inlineStr">
        <is>
          <t>Atend. Urgência Obs. ≤ 24h</t>
        </is>
      </c>
      <c r="D97" s="64" t="n">
        <v>23</v>
      </c>
      <c r="E97" s="64" t="n">
        <v>30</v>
      </c>
      <c r="F97" s="64" t="n">
        <v>21</v>
      </c>
      <c r="G97" s="64" t="n">
        <v>59</v>
      </c>
      <c r="H97" s="64" t="n">
        <v>12</v>
      </c>
      <c r="I97" s="64" t="n">
        <v>40</v>
      </c>
      <c r="J97" s="64" t="n">
        <v>6</v>
      </c>
      <c r="K97" s="64" t="n">
        <v>81</v>
      </c>
      <c r="L97" s="64" t="n">
        <v>61</v>
      </c>
      <c r="M97" s="64" t="n">
        <v>30</v>
      </c>
      <c r="N97" s="64" t="n">
        <v>40</v>
      </c>
      <c r="O97" s="64" t="n">
        <v>8</v>
      </c>
      <c r="P97" s="64" t="n">
        <v>13</v>
      </c>
    </row>
    <row r="98" ht="15.75" customHeight="1" s="45">
      <c r="A98" s="61" t="n">
        <v>46061</v>
      </c>
      <c r="B98" s="62" t="inlineStr">
        <is>
          <t>Antes-Projeto</t>
        </is>
      </c>
      <c r="C98" s="65" t="inlineStr">
        <is>
          <t>Atend. Médico em UPA</t>
        </is>
      </c>
      <c r="D98" s="66" t="n">
        <v>79</v>
      </c>
      <c r="E98" s="66" t="n">
        <v>89</v>
      </c>
      <c r="F98" s="66" t="n">
        <v>58</v>
      </c>
      <c r="G98" s="66" t="n">
        <v>42</v>
      </c>
      <c r="H98" s="66" t="n">
        <v>89</v>
      </c>
      <c r="I98" s="66" t="n">
        <v>86</v>
      </c>
      <c r="J98" s="66" t="n">
        <v>46</v>
      </c>
      <c r="K98" s="66" t="n">
        <v>132</v>
      </c>
      <c r="L98" s="66" t="n">
        <v>62</v>
      </c>
      <c r="M98" s="66" t="n">
        <v>108</v>
      </c>
      <c r="N98" s="66" t="n">
        <v>164</v>
      </c>
      <c r="O98" s="66" t="n">
        <v>140</v>
      </c>
      <c r="P98" s="66" t="n">
        <v>101</v>
      </c>
    </row>
    <row r="99" ht="15.75" customHeight="1" s="45">
      <c r="A99" s="61" t="n">
        <v>46061</v>
      </c>
      <c r="B99" s="62" t="inlineStr">
        <is>
          <t>Antes-Projeto</t>
        </is>
      </c>
      <c r="C99" s="63" t="inlineStr">
        <is>
          <t>Exames Laboratoriais</t>
        </is>
      </c>
      <c r="D99" s="64" t="n">
        <v>672</v>
      </c>
      <c r="E99" s="64" t="n">
        <v>181</v>
      </c>
      <c r="F99" s="64" t="n">
        <v>134</v>
      </c>
      <c r="G99" s="64" t="n">
        <v>191</v>
      </c>
      <c r="H99" s="64" t="n">
        <v>282</v>
      </c>
      <c r="I99" s="64" t="n">
        <v>347</v>
      </c>
      <c r="J99" s="64" t="n">
        <v>135</v>
      </c>
      <c r="K99" s="64" t="n">
        <v>589</v>
      </c>
      <c r="L99" s="64" t="n">
        <v>460</v>
      </c>
      <c r="M99" s="64" t="n">
        <v>569</v>
      </c>
      <c r="N99" s="64" t="n">
        <v>947</v>
      </c>
      <c r="O99" s="64" t="n">
        <v>363</v>
      </c>
      <c r="P99" s="64" t="n">
        <v>260</v>
      </c>
    </row>
    <row r="100" ht="15.75" customHeight="1" s="45">
      <c r="A100" s="61" t="n">
        <v>46061</v>
      </c>
      <c r="B100" s="62" t="inlineStr">
        <is>
          <t>Antes-Projeto</t>
        </is>
      </c>
      <c r="C100" s="65" t="inlineStr">
        <is>
          <t>Radiografias</t>
        </is>
      </c>
      <c r="D100" s="66" t="n">
        <v>20</v>
      </c>
      <c r="E100" s="66" t="n">
        <v>1</v>
      </c>
      <c r="F100" s="66" t="n">
        <v>21</v>
      </c>
      <c r="G100" s="66" t="n">
        <v>10</v>
      </c>
      <c r="H100" s="66" t="n">
        <v>10</v>
      </c>
      <c r="I100" s="66" t="n">
        <v>16</v>
      </c>
      <c r="J100" s="66" t="n">
        <v>5</v>
      </c>
      <c r="K100" s="66" t="n">
        <v>3</v>
      </c>
      <c r="L100" s="66" t="n">
        <v>29</v>
      </c>
      <c r="M100" s="66" t="n">
        <v>39</v>
      </c>
      <c r="N100" s="66" t="n">
        <v>26</v>
      </c>
      <c r="O100" s="66" t="n">
        <v>37</v>
      </c>
      <c r="P100" s="66" t="n">
        <v>25</v>
      </c>
    </row>
    <row r="101" ht="15.75" customHeight="1" s="45">
      <c r="A101" s="61" t="n">
        <v>46061</v>
      </c>
      <c r="B101" s="62" t="inlineStr">
        <is>
          <t>Antes-Projeto</t>
        </is>
      </c>
      <c r="C101" s="63" t="inlineStr">
        <is>
          <t>Eletrocardiogramas</t>
        </is>
      </c>
      <c r="D101" s="64" t="n">
        <v>11</v>
      </c>
      <c r="E101" s="64" t="n">
        <v>12</v>
      </c>
      <c r="F101" s="64" t="n">
        <v>15</v>
      </c>
      <c r="G101" s="64" t="n">
        <v>9</v>
      </c>
      <c r="H101" s="64" t="n">
        <v>8</v>
      </c>
      <c r="I101" s="64" t="n">
        <v>11</v>
      </c>
      <c r="J101" s="64" t="n">
        <v>7</v>
      </c>
      <c r="K101" s="64" t="n">
        <v>28</v>
      </c>
      <c r="L101" s="64" t="n">
        <v>10</v>
      </c>
      <c r="M101" s="64" t="n">
        <v>18</v>
      </c>
      <c r="N101" s="64" t="n">
        <v>11</v>
      </c>
      <c r="O101" s="64" t="n">
        <v>12</v>
      </c>
      <c r="P101" s="64" t="n">
        <v>13</v>
      </c>
    </row>
    <row r="102" ht="15.75" customHeight="1" s="45">
      <c r="A102" s="61" t="n">
        <v>46061</v>
      </c>
      <c r="B102" s="62" t="inlineStr">
        <is>
          <t>Antes-Projeto</t>
        </is>
      </c>
      <c r="C102" s="68" t="inlineStr">
        <is>
          <t>GAEs Abertas</t>
        </is>
      </c>
      <c r="D102" s="69" t="n">
        <v>181</v>
      </c>
      <c r="E102" s="69" t="n">
        <v>109</v>
      </c>
      <c r="F102" s="69" t="n">
        <v>124</v>
      </c>
      <c r="G102" s="69" t="n">
        <v>89</v>
      </c>
      <c r="H102" s="69" t="n">
        <v>103</v>
      </c>
      <c r="I102" s="69" t="n">
        <v>161</v>
      </c>
      <c r="J102" s="69" t="n">
        <v>71</v>
      </c>
      <c r="K102" s="69" t="n">
        <v>209</v>
      </c>
      <c r="L102" s="69" t="n">
        <v>136</v>
      </c>
      <c r="M102" s="69" t="n">
        <v>191</v>
      </c>
      <c r="N102" s="69" t="n">
        <v>158</v>
      </c>
      <c r="O102" s="69" t="n">
        <v>213</v>
      </c>
      <c r="P102" s="69" t="n">
        <v>161</v>
      </c>
    </row>
    <row r="103" ht="15.75" customHeight="1" s="45">
      <c r="A103" s="61" t="n">
        <v>46061</v>
      </c>
      <c r="B103" s="62" t="inlineStr">
        <is>
          <t>Antes-Projeto</t>
        </is>
      </c>
      <c r="C103" s="68" t="inlineStr">
        <is>
          <t>GAEs Classificadas</t>
        </is>
      </c>
      <c r="D103" s="69" t="n">
        <v>171</v>
      </c>
      <c r="E103" s="69" t="n">
        <v>105</v>
      </c>
      <c r="F103" s="69" t="n">
        <v>123</v>
      </c>
      <c r="G103" s="69" t="n">
        <v>82</v>
      </c>
      <c r="H103" s="69" t="n">
        <v>98</v>
      </c>
      <c r="I103" s="69" t="n">
        <v>146</v>
      </c>
      <c r="J103" s="69" t="n">
        <v>58</v>
      </c>
      <c r="K103" s="69" t="n">
        <v>191</v>
      </c>
      <c r="L103" s="69" t="n">
        <v>123</v>
      </c>
      <c r="M103" s="69" t="n">
        <v>177</v>
      </c>
      <c r="N103" s="69" t="n">
        <v>151</v>
      </c>
      <c r="O103" s="69" t="n">
        <v>204</v>
      </c>
      <c r="P103" s="69" t="n">
        <v>156</v>
      </c>
    </row>
    <row r="104" ht="15.75" customHeight="1" s="45">
      <c r="A104" s="61" t="n">
        <v>46061</v>
      </c>
      <c r="B104" s="62" t="inlineStr">
        <is>
          <t>Antes-Projeto</t>
        </is>
      </c>
      <c r="C104" s="70" t="inlineStr">
        <is>
          <t>Percentual de GAEs abertas classificadas</t>
        </is>
      </c>
      <c r="D104" s="71">
        <f>IFERROR(D103/D102,"-")</f>
        <v/>
      </c>
      <c r="E104" s="71">
        <f>IFERROR(E103/E102,"-")</f>
        <v/>
      </c>
      <c r="F104" s="71">
        <f>IFERROR(F103/F102,"-")</f>
        <v/>
      </c>
      <c r="G104" s="71">
        <f>IFERROR(G103/G102,"-")</f>
        <v/>
      </c>
      <c r="H104" s="71">
        <f>IFERROR(H103/H102,"-")</f>
        <v/>
      </c>
      <c r="I104" s="71">
        <f>IFERROR(I103/I102,"-")</f>
        <v/>
      </c>
      <c r="J104" s="71">
        <f>IFERROR(J103/J102,"-")</f>
        <v/>
      </c>
      <c r="K104" s="71">
        <f>IFERROR(K103/K102,"-")</f>
        <v/>
      </c>
      <c r="L104" s="71">
        <f>IFERROR(L103/L102,"-")</f>
        <v/>
      </c>
      <c r="M104" s="71">
        <f>IFERROR(M103/M102,"-")</f>
        <v/>
      </c>
      <c r="N104" s="71">
        <f>IFERROR(N103/N102,"-")</f>
        <v/>
      </c>
      <c r="O104" s="71">
        <f>IFERROR(O103/O102,"-")</f>
        <v/>
      </c>
      <c r="P104" s="71">
        <f>IFERROR(P103/P102,"-")</f>
        <v/>
      </c>
    </row>
    <row r="105" ht="15.75" customHeight="1" s="45">
      <c r="A105" s="61" t="n">
        <v>46061</v>
      </c>
      <c r="B105" s="62" t="inlineStr">
        <is>
          <t>Antes-Projeto</t>
        </is>
      </c>
      <c r="C105" s="72" t="inlineStr">
        <is>
          <t>Tempo Médio — 🟡 Amarelo (hh:mm)</t>
        </is>
      </c>
      <c r="D105" s="73" t="n">
        <v>0.1680671296296296</v>
      </c>
      <c r="E105" s="73" t="n">
        <v>0.07019675925925926</v>
      </c>
      <c r="F105" s="73" t="n">
        <v>0.1309490740740741</v>
      </c>
      <c r="G105" s="73" t="n">
        <v>0.06175925925925926</v>
      </c>
      <c r="H105" s="73" t="n">
        <v>0.07832175925925926</v>
      </c>
      <c r="I105" s="73" t="n">
        <v>0.04733796296296296</v>
      </c>
      <c r="J105" s="73" t="n">
        <v>0.123900462962963</v>
      </c>
      <c r="K105" s="73" t="n">
        <v>0.07123842592592593</v>
      </c>
      <c r="L105" s="73" t="n">
        <v>0.1248148148148148</v>
      </c>
      <c r="M105" s="73" t="n">
        <v>0.03380787037037037</v>
      </c>
      <c r="N105" s="73" t="n">
        <v>0.06851851851851852</v>
      </c>
      <c r="O105" s="73" t="n">
        <v>0.05231481481481481</v>
      </c>
      <c r="P105" s="73" t="n">
        <v>0.04458333333333334</v>
      </c>
    </row>
    <row r="106" ht="15.75" customHeight="1" s="45">
      <c r="A106" s="61" t="n">
        <v>46061</v>
      </c>
      <c r="B106" s="62" t="inlineStr">
        <is>
          <t>Antes-Projeto</t>
        </is>
      </c>
      <c r="C106" s="74" t="inlineStr">
        <is>
          <t>Tempo Médio — 🟠 Laranja (hh:mm)</t>
        </is>
      </c>
      <c r="D106" s="75" t="n">
        <v>0.02028935185185185</v>
      </c>
      <c r="E106" s="75" t="n">
        <v>0.00886574074074074</v>
      </c>
      <c r="F106" s="75" t="n">
        <v>0.01476851851851852</v>
      </c>
      <c r="G106" s="75" t="n">
        <v>0.007731481481481482</v>
      </c>
      <c r="H106" s="75" t="n">
        <v>0.01103009259259259</v>
      </c>
      <c r="I106" s="75" t="n">
        <v>0.00681712962962963</v>
      </c>
      <c r="J106" s="75" t="n">
        <v>0.07718750000000001</v>
      </c>
      <c r="K106" s="75" t="n">
        <v>0.01482638888888889</v>
      </c>
      <c r="L106" s="75" t="n">
        <v>0.04157407407407408</v>
      </c>
      <c r="M106" s="75" t="n">
        <v>0.01444444444444444</v>
      </c>
      <c r="N106" s="75" t="n">
        <v>0.01408564814814815</v>
      </c>
      <c r="O106" s="75" t="n">
        <v>0.01533564814814815</v>
      </c>
      <c r="P106" s="75" t="n">
        <v>0.007025462962962963</v>
      </c>
    </row>
    <row r="107" ht="15.75" customHeight="1" s="45">
      <c r="A107" s="76" t="n">
        <v>46061</v>
      </c>
      <c r="B107" s="77" t="inlineStr">
        <is>
          <t>Antes-Projeto</t>
        </is>
      </c>
      <c r="C107" s="78" t="inlineStr">
        <is>
          <t>Tempo Médio — 🟢 Verde   (hh:mm)</t>
        </is>
      </c>
      <c r="D107" s="79" t="n">
        <v>0.1156481481481482</v>
      </c>
      <c r="E107" s="79" t="n">
        <v>0.108287037037037</v>
      </c>
      <c r="F107" s="79" t="n">
        <v>0.2076157407407407</v>
      </c>
      <c r="G107" s="79" t="n">
        <v>0.1890393518518519</v>
      </c>
      <c r="H107" s="79" t="n">
        <v>0.1299537037037037</v>
      </c>
      <c r="I107" s="79" t="n">
        <v>0.1521527777777778</v>
      </c>
      <c r="J107" s="79" t="n">
        <v>0.2670138888888889</v>
      </c>
      <c r="K107" s="79" t="n">
        <v>0.2079861111111111</v>
      </c>
      <c r="L107" s="79" t="n">
        <v>0.170775462962963</v>
      </c>
      <c r="M107" s="79" t="n">
        <v>0.04056712962962963</v>
      </c>
      <c r="N107" s="79" t="n">
        <v>0.09887731481481482</v>
      </c>
      <c r="O107" s="79" t="n">
        <v>0.1138888888888889</v>
      </c>
      <c r="P107" s="79" t="n">
        <v>0.1134375</v>
      </c>
    </row>
    <row r="108" ht="15.75" customHeight="1" s="45">
      <c r="A108" s="57" t="n">
        <v>46062</v>
      </c>
      <c r="B108" s="58" t="inlineStr">
        <is>
          <t>Antes-Projeto</t>
        </is>
      </c>
      <c r="C108" s="59" t="inlineStr">
        <is>
          <t>Acolhim. + Atend. Urgência + Atend. UPA</t>
        </is>
      </c>
      <c r="D108" s="60">
        <f>SUM(D109:D111)</f>
        <v/>
      </c>
      <c r="E108" s="60">
        <f>SUM(E109:E111)</f>
        <v/>
      </c>
      <c r="F108" s="60">
        <f>SUM(F109:F111)</f>
        <v/>
      </c>
      <c r="G108" s="60">
        <f>SUM(G109:G111)</f>
        <v/>
      </c>
      <c r="H108" s="60">
        <f>SUM(H109:H111)</f>
        <v/>
      </c>
      <c r="I108" s="60">
        <f>SUM(I109:I111)</f>
        <v/>
      </c>
      <c r="J108" s="60">
        <f>SUM(J109:J111)</f>
        <v/>
      </c>
      <c r="K108" s="60">
        <f>SUM(K109:K111)</f>
        <v/>
      </c>
      <c r="L108" s="60">
        <f>SUM(L109:L111)</f>
        <v/>
      </c>
      <c r="M108" s="60">
        <f>SUM(M109:M111)</f>
        <v/>
      </c>
      <c r="N108" s="60">
        <f>SUM(N109:N111)</f>
        <v/>
      </c>
      <c r="O108" s="60">
        <f>SUM(O109:O111)</f>
        <v/>
      </c>
      <c r="P108" s="60">
        <f>SUM(P109:P111)</f>
        <v/>
      </c>
    </row>
    <row r="109" ht="15.75" customHeight="1" s="45">
      <c r="A109" s="61" t="n">
        <v>46062</v>
      </c>
      <c r="B109" s="62" t="inlineStr">
        <is>
          <t>Antes-Projeto</t>
        </is>
      </c>
      <c r="C109" s="63" t="inlineStr">
        <is>
          <t>Acolhimento c/ Classif. de Risco</t>
        </is>
      </c>
      <c r="D109" s="64" t="n">
        <v>251</v>
      </c>
      <c r="E109" s="64" t="n">
        <v>134</v>
      </c>
      <c r="F109" s="64" t="n">
        <v>163</v>
      </c>
      <c r="G109" s="64" t="n">
        <v>103</v>
      </c>
      <c r="H109" s="64" t="n">
        <v>125</v>
      </c>
      <c r="I109" s="64" t="n">
        <v>184</v>
      </c>
      <c r="J109" s="64" t="n">
        <v>101</v>
      </c>
      <c r="K109" s="64" t="n">
        <v>261</v>
      </c>
      <c r="L109" s="64" t="n">
        <v>142</v>
      </c>
      <c r="M109" s="64" t="n">
        <v>207</v>
      </c>
      <c r="N109" s="64" t="n">
        <v>227</v>
      </c>
      <c r="O109" s="64" t="n">
        <v>254</v>
      </c>
      <c r="P109" s="64" t="n">
        <v>203</v>
      </c>
    </row>
    <row r="110" ht="15.75" customHeight="1" s="45">
      <c r="A110" s="61" t="n">
        <v>46062</v>
      </c>
      <c r="B110" s="62" t="inlineStr">
        <is>
          <t>Antes-Projeto</t>
        </is>
      </c>
      <c r="C110" s="65" t="inlineStr">
        <is>
          <t>Atend. Urgência Obs. ≤ 24h</t>
        </is>
      </c>
      <c r="D110" s="66" t="n">
        <v>49</v>
      </c>
      <c r="E110" s="66" t="n">
        <v>43</v>
      </c>
      <c r="F110" s="66" t="n">
        <v>20</v>
      </c>
      <c r="G110" s="66" t="n">
        <v>19</v>
      </c>
      <c r="H110" s="66" t="n">
        <v>17</v>
      </c>
      <c r="I110" s="66" t="n">
        <v>31</v>
      </c>
      <c r="J110" s="66" t="n">
        <v>23</v>
      </c>
      <c r="K110" s="66" t="n">
        <v>87</v>
      </c>
      <c r="L110" s="66" t="n">
        <v>38</v>
      </c>
      <c r="M110" s="66" t="n">
        <v>31</v>
      </c>
      <c r="N110" s="66" t="n">
        <v>61</v>
      </c>
      <c r="O110" s="66" t="n">
        <v>17</v>
      </c>
      <c r="P110" s="66" t="n">
        <v>15</v>
      </c>
    </row>
    <row r="111" ht="15.75" customHeight="1" s="45">
      <c r="A111" s="61" t="n">
        <v>46062</v>
      </c>
      <c r="B111" s="62" t="inlineStr">
        <is>
          <t>Antes-Projeto</t>
        </is>
      </c>
      <c r="C111" s="63" t="inlineStr">
        <is>
          <t>Atend. Médico em UPA</t>
        </is>
      </c>
      <c r="D111" s="64" t="n">
        <v>161</v>
      </c>
      <c r="E111" s="64" t="n">
        <v>71</v>
      </c>
      <c r="F111" s="64" t="n">
        <v>112</v>
      </c>
      <c r="G111" s="64" t="n">
        <v>82</v>
      </c>
      <c r="H111" s="64" t="n">
        <v>70</v>
      </c>
      <c r="I111" s="64" t="n">
        <v>130</v>
      </c>
      <c r="J111" s="64" t="n">
        <v>96</v>
      </c>
      <c r="K111" s="64" t="n">
        <v>184</v>
      </c>
      <c r="L111" s="64" t="n">
        <v>80</v>
      </c>
      <c r="M111" s="64" t="n">
        <v>96</v>
      </c>
      <c r="N111" s="64" t="n">
        <v>228</v>
      </c>
      <c r="O111" s="64" t="n">
        <v>208</v>
      </c>
      <c r="P111" s="64" t="n">
        <v>88</v>
      </c>
    </row>
    <row r="112" ht="15.75" customHeight="1" s="45">
      <c r="A112" s="61" t="n">
        <v>46062</v>
      </c>
      <c r="B112" s="62" t="inlineStr">
        <is>
          <t>Antes-Projeto</t>
        </is>
      </c>
      <c r="C112" s="65" t="inlineStr">
        <is>
          <t>Exames Laboratoriais</t>
        </is>
      </c>
      <c r="D112" s="66" t="n">
        <v>637</v>
      </c>
      <c r="E112" s="66" t="n">
        <v>411</v>
      </c>
      <c r="F112" s="66" t="n">
        <v>430</v>
      </c>
      <c r="G112" s="66" t="n">
        <v>235</v>
      </c>
      <c r="H112" s="66" t="n">
        <v>298</v>
      </c>
      <c r="I112" s="66" t="n">
        <v>640</v>
      </c>
      <c r="J112" s="66" t="n">
        <v>274</v>
      </c>
      <c r="K112" s="66" t="n">
        <v>699</v>
      </c>
      <c r="L112" s="66" t="n">
        <v>580</v>
      </c>
      <c r="M112" s="66" t="n">
        <v>650</v>
      </c>
      <c r="N112" s="66" t="n">
        <v>452</v>
      </c>
      <c r="O112" s="66" t="n">
        <v>592</v>
      </c>
      <c r="P112" s="66" t="n">
        <v>577</v>
      </c>
    </row>
    <row r="113" ht="15.75" customHeight="1" s="45">
      <c r="A113" s="61" t="n">
        <v>46062</v>
      </c>
      <c r="B113" s="62" t="inlineStr">
        <is>
          <t>Antes-Projeto</t>
        </is>
      </c>
      <c r="C113" s="63" t="inlineStr">
        <is>
          <t>Radiografias</t>
        </is>
      </c>
      <c r="D113" s="64" t="n">
        <v>35</v>
      </c>
      <c r="E113" s="67" t="n">
        <v>0</v>
      </c>
      <c r="F113" s="64" t="n">
        <v>23</v>
      </c>
      <c r="G113" s="64" t="n">
        <v>6</v>
      </c>
      <c r="H113" s="64" t="n">
        <v>11</v>
      </c>
      <c r="I113" s="64" t="n">
        <v>24</v>
      </c>
      <c r="J113" s="64" t="n">
        <v>18</v>
      </c>
      <c r="K113" s="64" t="n">
        <v>4</v>
      </c>
      <c r="L113" s="64" t="n">
        <v>20</v>
      </c>
      <c r="M113" s="64" t="n">
        <v>41</v>
      </c>
      <c r="N113" s="64" t="n">
        <v>33</v>
      </c>
      <c r="O113" s="64" t="n">
        <v>41</v>
      </c>
      <c r="P113" s="64" t="n">
        <v>33</v>
      </c>
    </row>
    <row r="114" ht="15.75" customHeight="1" s="45">
      <c r="A114" s="61" t="n">
        <v>46062</v>
      </c>
      <c r="B114" s="62" t="inlineStr">
        <is>
          <t>Antes-Projeto</t>
        </is>
      </c>
      <c r="C114" s="65" t="inlineStr">
        <is>
          <t>Eletrocardiogramas</t>
        </is>
      </c>
      <c r="D114" s="66" t="n">
        <v>29</v>
      </c>
      <c r="E114" s="66" t="n">
        <v>13</v>
      </c>
      <c r="F114" s="66" t="n">
        <v>16</v>
      </c>
      <c r="G114" s="66" t="n">
        <v>4</v>
      </c>
      <c r="H114" s="66" t="n">
        <v>7</v>
      </c>
      <c r="I114" s="66" t="n">
        <v>30</v>
      </c>
      <c r="J114" s="66" t="n">
        <v>13</v>
      </c>
      <c r="K114" s="66" t="n">
        <v>18</v>
      </c>
      <c r="L114" s="66" t="n">
        <v>16</v>
      </c>
      <c r="M114" s="66" t="n">
        <v>13</v>
      </c>
      <c r="N114" s="66" t="n">
        <v>26</v>
      </c>
      <c r="O114" s="66" t="n">
        <v>18</v>
      </c>
      <c r="P114" s="66" t="n">
        <v>35</v>
      </c>
    </row>
    <row r="115" ht="15.75" customHeight="1" s="45">
      <c r="A115" s="61" t="n">
        <v>46062</v>
      </c>
      <c r="B115" s="62" t="inlineStr">
        <is>
          <t>Antes-Projeto</t>
        </is>
      </c>
      <c r="C115" s="68" t="inlineStr">
        <is>
          <t>GAEs Abertas</t>
        </is>
      </c>
      <c r="D115" s="69" t="n">
        <v>269</v>
      </c>
      <c r="E115" s="69" t="n">
        <v>165</v>
      </c>
      <c r="F115" s="69" t="n">
        <v>183</v>
      </c>
      <c r="G115" s="69" t="n">
        <v>113</v>
      </c>
      <c r="H115" s="69" t="n">
        <v>130</v>
      </c>
      <c r="I115" s="69" t="n">
        <v>206</v>
      </c>
      <c r="J115" s="69" t="n">
        <v>106</v>
      </c>
      <c r="K115" s="69" t="n">
        <v>293</v>
      </c>
      <c r="L115" s="69" t="n">
        <v>155</v>
      </c>
      <c r="M115" s="69" t="n">
        <v>230</v>
      </c>
      <c r="N115" s="69" t="n">
        <v>227</v>
      </c>
      <c r="O115" s="69" t="n">
        <v>266</v>
      </c>
      <c r="P115" s="69" t="n">
        <v>227</v>
      </c>
    </row>
    <row r="116" ht="15.75" customHeight="1" s="45">
      <c r="A116" s="61" t="n">
        <v>46062</v>
      </c>
      <c r="B116" s="62" t="inlineStr">
        <is>
          <t>Antes-Projeto</t>
        </is>
      </c>
      <c r="C116" s="68" t="inlineStr">
        <is>
          <t>GAEs Classificadas</t>
        </is>
      </c>
      <c r="D116" s="69" t="n">
        <v>250</v>
      </c>
      <c r="E116" s="69" t="n">
        <v>157</v>
      </c>
      <c r="F116" s="69" t="n">
        <v>169</v>
      </c>
      <c r="G116" s="69" t="n">
        <v>113</v>
      </c>
      <c r="H116" s="69" t="n">
        <v>128</v>
      </c>
      <c r="I116" s="69" t="n">
        <v>189</v>
      </c>
      <c r="J116" s="69" t="n">
        <v>100</v>
      </c>
      <c r="K116" s="69" t="n">
        <v>276</v>
      </c>
      <c r="L116" s="69" t="n">
        <v>148</v>
      </c>
      <c r="M116" s="69" t="n">
        <v>215</v>
      </c>
      <c r="N116" s="69" t="n">
        <v>218</v>
      </c>
      <c r="O116" s="69" t="n">
        <v>261</v>
      </c>
      <c r="P116" s="69" t="n">
        <v>219</v>
      </c>
    </row>
    <row r="117" ht="15.75" customHeight="1" s="45">
      <c r="A117" s="61" t="n">
        <v>46062</v>
      </c>
      <c r="B117" s="62" t="inlineStr">
        <is>
          <t>Antes-Projeto</t>
        </is>
      </c>
      <c r="C117" s="70" t="inlineStr">
        <is>
          <t>Percentual de GAEs abertas classificadas</t>
        </is>
      </c>
      <c r="D117" s="71">
        <f>IFERROR(D116/D115,"-")</f>
        <v/>
      </c>
      <c r="E117" s="71">
        <f>IFERROR(E116/E115,"-")</f>
        <v/>
      </c>
      <c r="F117" s="71">
        <f>IFERROR(F116/F115,"-")</f>
        <v/>
      </c>
      <c r="G117" s="71">
        <f>IFERROR(G116/G115,"-")</f>
        <v/>
      </c>
      <c r="H117" s="71">
        <f>IFERROR(H116/H115,"-")</f>
        <v/>
      </c>
      <c r="I117" s="71">
        <f>IFERROR(I116/I115,"-")</f>
        <v/>
      </c>
      <c r="J117" s="71">
        <f>IFERROR(J116/J115,"-")</f>
        <v/>
      </c>
      <c r="K117" s="71">
        <f>IFERROR(K116/K115,"-")</f>
        <v/>
      </c>
      <c r="L117" s="71">
        <f>IFERROR(L116/L115,"-")</f>
        <v/>
      </c>
      <c r="M117" s="71">
        <f>IFERROR(M116/M115,"-")</f>
        <v/>
      </c>
      <c r="N117" s="71">
        <f>IFERROR(N116/N115,"-")</f>
        <v/>
      </c>
      <c r="O117" s="71">
        <f>IFERROR(O116/O115,"-")</f>
        <v/>
      </c>
      <c r="P117" s="71">
        <f>IFERROR(P116/P115,"-")</f>
        <v/>
      </c>
    </row>
    <row r="118" ht="15.75" customHeight="1" s="45">
      <c r="A118" s="61" t="n">
        <v>46062</v>
      </c>
      <c r="B118" s="62" t="inlineStr">
        <is>
          <t>Antes-Projeto</t>
        </is>
      </c>
      <c r="C118" s="72" t="inlineStr">
        <is>
          <t>Tempo Médio — 🟡 Amarelo (hh:mm)</t>
        </is>
      </c>
      <c r="D118" s="73" t="n">
        <v>0.05738425925925926</v>
      </c>
      <c r="E118" s="73" t="n">
        <v>0.1063078703703704</v>
      </c>
      <c r="F118" s="73" t="n">
        <v>0.1133680555555556</v>
      </c>
      <c r="G118" s="73" t="n">
        <v>0.05280092592592592</v>
      </c>
      <c r="H118" s="73" t="n">
        <v>0.1403125</v>
      </c>
      <c r="I118" s="73" t="n">
        <v>0.06340277777777778</v>
      </c>
      <c r="J118" s="73" t="n">
        <v>0.04730324074074074</v>
      </c>
      <c r="K118" s="73" t="n">
        <v>0.09827546296296297</v>
      </c>
      <c r="L118" s="73" t="n">
        <v>0.1989236111111111</v>
      </c>
      <c r="M118" s="73" t="n">
        <v>0.03435185185185185</v>
      </c>
      <c r="N118" s="73" t="n">
        <v>0.1130439814814815</v>
      </c>
      <c r="O118" s="73" t="n">
        <v>0.03945601851851852</v>
      </c>
      <c r="P118" s="73" t="n">
        <v>0.07663194444444445</v>
      </c>
    </row>
    <row r="119" ht="15.75" customHeight="1" s="45">
      <c r="A119" s="61" t="n">
        <v>46062</v>
      </c>
      <c r="B119" s="62" t="inlineStr">
        <is>
          <t>Antes-Projeto</t>
        </is>
      </c>
      <c r="C119" s="74" t="inlineStr">
        <is>
          <t>Tempo Médio — 🟠 Laranja (hh:mm)</t>
        </is>
      </c>
      <c r="D119" s="75" t="n">
        <v>0.01489583333333333</v>
      </c>
      <c r="E119" s="75" t="n">
        <v>0.008020833333333333</v>
      </c>
      <c r="F119" s="75" t="n">
        <v>0.01368055555555556</v>
      </c>
      <c r="G119" s="75" t="n">
        <v>0.004108796296296296</v>
      </c>
      <c r="H119" s="75" t="n">
        <v>0.009166666666666667</v>
      </c>
      <c r="I119" s="75" t="n">
        <v>0.007048611111111111</v>
      </c>
      <c r="J119" s="75" t="n">
        <v>0.008136574074074074</v>
      </c>
      <c r="K119" s="75" t="n">
        <v>0.01197916666666667</v>
      </c>
      <c r="L119" s="75" t="n">
        <v>0.01407407407407407</v>
      </c>
      <c r="M119" s="75" t="n">
        <v>0.01006944444444445</v>
      </c>
      <c r="N119" s="75" t="n">
        <v>0.01297453703703704</v>
      </c>
      <c r="O119" s="75" t="n">
        <v>0.008900462962962962</v>
      </c>
      <c r="P119" s="75" t="n">
        <v>0.01532407407407407</v>
      </c>
    </row>
    <row r="120" ht="15.75" customHeight="1" s="45">
      <c r="A120" s="76" t="n">
        <v>46062</v>
      </c>
      <c r="B120" s="77" t="inlineStr">
        <is>
          <t>Antes-Projeto</t>
        </is>
      </c>
      <c r="C120" s="78" t="inlineStr">
        <is>
          <t>Tempo Médio — 🟢 Verde   (hh:mm)</t>
        </is>
      </c>
      <c r="D120" s="79" t="n">
        <v>0.0620949074074074</v>
      </c>
      <c r="E120" s="79" t="n">
        <v>0.1326620370370371</v>
      </c>
      <c r="F120" s="79" t="n">
        <v>0.1647106481481481</v>
      </c>
      <c r="G120" s="79" t="n">
        <v>0.09850694444444444</v>
      </c>
      <c r="H120" s="79" t="n">
        <v>0.07802083333333333</v>
      </c>
      <c r="I120" s="79" t="n">
        <v>0.1866782407407407</v>
      </c>
      <c r="J120" s="79" t="n">
        <v>0.08008101851851852</v>
      </c>
      <c r="K120" s="79" t="n">
        <v>0.12625</v>
      </c>
      <c r="L120" s="79" t="n">
        <v>0.2826157407407408</v>
      </c>
      <c r="M120" s="79" t="n">
        <v>0.07770833333333334</v>
      </c>
      <c r="N120" s="79" t="n">
        <v>0.1190046296296296</v>
      </c>
      <c r="O120" s="79" t="n">
        <v>0.08233796296296296</v>
      </c>
      <c r="P120" s="79" t="n">
        <v>0.1178009259259259</v>
      </c>
    </row>
    <row r="121" ht="15.75" customHeight="1" s="45">
      <c r="A121" s="57" t="n">
        <v>46063</v>
      </c>
      <c r="B121" s="58" t="inlineStr">
        <is>
          <t>Antes-Projeto</t>
        </is>
      </c>
      <c r="C121" s="59" t="inlineStr">
        <is>
          <t>Acolhim. + Atend. Urgência + Atend. UPA</t>
        </is>
      </c>
      <c r="D121" s="60">
        <f>SUM(D122:D124)</f>
        <v/>
      </c>
      <c r="E121" s="60">
        <f>SUM(E122:E124)</f>
        <v/>
      </c>
      <c r="F121" s="60">
        <f>SUM(F122:F124)</f>
        <v/>
      </c>
      <c r="G121" s="60">
        <f>SUM(G122:G124)</f>
        <v/>
      </c>
      <c r="H121" s="60">
        <f>SUM(H122:H124)</f>
        <v/>
      </c>
      <c r="I121" s="60">
        <f>SUM(I122:I124)</f>
        <v/>
      </c>
      <c r="J121" s="60">
        <f>SUM(J122:J124)</f>
        <v/>
      </c>
      <c r="K121" s="60">
        <f>SUM(K122:K124)</f>
        <v/>
      </c>
      <c r="L121" s="60">
        <f>SUM(L122:L124)</f>
        <v/>
      </c>
      <c r="M121" s="60">
        <f>SUM(M122:M124)</f>
        <v/>
      </c>
      <c r="N121" s="60">
        <f>SUM(N122:N124)</f>
        <v/>
      </c>
      <c r="O121" s="60">
        <f>SUM(O122:O124)</f>
        <v/>
      </c>
      <c r="P121" s="60">
        <f>SUM(P122:P124)</f>
        <v/>
      </c>
    </row>
    <row r="122" ht="15.75" customHeight="1" s="45">
      <c r="A122" s="61" t="n">
        <v>46063</v>
      </c>
      <c r="B122" s="62" t="inlineStr">
        <is>
          <t>Antes-Projeto</t>
        </is>
      </c>
      <c r="C122" s="65" t="inlineStr">
        <is>
          <t>Acolhimento c/ Classif. de Risco</t>
        </is>
      </c>
      <c r="D122" s="66" t="n">
        <v>205</v>
      </c>
      <c r="E122" s="66" t="n">
        <v>164</v>
      </c>
      <c r="F122" s="66" t="n">
        <v>145</v>
      </c>
      <c r="G122" s="66" t="n">
        <v>114</v>
      </c>
      <c r="H122" s="66" t="n">
        <v>100</v>
      </c>
      <c r="I122" s="66" t="n">
        <v>195</v>
      </c>
      <c r="J122" s="66" t="n">
        <v>85</v>
      </c>
      <c r="K122" s="66" t="n">
        <v>283</v>
      </c>
      <c r="L122" s="66" t="n">
        <v>107</v>
      </c>
      <c r="M122" s="66" t="n">
        <v>194</v>
      </c>
      <c r="N122" s="66" t="n">
        <v>204</v>
      </c>
      <c r="O122" s="66" t="n">
        <v>195</v>
      </c>
      <c r="P122" s="66" t="n">
        <v>190</v>
      </c>
    </row>
    <row r="123" ht="15.75" customHeight="1" s="45">
      <c r="A123" s="61" t="n">
        <v>46063</v>
      </c>
      <c r="B123" s="62" t="inlineStr">
        <is>
          <t>Antes-Projeto</t>
        </is>
      </c>
      <c r="C123" s="63" t="inlineStr">
        <is>
          <t>Atend. Urgência Obs. ≤ 24h</t>
        </is>
      </c>
      <c r="D123" s="64" t="n">
        <v>27</v>
      </c>
      <c r="E123" s="64" t="n">
        <v>25</v>
      </c>
      <c r="F123" s="64" t="n">
        <v>17</v>
      </c>
      <c r="G123" s="64" t="n">
        <v>38</v>
      </c>
      <c r="H123" s="64" t="n">
        <v>54</v>
      </c>
      <c r="I123" s="64" t="n">
        <v>14</v>
      </c>
      <c r="J123" s="64" t="n">
        <v>6</v>
      </c>
      <c r="K123" s="64" t="n">
        <v>103</v>
      </c>
      <c r="L123" s="64" t="n">
        <v>49</v>
      </c>
      <c r="M123" s="64" t="n">
        <v>39</v>
      </c>
      <c r="N123" s="64" t="n">
        <v>49</v>
      </c>
      <c r="O123" s="64" t="n">
        <v>19</v>
      </c>
      <c r="P123" s="64" t="n">
        <v>29</v>
      </c>
    </row>
    <row r="124" ht="15.75" customHeight="1" s="45">
      <c r="A124" s="61" t="n">
        <v>46063</v>
      </c>
      <c r="B124" s="62" t="inlineStr">
        <is>
          <t>Antes-Projeto</t>
        </is>
      </c>
      <c r="C124" s="65" t="inlineStr">
        <is>
          <t>Atend. Médico em UPA</t>
        </is>
      </c>
      <c r="D124" s="66" t="n">
        <v>143</v>
      </c>
      <c r="E124" s="66" t="n">
        <v>112</v>
      </c>
      <c r="F124" s="66" t="n">
        <v>84</v>
      </c>
      <c r="G124" s="66" t="n">
        <v>79</v>
      </c>
      <c r="H124" s="66" t="n">
        <v>81</v>
      </c>
      <c r="I124" s="66" t="n">
        <v>147</v>
      </c>
      <c r="J124" s="66" t="n">
        <v>64</v>
      </c>
      <c r="K124" s="66" t="n">
        <v>187</v>
      </c>
      <c r="L124" s="66" t="n">
        <v>65</v>
      </c>
      <c r="M124" s="66" t="n">
        <v>140</v>
      </c>
      <c r="N124" s="66" t="n">
        <v>195</v>
      </c>
      <c r="O124" s="66" t="n">
        <v>141</v>
      </c>
      <c r="P124" s="66" t="n">
        <v>76</v>
      </c>
    </row>
    <row r="125" ht="15.75" customHeight="1" s="45">
      <c r="A125" s="61" t="n">
        <v>46063</v>
      </c>
      <c r="B125" s="62" t="inlineStr">
        <is>
          <t>Antes-Projeto</t>
        </is>
      </c>
      <c r="C125" s="63" t="inlineStr">
        <is>
          <t>Exames Laboratoriais</t>
        </is>
      </c>
      <c r="D125" s="64" t="n">
        <v>676</v>
      </c>
      <c r="E125" s="64" t="n">
        <v>314</v>
      </c>
      <c r="F125" s="64" t="n">
        <v>199</v>
      </c>
      <c r="G125" s="64" t="n">
        <v>186</v>
      </c>
      <c r="H125" s="64" t="n">
        <v>234</v>
      </c>
      <c r="I125" s="64" t="n">
        <v>559</v>
      </c>
      <c r="J125" s="64" t="n">
        <v>172</v>
      </c>
      <c r="K125" s="64" t="n">
        <v>861</v>
      </c>
      <c r="L125" s="64" t="n">
        <v>687</v>
      </c>
      <c r="M125" s="64" t="n">
        <v>757</v>
      </c>
      <c r="N125" s="64" t="n">
        <v>672</v>
      </c>
      <c r="O125" s="64" t="n">
        <v>337</v>
      </c>
      <c r="P125" s="64" t="n">
        <v>422</v>
      </c>
    </row>
    <row r="126" ht="15.75" customHeight="1" s="45">
      <c r="A126" s="61" t="n">
        <v>46063</v>
      </c>
      <c r="B126" s="62" t="inlineStr">
        <is>
          <t>Antes-Projeto</t>
        </is>
      </c>
      <c r="C126" s="65" t="inlineStr">
        <is>
          <t>Radiografias</t>
        </is>
      </c>
      <c r="D126" s="66" t="n">
        <v>31</v>
      </c>
      <c r="E126" s="67" t="n">
        <v>0</v>
      </c>
      <c r="F126" s="66" t="n">
        <v>19</v>
      </c>
      <c r="G126" s="66" t="n">
        <v>12</v>
      </c>
      <c r="H126" s="66" t="n">
        <v>17</v>
      </c>
      <c r="I126" s="66" t="n">
        <v>22</v>
      </c>
      <c r="J126" s="66" t="n">
        <v>14</v>
      </c>
      <c r="K126" s="66" t="n">
        <v>1</v>
      </c>
      <c r="L126" s="66" t="n">
        <v>20</v>
      </c>
      <c r="M126" s="66" t="n">
        <v>43</v>
      </c>
      <c r="N126" s="66" t="n">
        <v>34</v>
      </c>
      <c r="O126" s="66" t="n">
        <v>41</v>
      </c>
      <c r="P126" s="66" t="n">
        <v>31</v>
      </c>
    </row>
    <row r="127" ht="15.75" customHeight="1" s="45">
      <c r="A127" s="61" t="n">
        <v>46063</v>
      </c>
      <c r="B127" s="62" t="inlineStr">
        <is>
          <t>Antes-Projeto</t>
        </is>
      </c>
      <c r="C127" s="63" t="inlineStr">
        <is>
          <t>Eletrocardiogramas</t>
        </is>
      </c>
      <c r="D127" s="64" t="n">
        <v>13</v>
      </c>
      <c r="E127" s="64" t="n">
        <v>16</v>
      </c>
      <c r="F127" s="64" t="n">
        <v>15</v>
      </c>
      <c r="G127" s="64" t="n">
        <v>6</v>
      </c>
      <c r="H127" s="64" t="n">
        <v>10</v>
      </c>
      <c r="I127" s="64" t="n">
        <v>10</v>
      </c>
      <c r="J127" s="64" t="n">
        <v>9</v>
      </c>
      <c r="K127" s="64" t="n">
        <v>32</v>
      </c>
      <c r="L127" s="64" t="n">
        <v>17</v>
      </c>
      <c r="M127" s="64" t="n">
        <v>11</v>
      </c>
      <c r="N127" s="64" t="n">
        <v>16</v>
      </c>
      <c r="O127" s="64" t="n">
        <v>6</v>
      </c>
      <c r="P127" s="64" t="n">
        <v>11</v>
      </c>
    </row>
    <row r="128" ht="15.75" customHeight="1" s="45">
      <c r="A128" s="61" t="n">
        <v>46063</v>
      </c>
      <c r="B128" s="62" t="inlineStr">
        <is>
          <t>Antes-Projeto</t>
        </is>
      </c>
      <c r="C128" s="68" t="inlineStr">
        <is>
          <t>GAEs Abertas</t>
        </is>
      </c>
      <c r="D128" s="69" t="n">
        <v>223</v>
      </c>
      <c r="E128" s="69" t="n">
        <v>165</v>
      </c>
      <c r="F128" s="69" t="n">
        <v>148</v>
      </c>
      <c r="G128" s="69" t="n">
        <v>119</v>
      </c>
      <c r="H128" s="69" t="n">
        <v>112</v>
      </c>
      <c r="I128" s="69" t="n">
        <v>199</v>
      </c>
      <c r="J128" s="69" t="n">
        <v>99</v>
      </c>
      <c r="K128" s="69" t="n">
        <v>310</v>
      </c>
      <c r="L128" s="69" t="n">
        <v>121</v>
      </c>
      <c r="M128" s="69" t="n">
        <v>223</v>
      </c>
      <c r="N128" s="69" t="n">
        <v>204</v>
      </c>
      <c r="O128" s="69" t="n">
        <v>229</v>
      </c>
      <c r="P128" s="69" t="n">
        <v>215</v>
      </c>
    </row>
    <row r="129" ht="15.75" customHeight="1" s="45">
      <c r="A129" s="61" t="n">
        <v>46063</v>
      </c>
      <c r="B129" s="62" t="inlineStr">
        <is>
          <t>Antes-Projeto</t>
        </is>
      </c>
      <c r="C129" s="68" t="inlineStr">
        <is>
          <t>GAEs Classificadas</t>
        </is>
      </c>
      <c r="D129" s="69" t="n">
        <v>204</v>
      </c>
      <c r="E129" s="69" t="n">
        <v>160</v>
      </c>
      <c r="F129" s="69" t="n">
        <v>146</v>
      </c>
      <c r="G129" s="69" t="n">
        <v>114</v>
      </c>
      <c r="H129" s="69" t="n">
        <v>102</v>
      </c>
      <c r="I129" s="69" t="n">
        <v>192</v>
      </c>
      <c r="J129" s="69" t="n">
        <v>95</v>
      </c>
      <c r="K129" s="69" t="n">
        <v>293</v>
      </c>
      <c r="L129" s="69" t="n">
        <v>116</v>
      </c>
      <c r="M129" s="69" t="n">
        <v>209</v>
      </c>
      <c r="N129" s="69" t="n">
        <v>199</v>
      </c>
      <c r="O129" s="69" t="n">
        <v>211</v>
      </c>
      <c r="P129" s="69" t="n">
        <v>208</v>
      </c>
    </row>
    <row r="130" ht="15.75" customHeight="1" s="45">
      <c r="A130" s="61" t="n">
        <v>46063</v>
      </c>
      <c r="B130" s="62" t="inlineStr">
        <is>
          <t>Antes-Projeto</t>
        </is>
      </c>
      <c r="C130" s="70" t="inlineStr">
        <is>
          <t>Percentual de GAEs abertas classificadas</t>
        </is>
      </c>
      <c r="D130" s="71">
        <f>IFERROR(D129/D128,"-")</f>
        <v/>
      </c>
      <c r="E130" s="71">
        <f>IFERROR(E129/E128,"-")</f>
        <v/>
      </c>
      <c r="F130" s="71">
        <f>IFERROR(F129/F128,"-")</f>
        <v/>
      </c>
      <c r="G130" s="71">
        <f>IFERROR(G129/G128,"-")</f>
        <v/>
      </c>
      <c r="H130" s="71">
        <f>IFERROR(H129/H128,"-")</f>
        <v/>
      </c>
      <c r="I130" s="71">
        <f>IFERROR(I129/I128,"-")</f>
        <v/>
      </c>
      <c r="J130" s="71">
        <f>IFERROR(J129/J128,"-")</f>
        <v/>
      </c>
      <c r="K130" s="71">
        <f>IFERROR(K129/K128,"-")</f>
        <v/>
      </c>
      <c r="L130" s="71">
        <f>IFERROR(L129/L128,"-")</f>
        <v/>
      </c>
      <c r="M130" s="71">
        <f>IFERROR(M129/M128,"-")</f>
        <v/>
      </c>
      <c r="N130" s="71">
        <f>IFERROR(N129/N128,"-")</f>
        <v/>
      </c>
      <c r="O130" s="71">
        <f>IFERROR(O129/O128,"-")</f>
        <v/>
      </c>
      <c r="P130" s="71">
        <f>IFERROR(P129/P128,"-")</f>
        <v/>
      </c>
    </row>
    <row r="131" ht="15.75" customHeight="1" s="45">
      <c r="A131" s="61" t="n">
        <v>46063</v>
      </c>
      <c r="B131" s="62" t="inlineStr">
        <is>
          <t>Antes-Projeto</t>
        </is>
      </c>
      <c r="C131" s="72" t="inlineStr">
        <is>
          <t>Tempo Médio — 🟡 Amarelo (hh:mm)</t>
        </is>
      </c>
      <c r="D131" s="73" t="n">
        <v>0.07880787037037038</v>
      </c>
      <c r="E131" s="73" t="n">
        <v>0.05293981481481481</v>
      </c>
      <c r="F131" s="73" t="n">
        <v>0.1065856481481482</v>
      </c>
      <c r="G131" s="73" t="n">
        <v>0.1110648148148148</v>
      </c>
      <c r="H131" s="73" t="n">
        <v>0.03434027777777778</v>
      </c>
      <c r="I131" s="73" t="n">
        <v>0.03030092592592593</v>
      </c>
      <c r="J131" s="73" t="n">
        <v>0.03009259259259259</v>
      </c>
      <c r="K131" s="73" t="n">
        <v>0.07680555555555556</v>
      </c>
      <c r="L131" s="73" t="n">
        <v>0.1387847222222222</v>
      </c>
      <c r="M131" s="73" t="n">
        <v>0.02471064814814815</v>
      </c>
      <c r="N131" s="73" t="n">
        <v>0.0941550925925926</v>
      </c>
      <c r="O131" s="73" t="n">
        <v>0.04039351851851852</v>
      </c>
      <c r="P131" s="73" t="n">
        <v>0.1866435185185185</v>
      </c>
    </row>
    <row r="132" ht="15.75" customHeight="1" s="45">
      <c r="A132" s="61" t="n">
        <v>46063</v>
      </c>
      <c r="B132" s="62" t="inlineStr">
        <is>
          <t>Antes-Projeto</t>
        </is>
      </c>
      <c r="C132" s="74" t="inlineStr">
        <is>
          <t>Tempo Médio — 🟠 Laranja (hh:mm)</t>
        </is>
      </c>
      <c r="D132" s="75" t="n">
        <v>0.01283564814814815</v>
      </c>
      <c r="E132" s="75" t="n">
        <v>0.008298611111111111</v>
      </c>
      <c r="F132" s="75" t="n">
        <v>0.01231481481481481</v>
      </c>
      <c r="G132" s="75" t="n">
        <v>0.005520833333333333</v>
      </c>
      <c r="H132" s="75" t="n">
        <v>0.003761574074074074</v>
      </c>
      <c r="I132" s="75" t="n">
        <v>0.03295138888888889</v>
      </c>
      <c r="J132" s="75" t="n">
        <v>0.006678240740740741</v>
      </c>
      <c r="K132" s="75" t="n">
        <v>0.01270833333333333</v>
      </c>
      <c r="L132" s="75" t="n">
        <v>0.02236111111111111</v>
      </c>
      <c r="M132" s="75" t="n">
        <v>0.00798611111111111</v>
      </c>
      <c r="N132" s="75" t="n">
        <v>0.02271990740740741</v>
      </c>
      <c r="O132" s="75" t="n">
        <v>0.01052083333333333</v>
      </c>
      <c r="P132" s="75" t="n">
        <v>0.0290625</v>
      </c>
    </row>
    <row r="133" ht="15.75" customHeight="1" s="45">
      <c r="A133" s="76" t="n">
        <v>46063</v>
      </c>
      <c r="B133" s="77" t="inlineStr">
        <is>
          <t>Antes-Projeto</t>
        </is>
      </c>
      <c r="C133" s="78" t="inlineStr">
        <is>
          <t>Tempo Médio — 🟢 Verde   (hh:mm)</t>
        </is>
      </c>
      <c r="D133" s="79" t="n">
        <v>0.08351851851851852</v>
      </c>
      <c r="E133" s="79" t="n">
        <v>0.162650462962963</v>
      </c>
      <c r="F133" s="79" t="n">
        <v>0.09659722222222222</v>
      </c>
      <c r="G133" s="79" t="n">
        <v>0.1832986111111111</v>
      </c>
      <c r="H133" s="79" t="n">
        <v>0.1037615740740741</v>
      </c>
      <c r="I133" s="79" t="n">
        <v>0.1209606481481482</v>
      </c>
      <c r="J133" s="79" t="n">
        <v>0.08320601851851851</v>
      </c>
      <c r="K133" s="79" t="n">
        <v>0.1129282407407407</v>
      </c>
      <c r="L133" s="79" t="n">
        <v>0.1762384259259259</v>
      </c>
      <c r="M133" s="79" t="n">
        <v>0.0804050925925926</v>
      </c>
      <c r="N133" s="79" t="n">
        <v>0.07552083333333333</v>
      </c>
      <c r="O133" s="79" t="n">
        <v>0.1038078703703704</v>
      </c>
      <c r="P133" s="79" t="n">
        <v>0.1141782407407407</v>
      </c>
    </row>
    <row r="134" ht="15.75" customHeight="1" s="45">
      <c r="A134" s="57" t="n">
        <v>46064</v>
      </c>
      <c r="B134" s="58" t="inlineStr">
        <is>
          <t>Antes-Projeto</t>
        </is>
      </c>
      <c r="C134" s="59" t="inlineStr">
        <is>
          <t>Acolhim. + Atend. Urgência + Atend. UPA</t>
        </is>
      </c>
      <c r="D134" s="60">
        <f>SUM(D135:D137)</f>
        <v/>
      </c>
      <c r="E134" s="60">
        <f>SUM(E135:E137)</f>
        <v/>
      </c>
      <c r="F134" s="60">
        <f>SUM(F135:F137)</f>
        <v/>
      </c>
      <c r="G134" s="60">
        <f>SUM(G135:G137)</f>
        <v/>
      </c>
      <c r="H134" s="60">
        <f>SUM(H135:H137)</f>
        <v/>
      </c>
      <c r="I134" s="60">
        <f>SUM(I135:I137)</f>
        <v/>
      </c>
      <c r="J134" s="60">
        <f>SUM(J135:J137)</f>
        <v/>
      </c>
      <c r="K134" s="60">
        <f>SUM(K135:K137)</f>
        <v/>
      </c>
      <c r="L134" s="60">
        <f>SUM(L135:L137)</f>
        <v/>
      </c>
      <c r="M134" s="60">
        <f>SUM(M135:M137)</f>
        <v/>
      </c>
      <c r="N134" s="60">
        <f>SUM(N135:N137)</f>
        <v/>
      </c>
      <c r="O134" s="60">
        <f>SUM(O135:O137)</f>
        <v/>
      </c>
      <c r="P134" s="60">
        <f>SUM(P135:P137)</f>
        <v/>
      </c>
    </row>
    <row r="135" ht="15.75" customHeight="1" s="45">
      <c r="A135" s="61" t="n">
        <v>46064</v>
      </c>
      <c r="B135" s="62" t="inlineStr">
        <is>
          <t>Antes-Projeto</t>
        </is>
      </c>
      <c r="C135" s="63" t="inlineStr">
        <is>
          <t>Acolhimento c/ Classif. de Risco</t>
        </is>
      </c>
      <c r="D135" s="64" t="n">
        <v>212</v>
      </c>
      <c r="E135" s="64" t="n">
        <v>144</v>
      </c>
      <c r="F135" s="64" t="n">
        <v>142</v>
      </c>
      <c r="G135" s="64" t="n">
        <v>102</v>
      </c>
      <c r="H135" s="64" t="n">
        <v>103</v>
      </c>
      <c r="I135" s="64" t="n">
        <v>171</v>
      </c>
      <c r="J135" s="64" t="n">
        <v>90</v>
      </c>
      <c r="K135" s="64" t="n">
        <v>237</v>
      </c>
      <c r="L135" s="64" t="n">
        <v>106</v>
      </c>
      <c r="M135" s="64" t="n">
        <v>187</v>
      </c>
      <c r="N135" s="64" t="n">
        <v>190</v>
      </c>
      <c r="O135" s="64" t="n">
        <v>253</v>
      </c>
      <c r="P135" s="64" t="n">
        <v>167</v>
      </c>
    </row>
    <row r="136" ht="15.75" customHeight="1" s="45">
      <c r="A136" s="61" t="n">
        <v>46064</v>
      </c>
      <c r="B136" s="62" t="inlineStr">
        <is>
          <t>Antes-Projeto</t>
        </is>
      </c>
      <c r="C136" s="65" t="inlineStr">
        <is>
          <t>Atend. Urgência Obs. ≤ 24h</t>
        </is>
      </c>
      <c r="D136" s="66" t="n">
        <v>39</v>
      </c>
      <c r="E136" s="66" t="n">
        <v>20</v>
      </c>
      <c r="F136" s="66" t="n">
        <v>19</v>
      </c>
      <c r="G136" s="66" t="n">
        <v>21</v>
      </c>
      <c r="H136" s="66" t="n">
        <v>119</v>
      </c>
      <c r="I136" s="66" t="n">
        <v>180</v>
      </c>
      <c r="J136" s="66" t="n">
        <v>2</v>
      </c>
      <c r="K136" s="66" t="n">
        <v>86</v>
      </c>
      <c r="L136" s="66" t="n">
        <v>79</v>
      </c>
      <c r="M136" s="66" t="n">
        <v>20</v>
      </c>
      <c r="N136" s="66" t="n">
        <v>48</v>
      </c>
      <c r="O136" s="66" t="n">
        <v>2</v>
      </c>
      <c r="P136" s="66" t="n">
        <v>37</v>
      </c>
    </row>
    <row r="137" ht="15.75" customHeight="1" s="45">
      <c r="A137" s="61" t="n">
        <v>46064</v>
      </c>
      <c r="B137" s="62" t="inlineStr">
        <is>
          <t>Antes-Projeto</t>
        </is>
      </c>
      <c r="C137" s="63" t="inlineStr">
        <is>
          <t>Atend. Médico em UPA</t>
        </is>
      </c>
      <c r="D137" s="64" t="n">
        <v>182</v>
      </c>
      <c r="E137" s="64" t="n">
        <v>45</v>
      </c>
      <c r="F137" s="64" t="n">
        <v>121</v>
      </c>
      <c r="G137" s="64" t="n">
        <v>83</v>
      </c>
      <c r="H137" s="64" t="n">
        <v>67</v>
      </c>
      <c r="I137" s="64" t="n">
        <v>128</v>
      </c>
      <c r="J137" s="64" t="n">
        <v>62</v>
      </c>
      <c r="K137" s="64" t="n">
        <v>168</v>
      </c>
      <c r="L137" s="64" t="n">
        <v>53</v>
      </c>
      <c r="M137" s="64" t="n">
        <v>119</v>
      </c>
      <c r="N137" s="64" t="n">
        <v>203</v>
      </c>
      <c r="O137" s="64" t="n">
        <v>175</v>
      </c>
      <c r="P137" s="64" t="n">
        <v>60</v>
      </c>
    </row>
    <row r="138" ht="15.75" customHeight="1" s="45">
      <c r="A138" s="61" t="n">
        <v>46064</v>
      </c>
      <c r="B138" s="62" t="inlineStr">
        <is>
          <t>Antes-Projeto</t>
        </is>
      </c>
      <c r="C138" s="65" t="inlineStr">
        <is>
          <t>Exames Laboratoriais</t>
        </is>
      </c>
      <c r="D138" s="66" t="n">
        <v>748</v>
      </c>
      <c r="E138" s="66" t="n">
        <v>415</v>
      </c>
      <c r="F138" s="66" t="n">
        <v>418</v>
      </c>
      <c r="G138" s="66" t="n">
        <v>266</v>
      </c>
      <c r="H138" s="66" t="n">
        <v>201</v>
      </c>
      <c r="I138" s="66" t="n">
        <v>562</v>
      </c>
      <c r="J138" s="66" t="n">
        <v>191</v>
      </c>
      <c r="K138" s="66" t="n">
        <v>838</v>
      </c>
      <c r="L138" s="66" t="n">
        <v>472</v>
      </c>
      <c r="M138" s="66" t="n">
        <v>610</v>
      </c>
      <c r="N138" s="66" t="n">
        <v>489</v>
      </c>
      <c r="O138" s="66" t="n">
        <v>419</v>
      </c>
      <c r="P138" s="66" t="n">
        <v>559</v>
      </c>
    </row>
    <row r="139" ht="15.75" customHeight="1" s="45">
      <c r="A139" s="61" t="n">
        <v>46064</v>
      </c>
      <c r="B139" s="62" t="inlineStr">
        <is>
          <t>Antes-Projeto</t>
        </is>
      </c>
      <c r="C139" s="63" t="inlineStr">
        <is>
          <t>Radiografias</t>
        </is>
      </c>
      <c r="D139" s="64" t="n">
        <v>25</v>
      </c>
      <c r="E139" s="67" t="n">
        <v>0</v>
      </c>
      <c r="F139" s="64" t="n">
        <v>28</v>
      </c>
      <c r="G139" s="64" t="n">
        <v>16</v>
      </c>
      <c r="H139" s="64" t="n">
        <v>13</v>
      </c>
      <c r="I139" s="64" t="n">
        <v>22</v>
      </c>
      <c r="J139" s="64" t="n">
        <v>11</v>
      </c>
      <c r="K139" s="67" t="n">
        <v>0</v>
      </c>
      <c r="L139" s="64" t="n">
        <v>23</v>
      </c>
      <c r="M139" s="64" t="n">
        <v>37</v>
      </c>
      <c r="N139" s="64" t="n">
        <v>37</v>
      </c>
      <c r="O139" s="64" t="n">
        <v>19</v>
      </c>
      <c r="P139" s="64" t="n">
        <v>28</v>
      </c>
    </row>
    <row r="140" ht="15.75" customHeight="1" s="45">
      <c r="A140" s="61" t="n">
        <v>46064</v>
      </c>
      <c r="B140" s="62" t="inlineStr">
        <is>
          <t>Antes-Projeto</t>
        </is>
      </c>
      <c r="C140" s="65" t="inlineStr">
        <is>
          <t>Eletrocardiogramas</t>
        </is>
      </c>
      <c r="D140" s="66" t="n">
        <v>23</v>
      </c>
      <c r="E140" s="66" t="n">
        <v>14</v>
      </c>
      <c r="F140" s="66" t="n">
        <v>17</v>
      </c>
      <c r="G140" s="66" t="n">
        <v>10</v>
      </c>
      <c r="H140" s="66" t="n">
        <v>12</v>
      </c>
      <c r="I140" s="66" t="n">
        <v>9</v>
      </c>
      <c r="J140" s="66" t="n">
        <v>9</v>
      </c>
      <c r="K140" s="66" t="n">
        <v>33</v>
      </c>
      <c r="L140" s="66" t="n">
        <v>8</v>
      </c>
      <c r="M140" s="66" t="n">
        <v>10</v>
      </c>
      <c r="N140" s="66" t="n">
        <v>18</v>
      </c>
      <c r="O140" s="66" t="n">
        <v>5</v>
      </c>
      <c r="P140" s="66" t="n">
        <v>18</v>
      </c>
    </row>
    <row r="141" ht="15.75" customHeight="1" s="45">
      <c r="A141" s="61" t="n">
        <v>46064</v>
      </c>
      <c r="B141" s="62" t="inlineStr">
        <is>
          <t>Antes-Projeto</t>
        </is>
      </c>
      <c r="C141" s="68" t="inlineStr">
        <is>
          <t>GAEs Abertas</t>
        </is>
      </c>
      <c r="D141" s="69" t="n">
        <v>222</v>
      </c>
      <c r="E141" s="69" t="n">
        <v>175</v>
      </c>
      <c r="F141" s="69" t="n">
        <v>142</v>
      </c>
      <c r="G141" s="69" t="n">
        <v>107</v>
      </c>
      <c r="H141" s="69" t="n">
        <v>114</v>
      </c>
      <c r="I141" s="69" t="n">
        <v>193</v>
      </c>
      <c r="J141" s="69" t="n">
        <v>99</v>
      </c>
      <c r="K141" s="69" t="n">
        <v>259</v>
      </c>
      <c r="L141" s="69" t="n">
        <v>118</v>
      </c>
      <c r="M141" s="69" t="n">
        <v>206</v>
      </c>
      <c r="N141" s="69" t="n">
        <v>192</v>
      </c>
      <c r="O141" s="69" t="n">
        <v>274</v>
      </c>
      <c r="P141" s="69" t="n">
        <v>187</v>
      </c>
    </row>
    <row r="142" ht="15.75" customHeight="1" s="45">
      <c r="A142" s="61" t="n">
        <v>46064</v>
      </c>
      <c r="B142" s="62" t="inlineStr">
        <is>
          <t>Antes-Projeto</t>
        </is>
      </c>
      <c r="C142" s="68" t="inlineStr">
        <is>
          <t>GAEs Classificadas</t>
        </is>
      </c>
      <c r="D142" s="69" t="n">
        <v>216</v>
      </c>
      <c r="E142" s="69" t="n">
        <v>162</v>
      </c>
      <c r="F142" s="69" t="n">
        <v>135</v>
      </c>
      <c r="G142" s="69" t="n">
        <v>102</v>
      </c>
      <c r="H142" s="69" t="n">
        <v>111</v>
      </c>
      <c r="I142" s="69" t="n">
        <v>176</v>
      </c>
      <c r="J142" s="69" t="n">
        <v>86</v>
      </c>
      <c r="K142" s="69" t="n">
        <v>239</v>
      </c>
      <c r="L142" s="69" t="n">
        <v>104</v>
      </c>
      <c r="M142" s="69" t="n">
        <v>195</v>
      </c>
      <c r="N142" s="69" t="n">
        <v>179</v>
      </c>
      <c r="O142" s="69" t="n">
        <v>263</v>
      </c>
      <c r="P142" s="69" t="n">
        <v>182</v>
      </c>
    </row>
    <row r="143" ht="15.75" customHeight="1" s="45">
      <c r="A143" s="61" t="n">
        <v>46064</v>
      </c>
      <c r="B143" s="62" t="inlineStr">
        <is>
          <t>Antes-Projeto</t>
        </is>
      </c>
      <c r="C143" s="70" t="inlineStr">
        <is>
          <t>Percentual de GAEs abertas classificadas</t>
        </is>
      </c>
      <c r="D143" s="71">
        <f>IFERROR(D142/D141,"-")</f>
        <v/>
      </c>
      <c r="E143" s="71">
        <f>IFERROR(E142/E141,"-")</f>
        <v/>
      </c>
      <c r="F143" s="71">
        <f>IFERROR(F142/F141,"-")</f>
        <v/>
      </c>
      <c r="G143" s="71">
        <f>IFERROR(G142/G141,"-")</f>
        <v/>
      </c>
      <c r="H143" s="71">
        <f>IFERROR(H142/H141,"-")</f>
        <v/>
      </c>
      <c r="I143" s="71">
        <f>IFERROR(I142/I141,"-")</f>
        <v/>
      </c>
      <c r="J143" s="71">
        <f>IFERROR(J142/J141,"-")</f>
        <v/>
      </c>
      <c r="K143" s="71">
        <f>IFERROR(K142/K141,"-")</f>
        <v/>
      </c>
      <c r="L143" s="71">
        <f>IFERROR(L142/L141,"-")</f>
        <v/>
      </c>
      <c r="M143" s="71">
        <f>IFERROR(M142/M141,"-")</f>
        <v/>
      </c>
      <c r="N143" s="71">
        <f>IFERROR(N142/N141,"-")</f>
        <v/>
      </c>
      <c r="O143" s="71">
        <f>IFERROR(O142/O141,"-")</f>
        <v/>
      </c>
      <c r="P143" s="71">
        <f>IFERROR(P142/P141,"-")</f>
        <v/>
      </c>
    </row>
    <row r="144" ht="15.75" customHeight="1" s="45">
      <c r="A144" s="61" t="n">
        <v>46064</v>
      </c>
      <c r="B144" s="62" t="inlineStr">
        <is>
          <t>Antes-Projeto</t>
        </is>
      </c>
      <c r="C144" s="72" t="inlineStr">
        <is>
          <t>Tempo Médio — 🟡 Amarelo (hh:mm)</t>
        </is>
      </c>
      <c r="D144" s="73" t="n">
        <v>0.05774305555555555</v>
      </c>
      <c r="E144" s="73" t="n">
        <v>0.1234490740740741</v>
      </c>
      <c r="F144" s="73" t="n">
        <v>0.01967592592592593</v>
      </c>
      <c r="G144" s="73" t="n">
        <v>0.06849537037037037</v>
      </c>
      <c r="H144" s="73" t="n">
        <v>0.03498842592592592</v>
      </c>
      <c r="I144" s="73" t="n">
        <v>0.09890046296296297</v>
      </c>
      <c r="J144" s="73" t="n">
        <v>0.0740625</v>
      </c>
      <c r="K144" s="73" t="n">
        <v>0.138900462962963</v>
      </c>
      <c r="L144" s="73" t="n">
        <v>0.141875</v>
      </c>
      <c r="M144" s="73" t="n">
        <v>0.03552083333333333</v>
      </c>
      <c r="N144" s="73" t="n">
        <v>0.051875</v>
      </c>
      <c r="O144" s="73" t="n">
        <v>0.04380787037037037</v>
      </c>
      <c r="P144" s="73" t="n">
        <v>0.1184722222222222</v>
      </c>
    </row>
    <row r="145" ht="15.75" customHeight="1" s="45">
      <c r="A145" s="61" t="n">
        <v>46064</v>
      </c>
      <c r="B145" s="62" t="inlineStr">
        <is>
          <t>Antes-Projeto</t>
        </is>
      </c>
      <c r="C145" s="74" t="inlineStr">
        <is>
          <t>Tempo Médio — 🟠 Laranja (hh:mm)</t>
        </is>
      </c>
      <c r="D145" s="80" t="n">
        <v>0</v>
      </c>
      <c r="E145" s="75" t="n">
        <v>0.0137037037037037</v>
      </c>
      <c r="F145" s="75" t="n">
        <v>0.003900462962962963</v>
      </c>
      <c r="G145" s="75" t="n">
        <v>0.007928240740740741</v>
      </c>
      <c r="H145" s="75" t="n">
        <v>0.004386574074074074</v>
      </c>
      <c r="I145" s="75" t="n">
        <v>0.01028935185185185</v>
      </c>
      <c r="J145" s="75" t="n">
        <v>0.004537037037037037</v>
      </c>
      <c r="K145" s="75" t="n">
        <v>0.02011574074074074</v>
      </c>
      <c r="L145" s="75" t="n">
        <v>0.03269675925925926</v>
      </c>
      <c r="M145" s="75" t="n">
        <v>0.005405092592592592</v>
      </c>
      <c r="N145" s="75" t="n">
        <v>0.008622685185185185</v>
      </c>
      <c r="O145" s="75" t="n">
        <v>0.01146990740740741</v>
      </c>
      <c r="P145" s="75" t="n">
        <v>0.02210648148148148</v>
      </c>
    </row>
    <row r="146" ht="15.75" customHeight="1" s="45">
      <c r="A146" s="76" t="n">
        <v>46064</v>
      </c>
      <c r="B146" s="77" t="inlineStr">
        <is>
          <t>Antes-Projeto</t>
        </is>
      </c>
      <c r="C146" s="78" t="inlineStr">
        <is>
          <t>Tempo Médio — 🟢 Verde   (hh:mm)</t>
        </is>
      </c>
      <c r="D146" s="79" t="n">
        <v>0.04798611111111111</v>
      </c>
      <c r="E146" s="79" t="n">
        <v>0.1402546296296296</v>
      </c>
      <c r="F146" s="79" t="n">
        <v>0.02458333333333333</v>
      </c>
      <c r="G146" s="79" t="n">
        <v>0.1263657407407408</v>
      </c>
      <c r="H146" s="79" t="n">
        <v>0.03832175925925926</v>
      </c>
      <c r="I146" s="79" t="n">
        <v>0.1271180555555556</v>
      </c>
      <c r="J146" s="79" t="n">
        <v>0.2074305555555556</v>
      </c>
      <c r="K146" s="79" t="n">
        <v>0.08885416666666666</v>
      </c>
      <c r="L146" s="79" t="n">
        <v>0.2583796296296296</v>
      </c>
      <c r="M146" s="79" t="n">
        <v>0.06288194444444445</v>
      </c>
      <c r="N146" s="79" t="n">
        <v>0.117662037037037</v>
      </c>
      <c r="O146" s="79" t="n">
        <v>0.08160879629629629</v>
      </c>
      <c r="P146" s="79" t="n">
        <v>0.1447916666666667</v>
      </c>
    </row>
    <row r="147" ht="15.75" customHeight="1" s="45">
      <c r="A147" s="57" t="n">
        <v>46065</v>
      </c>
      <c r="B147" s="58" t="inlineStr">
        <is>
          <t>Antes-Projeto</t>
        </is>
      </c>
      <c r="C147" s="59" t="inlineStr">
        <is>
          <t>Acolhim. + Atend. Urgência + Atend. UPA</t>
        </is>
      </c>
      <c r="D147" s="60">
        <f>SUM(D148:D150)</f>
        <v/>
      </c>
      <c r="E147" s="60">
        <f>SUM(E148:E150)</f>
        <v/>
      </c>
      <c r="F147" s="60">
        <f>SUM(F148:F150)</f>
        <v/>
      </c>
      <c r="G147" s="60">
        <f>SUM(G148:G150)</f>
        <v/>
      </c>
      <c r="H147" s="60">
        <f>SUM(H148:H150)</f>
        <v/>
      </c>
      <c r="I147" s="60">
        <f>SUM(I148:I150)</f>
        <v/>
      </c>
      <c r="J147" s="60">
        <f>SUM(J148:J150)</f>
        <v/>
      </c>
      <c r="K147" s="60">
        <f>SUM(K148:K150)</f>
        <v/>
      </c>
      <c r="L147" s="60">
        <f>SUM(L148:L150)</f>
        <v/>
      </c>
      <c r="M147" s="60">
        <f>SUM(M148:M150)</f>
        <v/>
      </c>
      <c r="N147" s="60">
        <f>SUM(N148:N150)</f>
        <v/>
      </c>
      <c r="O147" s="60">
        <f>SUM(O148:O150)</f>
        <v/>
      </c>
      <c r="P147" s="60">
        <f>SUM(P148:P150)</f>
        <v/>
      </c>
    </row>
    <row r="148" ht="15.75" customHeight="1" s="45">
      <c r="A148" s="61" t="n">
        <v>46065</v>
      </c>
      <c r="B148" s="62" t="inlineStr">
        <is>
          <t>Antes-Projeto</t>
        </is>
      </c>
      <c r="C148" s="65" t="inlineStr">
        <is>
          <t>Acolhimento c/ Classif. de Risco</t>
        </is>
      </c>
      <c r="D148" s="66" t="n">
        <v>114</v>
      </c>
      <c r="E148" s="66" t="n">
        <v>85</v>
      </c>
      <c r="F148" s="66" t="n">
        <v>72</v>
      </c>
      <c r="G148" s="66" t="n">
        <v>92</v>
      </c>
      <c r="H148" s="66" t="n">
        <v>75</v>
      </c>
      <c r="I148" s="66" t="n">
        <v>122</v>
      </c>
      <c r="J148" s="66" t="n">
        <v>80</v>
      </c>
      <c r="K148" s="66" t="n">
        <v>188</v>
      </c>
      <c r="L148" s="66" t="n">
        <v>78</v>
      </c>
      <c r="M148" s="66" t="n">
        <v>124</v>
      </c>
      <c r="N148" s="66" t="n">
        <v>191</v>
      </c>
      <c r="O148" s="66" t="n">
        <v>142</v>
      </c>
      <c r="P148" s="66" t="n">
        <v>140</v>
      </c>
    </row>
    <row r="149" ht="15.75" customHeight="1" s="45">
      <c r="A149" s="61" t="n">
        <v>46065</v>
      </c>
      <c r="B149" s="62" t="inlineStr">
        <is>
          <t>Antes-Projeto</t>
        </is>
      </c>
      <c r="C149" s="63" t="inlineStr">
        <is>
          <t>Atend. Urgência Obs. ≤ 24h</t>
        </is>
      </c>
      <c r="D149" s="64" t="n">
        <v>21</v>
      </c>
      <c r="E149" s="64" t="n">
        <v>21</v>
      </c>
      <c r="F149" s="64" t="n">
        <v>16</v>
      </c>
      <c r="G149" s="64" t="n">
        <v>20</v>
      </c>
      <c r="H149" s="64" t="n">
        <v>41</v>
      </c>
      <c r="I149" s="64" t="n">
        <v>74</v>
      </c>
      <c r="J149" s="64" t="n">
        <v>21</v>
      </c>
      <c r="K149" s="64" t="n">
        <v>37</v>
      </c>
      <c r="L149" s="64" t="n">
        <v>49</v>
      </c>
      <c r="M149" s="64" t="n">
        <v>15</v>
      </c>
      <c r="N149" s="64" t="n">
        <v>39</v>
      </c>
      <c r="O149" s="64" t="n">
        <v>13</v>
      </c>
      <c r="P149" s="64" t="n">
        <v>17</v>
      </c>
    </row>
    <row r="150" ht="15.75" customHeight="1" s="45">
      <c r="A150" s="61" t="n">
        <v>46065</v>
      </c>
      <c r="B150" s="62" t="inlineStr">
        <is>
          <t>Antes-Projeto</t>
        </is>
      </c>
      <c r="C150" s="65" t="inlineStr">
        <is>
          <t>Atend. Médico em UPA</t>
        </is>
      </c>
      <c r="D150" s="66" t="n">
        <v>134</v>
      </c>
      <c r="E150" s="66" t="n">
        <v>60</v>
      </c>
      <c r="F150" s="66" t="n">
        <v>91</v>
      </c>
      <c r="G150" s="66" t="n">
        <v>73</v>
      </c>
      <c r="H150" s="66" t="n">
        <v>63</v>
      </c>
      <c r="I150" s="66" t="n">
        <v>127</v>
      </c>
      <c r="J150" s="66" t="n">
        <v>82</v>
      </c>
      <c r="K150" s="66" t="n">
        <v>195</v>
      </c>
      <c r="L150" s="66" t="n">
        <v>68</v>
      </c>
      <c r="M150" s="66" t="n">
        <v>123</v>
      </c>
      <c r="N150" s="66" t="n">
        <v>190</v>
      </c>
      <c r="O150" s="66" t="n">
        <v>183</v>
      </c>
      <c r="P150" s="66" t="n">
        <v>86</v>
      </c>
    </row>
    <row r="151" ht="15.75" customHeight="1" s="45">
      <c r="A151" s="61" t="n">
        <v>46065</v>
      </c>
      <c r="B151" s="62" t="inlineStr">
        <is>
          <t>Antes-Projeto</t>
        </is>
      </c>
      <c r="C151" s="63" t="inlineStr">
        <is>
          <t>Exames Laboratoriais</t>
        </is>
      </c>
      <c r="D151" s="64" t="n">
        <v>486</v>
      </c>
      <c r="E151" s="64" t="n">
        <v>287</v>
      </c>
      <c r="F151" s="64" t="n">
        <v>98</v>
      </c>
      <c r="G151" s="64" t="n">
        <v>174</v>
      </c>
      <c r="H151" s="64" t="n">
        <v>164</v>
      </c>
      <c r="I151" s="64" t="n">
        <v>600</v>
      </c>
      <c r="J151" s="64" t="n">
        <v>209</v>
      </c>
      <c r="K151" s="64" t="n">
        <v>855</v>
      </c>
      <c r="L151" s="64" t="n">
        <v>608</v>
      </c>
      <c r="M151" s="64" t="n">
        <v>635</v>
      </c>
      <c r="N151" s="64" t="n">
        <v>619</v>
      </c>
      <c r="O151" s="64" t="n">
        <v>263</v>
      </c>
      <c r="P151" s="64" t="n">
        <v>280</v>
      </c>
    </row>
    <row r="152" ht="15.75" customHeight="1" s="45">
      <c r="A152" s="61" t="n">
        <v>46065</v>
      </c>
      <c r="B152" s="62" t="inlineStr">
        <is>
          <t>Antes-Projeto</t>
        </is>
      </c>
      <c r="C152" s="65" t="inlineStr">
        <is>
          <t>Radiografias</t>
        </is>
      </c>
      <c r="D152" s="66" t="n">
        <v>34</v>
      </c>
      <c r="E152" s="67" t="n">
        <v>0</v>
      </c>
      <c r="F152" s="66" t="n">
        <v>29</v>
      </c>
      <c r="G152" s="66" t="n">
        <v>12</v>
      </c>
      <c r="H152" s="66" t="n">
        <v>5</v>
      </c>
      <c r="I152" s="66" t="n">
        <v>24</v>
      </c>
      <c r="J152" s="66" t="n">
        <v>21</v>
      </c>
      <c r="K152" s="66" t="n">
        <v>1</v>
      </c>
      <c r="L152" s="66" t="n">
        <v>13</v>
      </c>
      <c r="M152" s="66" t="n">
        <v>33</v>
      </c>
      <c r="N152" s="66" t="n">
        <v>38</v>
      </c>
      <c r="O152" s="66" t="n">
        <v>43</v>
      </c>
      <c r="P152" s="66" t="n">
        <v>43</v>
      </c>
    </row>
    <row r="153" ht="15.75" customHeight="1" s="45">
      <c r="A153" s="61" t="n">
        <v>46065</v>
      </c>
      <c r="B153" s="62" t="inlineStr">
        <is>
          <t>Antes-Projeto</t>
        </is>
      </c>
      <c r="C153" s="63" t="inlineStr">
        <is>
          <t>Eletrocardiogramas</t>
        </is>
      </c>
      <c r="D153" s="64" t="n">
        <v>22</v>
      </c>
      <c r="E153" s="64" t="n">
        <v>11</v>
      </c>
      <c r="F153" s="64" t="n">
        <v>16</v>
      </c>
      <c r="G153" s="64" t="n">
        <v>13</v>
      </c>
      <c r="H153" s="64" t="n">
        <v>9</v>
      </c>
      <c r="I153" s="64" t="n">
        <v>8</v>
      </c>
      <c r="J153" s="64" t="n">
        <v>7</v>
      </c>
      <c r="K153" s="64" t="n">
        <v>22</v>
      </c>
      <c r="L153" s="64" t="n">
        <v>7</v>
      </c>
      <c r="M153" s="64" t="n">
        <v>17</v>
      </c>
      <c r="N153" s="64" t="n">
        <v>14</v>
      </c>
      <c r="O153" s="64" t="n">
        <v>10</v>
      </c>
      <c r="P153" s="64" t="n">
        <v>21</v>
      </c>
    </row>
    <row r="154" ht="15.75" customHeight="1" s="45">
      <c r="A154" s="61" t="n">
        <v>46065</v>
      </c>
      <c r="B154" s="62" t="inlineStr">
        <is>
          <t>Antes-Projeto</t>
        </is>
      </c>
      <c r="C154" s="68" t="inlineStr">
        <is>
          <t>GAEs Abertas</t>
        </is>
      </c>
      <c r="D154" s="69" t="n">
        <v>224</v>
      </c>
      <c r="E154" s="69" t="n">
        <v>126</v>
      </c>
      <c r="F154" s="69" t="n">
        <v>140</v>
      </c>
      <c r="G154" s="69" t="n">
        <v>127</v>
      </c>
      <c r="H154" s="69" t="n">
        <v>108</v>
      </c>
      <c r="I154" s="69" t="n">
        <v>176</v>
      </c>
      <c r="J154" s="69" t="n">
        <v>129</v>
      </c>
      <c r="K154" s="69" t="n">
        <v>277</v>
      </c>
      <c r="L154" s="69" t="n">
        <v>133</v>
      </c>
      <c r="M154" s="69" t="n">
        <v>196</v>
      </c>
      <c r="N154" s="69" t="n">
        <v>194</v>
      </c>
      <c r="O154" s="69" t="n">
        <v>240</v>
      </c>
      <c r="P154" s="69" t="n">
        <v>204</v>
      </c>
    </row>
    <row r="155" ht="15.75" customHeight="1" s="45">
      <c r="A155" s="61" t="n">
        <v>46065</v>
      </c>
      <c r="B155" s="62" t="inlineStr">
        <is>
          <t>Antes-Projeto</t>
        </is>
      </c>
      <c r="C155" s="68" t="inlineStr">
        <is>
          <t>GAEs Classificadas</t>
        </is>
      </c>
      <c r="D155" s="69" t="n">
        <v>209</v>
      </c>
      <c r="E155" s="69" t="n">
        <v>121</v>
      </c>
      <c r="F155" s="69" t="n">
        <v>132</v>
      </c>
      <c r="G155" s="69" t="n">
        <v>119</v>
      </c>
      <c r="H155" s="69" t="n">
        <v>105</v>
      </c>
      <c r="I155" s="69" t="n">
        <v>165</v>
      </c>
      <c r="J155" s="69" t="n">
        <v>121</v>
      </c>
      <c r="K155" s="69" t="n">
        <v>243</v>
      </c>
      <c r="L155" s="69" t="n">
        <v>120</v>
      </c>
      <c r="M155" s="69" t="n">
        <v>188</v>
      </c>
      <c r="N155" s="69" t="n">
        <v>179</v>
      </c>
      <c r="O155" s="69" t="n">
        <v>230</v>
      </c>
      <c r="P155" s="69" t="n">
        <v>198</v>
      </c>
    </row>
    <row r="156" ht="15.75" customHeight="1" s="45">
      <c r="A156" s="61" t="n">
        <v>46065</v>
      </c>
      <c r="B156" s="62" t="inlineStr">
        <is>
          <t>Antes-Projeto</t>
        </is>
      </c>
      <c r="C156" s="70" t="inlineStr">
        <is>
          <t>Percentual de GAEs abertas classificadas</t>
        </is>
      </c>
      <c r="D156" s="71">
        <f>IFERROR(D155/D154,"-")</f>
        <v/>
      </c>
      <c r="E156" s="71">
        <f>IFERROR(E155/E154,"-")</f>
        <v/>
      </c>
      <c r="F156" s="71">
        <f>IFERROR(F155/F154,"-")</f>
        <v/>
      </c>
      <c r="G156" s="71">
        <f>IFERROR(G155/G154,"-")</f>
        <v/>
      </c>
      <c r="H156" s="71">
        <f>IFERROR(H155/H154,"-")</f>
        <v/>
      </c>
      <c r="I156" s="71">
        <f>IFERROR(I155/I154,"-")</f>
        <v/>
      </c>
      <c r="J156" s="71">
        <f>IFERROR(J155/J154,"-")</f>
        <v/>
      </c>
      <c r="K156" s="71">
        <f>IFERROR(K155/K154,"-")</f>
        <v/>
      </c>
      <c r="L156" s="71">
        <f>IFERROR(L155/L154,"-")</f>
        <v/>
      </c>
      <c r="M156" s="71">
        <f>IFERROR(M155/M154,"-")</f>
        <v/>
      </c>
      <c r="N156" s="71">
        <f>IFERROR(N155/N154,"-")</f>
        <v/>
      </c>
      <c r="O156" s="71">
        <f>IFERROR(O155/O154,"-")</f>
        <v/>
      </c>
      <c r="P156" s="71">
        <f>IFERROR(P155/P154,"-")</f>
        <v/>
      </c>
    </row>
    <row r="157" ht="15.75" customHeight="1" s="45">
      <c r="A157" s="61" t="n">
        <v>46065</v>
      </c>
      <c r="B157" s="62" t="inlineStr">
        <is>
          <t>Antes-Projeto</t>
        </is>
      </c>
      <c r="C157" s="72" t="inlineStr">
        <is>
          <t>Tempo Médio — 🟡 Amarelo (hh:mm)</t>
        </is>
      </c>
      <c r="D157" s="73" t="n">
        <v>0.0600462962962963</v>
      </c>
      <c r="E157" s="73" t="n">
        <v>0.1193634259259259</v>
      </c>
      <c r="F157" s="73" t="n">
        <v>0.04048611111111111</v>
      </c>
      <c r="G157" s="73" t="n">
        <v>0.07401620370370371</v>
      </c>
      <c r="H157" s="73" t="n">
        <v>0.03094907407407407</v>
      </c>
      <c r="I157" s="73" t="n">
        <v>0.1162268518518518</v>
      </c>
      <c r="J157" s="73" t="n">
        <v>0.06134259259259259</v>
      </c>
      <c r="K157" s="73" t="n">
        <v>0.04486111111111111</v>
      </c>
      <c r="L157" s="73" t="n">
        <v>0.2269675925925926</v>
      </c>
      <c r="M157" s="73" t="n">
        <v>0.02564814814814815</v>
      </c>
      <c r="N157" s="73" t="n">
        <v>0.104375</v>
      </c>
      <c r="O157" s="73" t="n">
        <v>0.02114583333333333</v>
      </c>
      <c r="P157" s="73" t="n">
        <v>0.1176851851851852</v>
      </c>
    </row>
    <row r="158" ht="15.75" customHeight="1" s="45">
      <c r="A158" s="61" t="n">
        <v>46065</v>
      </c>
      <c r="B158" s="62" t="inlineStr">
        <is>
          <t>Antes-Projeto</t>
        </is>
      </c>
      <c r="C158" s="74" t="inlineStr">
        <is>
          <t>Tempo Médio — 🟠 Laranja (hh:mm)</t>
        </is>
      </c>
      <c r="D158" s="75" t="n">
        <v>0.01767361111111111</v>
      </c>
      <c r="E158" s="75" t="n">
        <v>0.01061342592592593</v>
      </c>
      <c r="F158" s="75" t="n">
        <v>0.009479166666666667</v>
      </c>
      <c r="G158" s="75" t="n">
        <v>0.01462962962962963</v>
      </c>
      <c r="H158" s="75" t="n">
        <v>0.006284722222222222</v>
      </c>
      <c r="I158" s="75" t="n">
        <v>0.007314814814814815</v>
      </c>
      <c r="J158" s="75" t="n">
        <v>0.02148148148148148</v>
      </c>
      <c r="K158" s="75" t="n">
        <v>0.008923611111111111</v>
      </c>
      <c r="L158" s="75" t="n">
        <v>0.02650462962962963</v>
      </c>
      <c r="M158" s="75" t="n">
        <v>0.004756944444444445</v>
      </c>
      <c r="N158" s="75" t="n">
        <v>0.01332175925925926</v>
      </c>
      <c r="O158" s="75" t="n">
        <v>0.009236111111111112</v>
      </c>
      <c r="P158" s="75" t="n">
        <v>0.03177083333333333</v>
      </c>
    </row>
    <row r="159" ht="15.75" customHeight="1" s="45">
      <c r="A159" s="76" t="n">
        <v>46065</v>
      </c>
      <c r="B159" s="77" t="inlineStr">
        <is>
          <t>Antes-Projeto</t>
        </is>
      </c>
      <c r="C159" s="78" t="inlineStr">
        <is>
          <t>Tempo Médio — 🟢 Verde   (hh:mm)</t>
        </is>
      </c>
      <c r="D159" s="79" t="n">
        <v>0.1024537037037037</v>
      </c>
      <c r="E159" s="79" t="n">
        <v>0.2623958333333333</v>
      </c>
      <c r="F159" s="79" t="n">
        <v>0.07871527777777777</v>
      </c>
      <c r="G159" s="79" t="n">
        <v>0.2347685185185185</v>
      </c>
      <c r="H159" s="79" t="n">
        <v>0.06332175925925926</v>
      </c>
      <c r="I159" s="79" t="n">
        <v>0.1261574074074074</v>
      </c>
      <c r="J159" s="79" t="n">
        <v>0.1570486111111111</v>
      </c>
      <c r="K159" s="79" t="n">
        <v>0.1022916666666667</v>
      </c>
      <c r="L159" s="79" t="n">
        <v>0.1971412037037037</v>
      </c>
      <c r="M159" s="79" t="n">
        <v>0.04037037037037037</v>
      </c>
      <c r="N159" s="79" t="n">
        <v>0.06078703703703704</v>
      </c>
      <c r="O159" s="79" t="n">
        <v>0.04186342592592593</v>
      </c>
      <c r="P159" s="79" t="n">
        <v>0.1027546296296296</v>
      </c>
    </row>
    <row r="160" ht="15.75" customHeight="1" s="45">
      <c r="A160" s="57" t="n">
        <v>46066</v>
      </c>
      <c r="B160" s="58" t="inlineStr">
        <is>
          <t>Antes-Projeto</t>
        </is>
      </c>
      <c r="C160" s="59" t="inlineStr">
        <is>
          <t>Acolhim. + Atend. Urgência + Atend. UPA</t>
        </is>
      </c>
      <c r="D160" s="60">
        <f>SUM(D161:D163)</f>
        <v/>
      </c>
      <c r="E160" s="60">
        <f>SUM(E161:E163)</f>
        <v/>
      </c>
      <c r="F160" s="60">
        <f>SUM(F161:F163)</f>
        <v/>
      </c>
      <c r="G160" s="60">
        <f>SUM(G161:G163)</f>
        <v/>
      </c>
      <c r="H160" s="60">
        <f>SUM(H161:H163)</f>
        <v/>
      </c>
      <c r="I160" s="60">
        <f>SUM(I161:I163)</f>
        <v/>
      </c>
      <c r="J160" s="60">
        <f>SUM(J161:J163)</f>
        <v/>
      </c>
      <c r="K160" s="60">
        <f>SUM(K161:K163)</f>
        <v/>
      </c>
      <c r="L160" s="60">
        <f>SUM(L161:L163)</f>
        <v/>
      </c>
      <c r="M160" s="60">
        <f>SUM(M161:M163)</f>
        <v/>
      </c>
      <c r="N160" s="60">
        <f>SUM(N161:N163)</f>
        <v/>
      </c>
      <c r="O160" s="60">
        <f>SUM(O161:O163)</f>
        <v/>
      </c>
      <c r="P160" s="60">
        <f>SUM(P161:P163)</f>
        <v/>
      </c>
    </row>
    <row r="161" ht="15.75" customHeight="1" s="45">
      <c r="A161" s="61" t="n">
        <v>46066</v>
      </c>
      <c r="B161" s="62" t="inlineStr">
        <is>
          <t>Antes-Projeto</t>
        </is>
      </c>
      <c r="C161" s="63" t="inlineStr">
        <is>
          <t>Acolhimento c/ Classif. de Risco</t>
        </is>
      </c>
      <c r="D161" s="64" t="n">
        <v>207</v>
      </c>
      <c r="E161" s="64" t="n">
        <v>122</v>
      </c>
      <c r="F161" s="64" t="n">
        <v>127</v>
      </c>
      <c r="G161" s="64" t="n">
        <v>107</v>
      </c>
      <c r="H161" s="64" t="n">
        <v>110</v>
      </c>
      <c r="I161" s="64" t="n">
        <v>160</v>
      </c>
      <c r="J161" s="64" t="n">
        <v>113</v>
      </c>
      <c r="K161" s="64" t="n">
        <v>230</v>
      </c>
      <c r="L161" s="64" t="n">
        <v>124</v>
      </c>
      <c r="M161" s="64" t="n">
        <v>172</v>
      </c>
      <c r="N161" s="64" t="n">
        <v>198</v>
      </c>
      <c r="O161" s="64" t="n">
        <v>220</v>
      </c>
      <c r="P161" s="64" t="n">
        <v>204</v>
      </c>
    </row>
    <row r="162" ht="15.75" customHeight="1" s="45">
      <c r="A162" s="61" t="n">
        <v>46066</v>
      </c>
      <c r="B162" s="62" t="inlineStr">
        <is>
          <t>Antes-Projeto</t>
        </is>
      </c>
      <c r="C162" s="65" t="inlineStr">
        <is>
          <t>Atend. Urgência Obs. ≤ 24h</t>
        </is>
      </c>
      <c r="D162" s="66" t="n">
        <v>46</v>
      </c>
      <c r="E162" s="66" t="n">
        <v>18</v>
      </c>
      <c r="F162" s="66" t="n">
        <v>18</v>
      </c>
      <c r="G162" s="66" t="n">
        <v>72</v>
      </c>
      <c r="H162" s="66" t="n">
        <v>105</v>
      </c>
      <c r="I162" s="66" t="n">
        <v>91</v>
      </c>
      <c r="J162" s="66" t="n">
        <v>64</v>
      </c>
      <c r="K162" s="66" t="n">
        <v>63</v>
      </c>
      <c r="L162" s="66" t="n">
        <v>34</v>
      </c>
      <c r="M162" s="66" t="n">
        <v>26</v>
      </c>
      <c r="N162" s="66" t="n">
        <v>38</v>
      </c>
      <c r="O162" s="66" t="n">
        <v>12</v>
      </c>
      <c r="P162" s="66" t="n">
        <v>98</v>
      </c>
    </row>
    <row r="163" ht="15.75" customHeight="1" s="45">
      <c r="A163" s="61" t="n">
        <v>46066</v>
      </c>
      <c r="B163" s="62" t="inlineStr">
        <is>
          <t>Antes-Projeto</t>
        </is>
      </c>
      <c r="C163" s="63" t="inlineStr">
        <is>
          <t>Atend. Médico em UPA</t>
        </is>
      </c>
      <c r="D163" s="64" t="n">
        <v>179</v>
      </c>
      <c r="E163" s="64" t="n">
        <v>43</v>
      </c>
      <c r="F163" s="64" t="n">
        <v>73</v>
      </c>
      <c r="G163" s="64" t="n">
        <v>90</v>
      </c>
      <c r="H163" s="64" t="n">
        <v>57</v>
      </c>
      <c r="I163" s="64" t="n">
        <v>131</v>
      </c>
      <c r="J163" s="64" t="n">
        <v>80</v>
      </c>
      <c r="K163" s="64" t="n">
        <v>158</v>
      </c>
      <c r="L163" s="64" t="n">
        <v>64</v>
      </c>
      <c r="M163" s="64" t="n">
        <v>81</v>
      </c>
      <c r="N163" s="64" t="n">
        <v>183</v>
      </c>
      <c r="O163" s="64" t="n">
        <v>175</v>
      </c>
      <c r="P163" s="64" t="n">
        <v>108</v>
      </c>
    </row>
    <row r="164" ht="15.75" customHeight="1" s="45">
      <c r="A164" s="61" t="n">
        <v>46066</v>
      </c>
      <c r="B164" s="62" t="inlineStr">
        <is>
          <t>Antes-Projeto</t>
        </is>
      </c>
      <c r="C164" s="65" t="inlineStr">
        <is>
          <t>Exames Laboratoriais</t>
        </is>
      </c>
      <c r="D164" s="66" t="n">
        <v>715</v>
      </c>
      <c r="E164" s="66" t="n">
        <v>344</v>
      </c>
      <c r="F164" s="66" t="n">
        <v>335</v>
      </c>
      <c r="G164" s="66" t="n">
        <v>289</v>
      </c>
      <c r="H164" s="66" t="n">
        <v>367</v>
      </c>
      <c r="I164" s="66" t="n">
        <v>420</v>
      </c>
      <c r="J164" s="66" t="n">
        <v>284</v>
      </c>
      <c r="K164" s="66" t="n">
        <v>761</v>
      </c>
      <c r="L164" s="66" t="n">
        <v>508</v>
      </c>
      <c r="M164" s="66" t="n">
        <v>465</v>
      </c>
      <c r="N164" s="66" t="n">
        <v>494</v>
      </c>
      <c r="O164" s="66" t="n">
        <v>446</v>
      </c>
      <c r="P164" s="66" t="n">
        <v>588</v>
      </c>
    </row>
    <row r="165" ht="15.75" customHeight="1" s="45">
      <c r="A165" s="61" t="n">
        <v>46066</v>
      </c>
      <c r="B165" s="62" t="inlineStr">
        <is>
          <t>Antes-Projeto</t>
        </is>
      </c>
      <c r="C165" s="63" t="inlineStr">
        <is>
          <t>Radiografias</t>
        </is>
      </c>
      <c r="D165" s="64" t="n">
        <v>32</v>
      </c>
      <c r="E165" s="67" t="n">
        <v>0</v>
      </c>
      <c r="F165" s="64" t="n">
        <v>15</v>
      </c>
      <c r="G165" s="64" t="n">
        <v>17</v>
      </c>
      <c r="H165" s="64" t="n">
        <v>7</v>
      </c>
      <c r="I165" s="64" t="n">
        <v>18</v>
      </c>
      <c r="J165" s="64" t="n">
        <v>25</v>
      </c>
      <c r="K165" s="67" t="n">
        <v>0</v>
      </c>
      <c r="L165" s="64" t="n">
        <v>22</v>
      </c>
      <c r="M165" s="64" t="n">
        <v>25</v>
      </c>
      <c r="N165" s="64" t="n">
        <v>24</v>
      </c>
      <c r="O165" s="64" t="n">
        <v>32</v>
      </c>
      <c r="P165" s="64" t="n">
        <v>37</v>
      </c>
    </row>
    <row r="166" ht="15.75" customHeight="1" s="45">
      <c r="A166" s="61" t="n">
        <v>46066</v>
      </c>
      <c r="B166" s="62" t="inlineStr">
        <is>
          <t>Antes-Projeto</t>
        </is>
      </c>
      <c r="C166" s="65" t="inlineStr">
        <is>
          <t>Eletrocardiogramas</t>
        </is>
      </c>
      <c r="D166" s="66" t="n">
        <v>17</v>
      </c>
      <c r="E166" s="66" t="n">
        <v>5</v>
      </c>
      <c r="F166" s="66" t="n">
        <v>14</v>
      </c>
      <c r="G166" s="66" t="n">
        <v>6</v>
      </c>
      <c r="H166" s="66" t="n">
        <v>16</v>
      </c>
      <c r="I166" s="66" t="n">
        <v>11</v>
      </c>
      <c r="J166" s="66" t="n">
        <v>8</v>
      </c>
      <c r="K166" s="66" t="n">
        <v>30</v>
      </c>
      <c r="L166" s="66" t="n">
        <v>9</v>
      </c>
      <c r="M166" s="66" t="n">
        <v>8</v>
      </c>
      <c r="N166" s="66" t="n">
        <v>17</v>
      </c>
      <c r="O166" s="66" t="n">
        <v>14</v>
      </c>
      <c r="P166" s="66" t="n">
        <v>21</v>
      </c>
    </row>
    <row r="167" ht="15.75" customHeight="1" s="45">
      <c r="A167" s="61" t="n">
        <v>46066</v>
      </c>
      <c r="B167" s="62" t="inlineStr">
        <is>
          <t>Antes-Projeto</t>
        </is>
      </c>
      <c r="C167" s="68" t="inlineStr">
        <is>
          <t>GAEs Abertas</t>
        </is>
      </c>
      <c r="D167" s="69" t="n">
        <v>218</v>
      </c>
      <c r="E167" s="69" t="n">
        <v>125</v>
      </c>
      <c r="F167" s="69" t="n">
        <v>129</v>
      </c>
      <c r="G167" s="69" t="n">
        <v>112</v>
      </c>
      <c r="H167" s="69" t="n">
        <v>118</v>
      </c>
      <c r="I167" s="69" t="n">
        <v>163</v>
      </c>
      <c r="J167" s="69" t="n">
        <v>126</v>
      </c>
      <c r="K167" s="69" t="n">
        <v>244</v>
      </c>
      <c r="L167" s="69" t="n">
        <v>131</v>
      </c>
      <c r="M167" s="69" t="n">
        <v>180</v>
      </c>
      <c r="N167" s="69" t="n">
        <v>195</v>
      </c>
      <c r="O167" s="69" t="n">
        <v>236</v>
      </c>
      <c r="P167" s="69" t="n">
        <v>214</v>
      </c>
    </row>
    <row r="168" ht="15.75" customHeight="1" s="45">
      <c r="A168" s="61" t="n">
        <v>46066</v>
      </c>
      <c r="B168" s="62" t="inlineStr">
        <is>
          <t>Antes-Projeto</t>
        </is>
      </c>
      <c r="C168" s="68" t="inlineStr">
        <is>
          <t>GAEs Classificadas</t>
        </is>
      </c>
      <c r="D168" s="69" t="n">
        <v>211</v>
      </c>
      <c r="E168" s="69" t="n">
        <v>121</v>
      </c>
      <c r="F168" s="69" t="n">
        <v>124</v>
      </c>
      <c r="G168" s="69" t="n">
        <v>106</v>
      </c>
      <c r="H168" s="69" t="n">
        <v>110</v>
      </c>
      <c r="I168" s="69" t="n">
        <v>153</v>
      </c>
      <c r="J168" s="69" t="n">
        <v>115</v>
      </c>
      <c r="K168" s="69" t="n">
        <v>228</v>
      </c>
      <c r="L168" s="69" t="n">
        <v>125</v>
      </c>
      <c r="M168" s="69" t="n">
        <v>170</v>
      </c>
      <c r="N168" s="69" t="n">
        <v>185</v>
      </c>
      <c r="O168" s="69" t="n">
        <v>222</v>
      </c>
      <c r="P168" s="69" t="n">
        <v>203</v>
      </c>
    </row>
    <row r="169" ht="15.75" customHeight="1" s="45">
      <c r="A169" s="61" t="n">
        <v>46066</v>
      </c>
      <c r="B169" s="62" t="inlineStr">
        <is>
          <t>Antes-Projeto</t>
        </is>
      </c>
      <c r="C169" s="70" t="inlineStr">
        <is>
          <t>Percentual de GAEs abertas classificadas</t>
        </is>
      </c>
      <c r="D169" s="71">
        <f>IFERROR(D168/D167,"-")</f>
        <v/>
      </c>
      <c r="E169" s="71">
        <f>IFERROR(E168/E167,"-")</f>
        <v/>
      </c>
      <c r="F169" s="71">
        <f>IFERROR(F168/F167,"-")</f>
        <v/>
      </c>
      <c r="G169" s="71">
        <f>IFERROR(G168/G167,"-")</f>
        <v/>
      </c>
      <c r="H169" s="71">
        <f>IFERROR(H168/H167,"-")</f>
        <v/>
      </c>
      <c r="I169" s="71">
        <f>IFERROR(I168/I167,"-")</f>
        <v/>
      </c>
      <c r="J169" s="71">
        <f>IFERROR(J168/J167,"-")</f>
        <v/>
      </c>
      <c r="K169" s="71">
        <f>IFERROR(K168/K167,"-")</f>
        <v/>
      </c>
      <c r="L169" s="71">
        <f>IFERROR(L168/L167,"-")</f>
        <v/>
      </c>
      <c r="M169" s="71">
        <f>IFERROR(M168/M167,"-")</f>
        <v/>
      </c>
      <c r="N169" s="71">
        <f>IFERROR(N168/N167,"-")</f>
        <v/>
      </c>
      <c r="O169" s="71">
        <f>IFERROR(O168/O167,"-")</f>
        <v/>
      </c>
      <c r="P169" s="71">
        <f>IFERROR(P168/P167,"-")</f>
        <v/>
      </c>
    </row>
    <row r="170" ht="15.75" customHeight="1" s="45">
      <c r="A170" s="61" t="n">
        <v>46066</v>
      </c>
      <c r="B170" s="62" t="inlineStr">
        <is>
          <t>Antes-Projeto</t>
        </is>
      </c>
      <c r="C170" s="72" t="inlineStr">
        <is>
          <t>Tempo Médio — 🟡 Amarelo (hh:mm)</t>
        </is>
      </c>
      <c r="D170" s="73" t="n">
        <v>0.05458333333333333</v>
      </c>
      <c r="E170" s="73" t="n">
        <v>0.02815972222222222</v>
      </c>
      <c r="F170" s="73" t="n">
        <v>0.09961805555555556</v>
      </c>
      <c r="G170" s="73" t="n">
        <v>0.03059027777777778</v>
      </c>
      <c r="H170" s="73" t="n">
        <v>0.4499768518518519</v>
      </c>
      <c r="I170" s="73" t="n">
        <v>0.04924768518518519</v>
      </c>
      <c r="J170" s="73" t="n">
        <v>0.06078703703703704</v>
      </c>
      <c r="K170" s="73" t="n">
        <v>0.0572337962962963</v>
      </c>
      <c r="L170" s="73" t="n">
        <v>0.1046643518518519</v>
      </c>
      <c r="M170" s="73" t="n">
        <v>0.01864583333333333</v>
      </c>
      <c r="N170" s="73" t="n">
        <v>0.06525462962962963</v>
      </c>
      <c r="O170" s="73" t="n">
        <v>0.08072916666666667</v>
      </c>
      <c r="P170" s="73" t="n">
        <v>0.07008101851851851</v>
      </c>
    </row>
    <row r="171" ht="15.75" customHeight="1" s="45">
      <c r="A171" s="61" t="n">
        <v>46066</v>
      </c>
      <c r="B171" s="62" t="inlineStr">
        <is>
          <t>Antes-Projeto</t>
        </is>
      </c>
      <c r="C171" s="74" t="inlineStr">
        <is>
          <t>Tempo Médio — 🟠 Laranja (hh:mm)</t>
        </is>
      </c>
      <c r="D171" s="75" t="n">
        <v>0.01079861111111111</v>
      </c>
      <c r="E171" s="75" t="n">
        <v>0.01688657407407407</v>
      </c>
      <c r="F171" s="75" t="n">
        <v>0.008356481481481482</v>
      </c>
      <c r="G171" s="75" t="n">
        <v>0.008518518518518519</v>
      </c>
      <c r="H171" s="75" t="n">
        <v>0.007673611111111111</v>
      </c>
      <c r="I171" s="75" t="n">
        <v>0.004293981481481481</v>
      </c>
      <c r="J171" s="75" t="n">
        <v>0.006701388888888889</v>
      </c>
      <c r="K171" s="75" t="n">
        <v>0.01302083333333333</v>
      </c>
      <c r="L171" s="75" t="n">
        <v>0.0225462962962963</v>
      </c>
      <c r="M171" s="75" t="n">
        <v>0.01706018518518519</v>
      </c>
      <c r="N171" s="75" t="n">
        <v>0.008715277777777778</v>
      </c>
      <c r="O171" s="75" t="n">
        <v>0.008506944444444444</v>
      </c>
      <c r="P171" s="75" t="n">
        <v>0.01311342592592593</v>
      </c>
    </row>
    <row r="172" ht="15.75" customHeight="1" s="45">
      <c r="A172" s="76" t="n">
        <v>46066</v>
      </c>
      <c r="B172" s="77" t="inlineStr">
        <is>
          <t>Antes-Projeto</t>
        </is>
      </c>
      <c r="C172" s="78" t="inlineStr">
        <is>
          <t>Tempo Médio — 🟢 Verde   (hh:mm)</t>
        </is>
      </c>
      <c r="D172" s="79" t="n">
        <v>0.1801157407407407</v>
      </c>
      <c r="E172" s="79" t="n">
        <v>0.04046296296296296</v>
      </c>
      <c r="F172" s="79" t="n">
        <v>0.1120601851851852</v>
      </c>
      <c r="G172" s="79" t="n">
        <v>0.06831018518518518</v>
      </c>
      <c r="H172" s="79" t="n">
        <v>0.01778935185185185</v>
      </c>
      <c r="I172" s="79" t="n">
        <v>0.1079282407407407</v>
      </c>
      <c r="J172" s="79" t="n">
        <v>0.1183101851851852</v>
      </c>
      <c r="K172" s="79" t="n">
        <v>0.06303240740740741</v>
      </c>
      <c r="L172" s="79" t="n">
        <v>0.09944444444444445</v>
      </c>
      <c r="M172" s="79" t="n">
        <v>0.03214120370370371</v>
      </c>
      <c r="N172" s="79" t="n">
        <v>0.1453009259259259</v>
      </c>
      <c r="O172" s="79" t="n">
        <v>0.1523148148148148</v>
      </c>
      <c r="P172" s="79" t="n">
        <v>0.1377546296296296</v>
      </c>
    </row>
    <row r="173" ht="15.75" customHeight="1" s="45">
      <c r="A173" s="57" t="n">
        <v>46067</v>
      </c>
      <c r="B173" s="58" t="inlineStr">
        <is>
          <t>Antes-Projeto</t>
        </is>
      </c>
      <c r="C173" s="59" t="inlineStr">
        <is>
          <t>Acolhim. + Atend. Urgência + Atend. UPA</t>
        </is>
      </c>
      <c r="D173" s="60">
        <f>SUM(D174:D176)</f>
        <v/>
      </c>
      <c r="E173" s="60">
        <f>SUM(E174:E176)</f>
        <v/>
      </c>
      <c r="F173" s="60">
        <f>SUM(F174:F176)</f>
        <v/>
      </c>
      <c r="G173" s="60">
        <f>SUM(G174:G176)</f>
        <v/>
      </c>
      <c r="H173" s="60">
        <f>SUM(H174:H176)</f>
        <v/>
      </c>
      <c r="I173" s="60">
        <f>SUM(I174:I176)</f>
        <v/>
      </c>
      <c r="J173" s="60">
        <f>SUM(J174:J176)</f>
        <v/>
      </c>
      <c r="K173" s="60">
        <f>SUM(K174:K176)</f>
        <v/>
      </c>
      <c r="L173" s="60">
        <f>SUM(L174:L176)</f>
        <v/>
      </c>
      <c r="M173" s="60">
        <f>SUM(M174:M176)</f>
        <v/>
      </c>
      <c r="N173" s="60">
        <f>SUM(N174:N176)</f>
        <v/>
      </c>
      <c r="O173" s="60">
        <f>SUM(O174:O176)</f>
        <v/>
      </c>
      <c r="P173" s="60">
        <f>SUM(P174:P176)</f>
        <v/>
      </c>
    </row>
    <row r="174" ht="15.75" customHeight="1" s="45">
      <c r="A174" s="61" t="n">
        <v>46067</v>
      </c>
      <c r="B174" s="62" t="inlineStr">
        <is>
          <t>Antes-Projeto</t>
        </is>
      </c>
      <c r="C174" s="65" t="inlineStr">
        <is>
          <t>Acolhimento c/ Classif. de Risco</t>
        </is>
      </c>
      <c r="D174" s="66" t="n">
        <v>182</v>
      </c>
      <c r="E174" s="66" t="n">
        <v>121</v>
      </c>
      <c r="F174" s="66" t="n">
        <v>130</v>
      </c>
      <c r="G174" s="66" t="n">
        <v>80</v>
      </c>
      <c r="H174" s="66" t="n">
        <v>90</v>
      </c>
      <c r="I174" s="66" t="n">
        <v>141</v>
      </c>
      <c r="J174" s="66" t="n">
        <v>90</v>
      </c>
      <c r="K174" s="66" t="n">
        <v>274</v>
      </c>
      <c r="L174" s="66" t="n">
        <v>126</v>
      </c>
      <c r="M174" s="66" t="n">
        <v>187</v>
      </c>
      <c r="N174" s="66" t="n">
        <v>189</v>
      </c>
      <c r="O174" s="66" t="n">
        <v>207</v>
      </c>
      <c r="P174" s="66" t="n">
        <v>191</v>
      </c>
    </row>
    <row r="175" ht="15.75" customHeight="1" s="45">
      <c r="A175" s="61" t="n">
        <v>46067</v>
      </c>
      <c r="B175" s="62" t="inlineStr">
        <is>
          <t>Antes-Projeto</t>
        </is>
      </c>
      <c r="C175" s="63" t="inlineStr">
        <is>
          <t>Atend. Urgência Obs. ≤ 24h</t>
        </is>
      </c>
      <c r="D175" s="64" t="n">
        <v>42</v>
      </c>
      <c r="E175" s="64" t="n">
        <v>22</v>
      </c>
      <c r="F175" s="64" t="n">
        <v>21</v>
      </c>
      <c r="G175" s="64" t="n">
        <v>52</v>
      </c>
      <c r="H175" s="64" t="n">
        <v>50</v>
      </c>
      <c r="I175" s="64" t="n">
        <v>61</v>
      </c>
      <c r="J175" s="64" t="n">
        <v>19</v>
      </c>
      <c r="K175" s="64" t="n">
        <v>298</v>
      </c>
      <c r="L175" s="64" t="n">
        <v>45</v>
      </c>
      <c r="M175" s="64" t="n">
        <v>26</v>
      </c>
      <c r="N175" s="64" t="n">
        <v>52</v>
      </c>
      <c r="O175" s="64" t="n">
        <v>16</v>
      </c>
      <c r="P175" s="64" t="n">
        <v>19</v>
      </c>
    </row>
    <row r="176" ht="15.75" customHeight="1" s="45">
      <c r="A176" s="61" t="n">
        <v>46067</v>
      </c>
      <c r="B176" s="62" t="inlineStr">
        <is>
          <t>Antes-Projeto</t>
        </is>
      </c>
      <c r="C176" s="65" t="inlineStr">
        <is>
          <t>Atend. Médico em UPA</t>
        </is>
      </c>
      <c r="D176" s="66" t="n">
        <v>114</v>
      </c>
      <c r="E176" s="66" t="n">
        <v>22</v>
      </c>
      <c r="F176" s="66" t="n">
        <v>83</v>
      </c>
      <c r="G176" s="66" t="n">
        <v>46</v>
      </c>
      <c r="H176" s="66" t="n">
        <v>32</v>
      </c>
      <c r="I176" s="66" t="n">
        <v>115</v>
      </c>
      <c r="J176" s="66" t="n">
        <v>62</v>
      </c>
      <c r="K176" s="66" t="n">
        <v>172</v>
      </c>
      <c r="L176" s="66" t="n">
        <v>66</v>
      </c>
      <c r="M176" s="66" t="n">
        <v>124</v>
      </c>
      <c r="N176" s="66" t="n">
        <v>193</v>
      </c>
      <c r="O176" s="66" t="n">
        <v>153</v>
      </c>
      <c r="P176" s="66" t="n">
        <v>109</v>
      </c>
    </row>
    <row r="177" ht="15.75" customHeight="1" s="45">
      <c r="A177" s="61" t="n">
        <v>46067</v>
      </c>
      <c r="B177" s="62" t="inlineStr">
        <is>
          <t>Antes-Projeto</t>
        </is>
      </c>
      <c r="C177" s="63" t="inlineStr">
        <is>
          <t>Exames Laboratoriais</t>
        </is>
      </c>
      <c r="D177" s="64" t="n">
        <v>436</v>
      </c>
      <c r="E177" s="64" t="n">
        <v>313</v>
      </c>
      <c r="F177" s="64" t="n">
        <v>233</v>
      </c>
      <c r="G177" s="64" t="n">
        <v>227</v>
      </c>
      <c r="H177" s="64" t="n">
        <v>201</v>
      </c>
      <c r="I177" s="64" t="n">
        <v>463</v>
      </c>
      <c r="J177" s="64" t="n">
        <v>263</v>
      </c>
      <c r="K177" s="64" t="n">
        <v>663</v>
      </c>
      <c r="L177" s="64" t="n">
        <v>561</v>
      </c>
      <c r="M177" s="64" t="n">
        <v>436</v>
      </c>
      <c r="N177" s="64" t="n">
        <v>426</v>
      </c>
      <c r="O177" s="64" t="n">
        <v>303</v>
      </c>
      <c r="P177" s="64" t="n">
        <v>247</v>
      </c>
    </row>
    <row r="178" ht="15.75" customHeight="1" s="45">
      <c r="A178" s="61" t="n">
        <v>46067</v>
      </c>
      <c r="B178" s="62" t="inlineStr">
        <is>
          <t>Antes-Projeto</t>
        </is>
      </c>
      <c r="C178" s="65" t="inlineStr">
        <is>
          <t>Radiografias</t>
        </is>
      </c>
      <c r="D178" s="66" t="n">
        <v>12</v>
      </c>
      <c r="E178" s="67" t="n">
        <v>0</v>
      </c>
      <c r="F178" s="66" t="n">
        <v>19</v>
      </c>
      <c r="G178" s="66" t="n">
        <v>10</v>
      </c>
      <c r="H178" s="66" t="n">
        <v>2</v>
      </c>
      <c r="I178" s="66" t="n">
        <v>20</v>
      </c>
      <c r="J178" s="66" t="n">
        <v>9</v>
      </c>
      <c r="K178" s="67" t="n">
        <v>0</v>
      </c>
      <c r="L178" s="66" t="n">
        <v>23</v>
      </c>
      <c r="M178" s="66" t="n">
        <v>29</v>
      </c>
      <c r="N178" s="66" t="n">
        <v>34</v>
      </c>
      <c r="O178" s="66" t="n">
        <v>30</v>
      </c>
      <c r="P178" s="66" t="n">
        <v>33</v>
      </c>
    </row>
    <row r="179" ht="15.75" customHeight="1" s="45">
      <c r="A179" s="61" t="n">
        <v>46067</v>
      </c>
      <c r="B179" s="62" t="inlineStr">
        <is>
          <t>Antes-Projeto</t>
        </is>
      </c>
      <c r="C179" s="63" t="inlineStr">
        <is>
          <t>Eletrocardiogramas</t>
        </is>
      </c>
      <c r="D179" s="64" t="n">
        <v>14</v>
      </c>
      <c r="E179" s="64" t="n">
        <v>12</v>
      </c>
      <c r="F179" s="64" t="n">
        <v>20</v>
      </c>
      <c r="G179" s="64" t="n">
        <v>6</v>
      </c>
      <c r="H179" s="64" t="n">
        <v>5</v>
      </c>
      <c r="I179" s="64" t="n">
        <v>12</v>
      </c>
      <c r="J179" s="64" t="n">
        <v>6</v>
      </c>
      <c r="K179" s="64" t="n">
        <v>16</v>
      </c>
      <c r="L179" s="64" t="n">
        <v>16</v>
      </c>
      <c r="M179" s="64" t="n">
        <v>8</v>
      </c>
      <c r="N179" s="64" t="n">
        <v>16</v>
      </c>
      <c r="O179" s="64" t="n">
        <v>10</v>
      </c>
      <c r="P179" s="64" t="n">
        <v>10</v>
      </c>
    </row>
    <row r="180" ht="15.75" customHeight="1" s="45">
      <c r="A180" s="61" t="n">
        <v>46067</v>
      </c>
      <c r="B180" s="62" t="inlineStr">
        <is>
          <t>Antes-Projeto</t>
        </is>
      </c>
      <c r="C180" s="68" t="inlineStr">
        <is>
          <t>GAEs Abertas</t>
        </is>
      </c>
      <c r="D180" s="69" t="n">
        <v>190</v>
      </c>
      <c r="E180" s="69" t="n">
        <v>138</v>
      </c>
      <c r="F180" s="69" t="n">
        <v>138</v>
      </c>
      <c r="G180" s="69" t="n">
        <v>82</v>
      </c>
      <c r="H180" s="69" t="n">
        <v>95</v>
      </c>
      <c r="I180" s="69" t="n">
        <v>147</v>
      </c>
      <c r="J180" s="69" t="n">
        <v>92</v>
      </c>
      <c r="K180" s="69" t="n">
        <v>274</v>
      </c>
      <c r="L180" s="69" t="n">
        <v>131</v>
      </c>
      <c r="M180" s="69" t="n">
        <v>198</v>
      </c>
      <c r="N180" s="69" t="n">
        <v>187</v>
      </c>
      <c r="O180" s="69" t="n">
        <v>220</v>
      </c>
      <c r="P180" s="69" t="n">
        <v>193</v>
      </c>
    </row>
    <row r="181" ht="15.75" customHeight="1" s="45">
      <c r="A181" s="61" t="n">
        <v>46067</v>
      </c>
      <c r="B181" s="62" t="inlineStr">
        <is>
          <t>Antes-Projeto</t>
        </is>
      </c>
      <c r="C181" s="68" t="inlineStr">
        <is>
          <t>GAEs Classificadas</t>
        </is>
      </c>
      <c r="D181" s="69" t="n">
        <v>180</v>
      </c>
      <c r="E181" s="69" t="n">
        <v>122</v>
      </c>
      <c r="F181" s="69" t="n">
        <v>130</v>
      </c>
      <c r="G181" s="69" t="n">
        <v>79</v>
      </c>
      <c r="H181" s="69" t="n">
        <v>91</v>
      </c>
      <c r="I181" s="69" t="n">
        <v>141</v>
      </c>
      <c r="J181" s="69" t="n">
        <v>87</v>
      </c>
      <c r="K181" s="69" t="n">
        <v>253</v>
      </c>
      <c r="L181" s="69" t="n">
        <v>124</v>
      </c>
      <c r="M181" s="69" t="n">
        <v>187</v>
      </c>
      <c r="N181" s="69" t="n">
        <v>172</v>
      </c>
      <c r="O181" s="69" t="n">
        <v>207</v>
      </c>
      <c r="P181" s="69" t="n">
        <v>190</v>
      </c>
    </row>
    <row r="182" ht="15.75" customHeight="1" s="45">
      <c r="A182" s="61" t="n">
        <v>46067</v>
      </c>
      <c r="B182" s="62" t="inlineStr">
        <is>
          <t>Antes-Projeto</t>
        </is>
      </c>
      <c r="C182" s="70" t="inlineStr">
        <is>
          <t>Percentual de GAEs abertas classificadas</t>
        </is>
      </c>
      <c r="D182" s="71">
        <f>IFERROR(D181/D180,"-")</f>
        <v/>
      </c>
      <c r="E182" s="71">
        <f>IFERROR(E181/E180,"-")</f>
        <v/>
      </c>
      <c r="F182" s="71">
        <f>IFERROR(F181/F180,"-")</f>
        <v/>
      </c>
      <c r="G182" s="71">
        <f>IFERROR(G181/G180,"-")</f>
        <v/>
      </c>
      <c r="H182" s="71">
        <f>IFERROR(H181/H180,"-")</f>
        <v/>
      </c>
      <c r="I182" s="71">
        <f>IFERROR(I181/I180,"-")</f>
        <v/>
      </c>
      <c r="J182" s="71">
        <f>IFERROR(J181/J180,"-")</f>
        <v/>
      </c>
      <c r="K182" s="71">
        <f>IFERROR(K181/K180,"-")</f>
        <v/>
      </c>
      <c r="L182" s="71">
        <f>IFERROR(L181/L180,"-")</f>
        <v/>
      </c>
      <c r="M182" s="71">
        <f>IFERROR(M181/M180,"-")</f>
        <v/>
      </c>
      <c r="N182" s="71">
        <f>IFERROR(N181/N180,"-")</f>
        <v/>
      </c>
      <c r="O182" s="71">
        <f>IFERROR(O181/O180,"-")</f>
        <v/>
      </c>
      <c r="P182" s="71">
        <f>IFERROR(P181/P180,"-")</f>
        <v/>
      </c>
    </row>
    <row r="183" ht="15.75" customHeight="1" s="45">
      <c r="A183" s="61" t="n">
        <v>46067</v>
      </c>
      <c r="B183" s="62" t="inlineStr">
        <is>
          <t>Antes-Projeto</t>
        </is>
      </c>
      <c r="C183" s="72" t="inlineStr">
        <is>
          <t>Tempo Médio — 🟡 Amarelo (hh:mm)</t>
        </is>
      </c>
      <c r="D183" s="73" t="n">
        <v>0.05291666666666667</v>
      </c>
      <c r="E183" s="73" t="n">
        <v>0.1203240740740741</v>
      </c>
      <c r="F183" s="73" t="n">
        <v>0.06505787037037038</v>
      </c>
      <c r="G183" s="73" t="n">
        <v>0.03395833333333333</v>
      </c>
      <c r="H183" s="73" t="n">
        <v>0.06998842592592593</v>
      </c>
      <c r="I183" s="73" t="n">
        <v>0.06296296296296296</v>
      </c>
      <c r="J183" s="73" t="n">
        <v>0.05142361111111111</v>
      </c>
      <c r="K183" s="73" t="n">
        <v>0.05866898148148148</v>
      </c>
      <c r="L183" s="73" t="n">
        <v>0.1386342592592593</v>
      </c>
      <c r="M183" s="73" t="n">
        <v>0.02771990740740741</v>
      </c>
      <c r="N183" s="73" t="n">
        <v>0.08665509259259259</v>
      </c>
      <c r="O183" s="73" t="n">
        <v>0.0484375</v>
      </c>
      <c r="P183" s="73" t="n">
        <v>0.05554398148148148</v>
      </c>
    </row>
    <row r="184" ht="15.75" customHeight="1" s="45">
      <c r="A184" s="61" t="n">
        <v>46067</v>
      </c>
      <c r="B184" s="62" t="inlineStr">
        <is>
          <t>Antes-Projeto</t>
        </is>
      </c>
      <c r="C184" s="74" t="inlineStr">
        <is>
          <t>Tempo Médio — 🟠 Laranja (hh:mm)</t>
        </is>
      </c>
      <c r="D184" s="75" t="n">
        <v>0.009456018518518518</v>
      </c>
      <c r="E184" s="75" t="n">
        <v>0.007615740740740741</v>
      </c>
      <c r="F184" s="75" t="n">
        <v>0.009525462962962963</v>
      </c>
      <c r="G184" s="75" t="n">
        <v>0.007118055555555555</v>
      </c>
      <c r="H184" s="75" t="n">
        <v>0.01459490740740741</v>
      </c>
      <c r="I184" s="75" t="n">
        <v>0.007916666666666667</v>
      </c>
      <c r="J184" s="75" t="n">
        <v>0.0053125</v>
      </c>
      <c r="K184" s="75" t="n">
        <v>0.01461805555555556</v>
      </c>
      <c r="L184" s="75" t="n">
        <v>0.0184837962962963</v>
      </c>
      <c r="M184" s="75" t="n">
        <v>0.01309027777777778</v>
      </c>
      <c r="N184" s="75" t="n">
        <v>0.01568287037037037</v>
      </c>
      <c r="O184" s="75" t="n">
        <v>0.01386574074074074</v>
      </c>
      <c r="P184" s="75" t="n">
        <v>0.008171296296296296</v>
      </c>
    </row>
    <row r="185" ht="15.75" customHeight="1" s="45">
      <c r="A185" s="76" t="n">
        <v>46067</v>
      </c>
      <c r="B185" s="77" t="inlineStr">
        <is>
          <t>Antes-Projeto</t>
        </is>
      </c>
      <c r="C185" s="78" t="inlineStr">
        <is>
          <t>Tempo Médio — 🟢 Verde   (hh:mm)</t>
        </is>
      </c>
      <c r="D185" s="79" t="n">
        <v>0.1164699074074074</v>
      </c>
      <c r="E185" s="79" t="n">
        <v>0.2310763888888889</v>
      </c>
      <c r="F185" s="79" t="n">
        <v>0.130150462962963</v>
      </c>
      <c r="G185" s="79" t="n">
        <v>0.08734953703703703</v>
      </c>
      <c r="H185" s="79" t="n">
        <v>0.08672453703703703</v>
      </c>
      <c r="I185" s="79" t="n">
        <v>0.1781597222222222</v>
      </c>
      <c r="J185" s="79" t="n">
        <v>0.0559837962962963</v>
      </c>
      <c r="K185" s="79" t="n">
        <v>0.09267361111111111</v>
      </c>
      <c r="L185" s="79" t="n">
        <v>0.1879976851851852</v>
      </c>
      <c r="M185" s="79" t="n">
        <v>0.08074074074074074</v>
      </c>
      <c r="N185" s="79" t="n">
        <v>0.1800810185185185</v>
      </c>
      <c r="O185" s="79" t="n">
        <v>0.1461574074074074</v>
      </c>
      <c r="P185" s="79" t="n">
        <v>0.1165972222222222</v>
      </c>
    </row>
    <row r="186" ht="15.75" customHeight="1" s="45">
      <c r="A186" s="57" t="n">
        <v>46068</v>
      </c>
      <c r="B186" s="58" t="inlineStr">
        <is>
          <t>Antes-Projeto</t>
        </is>
      </c>
      <c r="C186" s="59" t="inlineStr">
        <is>
          <t>Acolhim. + Atend. Urgência + Atend. UPA</t>
        </is>
      </c>
      <c r="D186" s="60">
        <f>SUM(D187:D189)</f>
        <v/>
      </c>
      <c r="E186" s="60">
        <f>SUM(E187:E189)</f>
        <v/>
      </c>
      <c r="F186" s="60">
        <f>SUM(F187:F189)</f>
        <v/>
      </c>
      <c r="G186" s="60">
        <f>SUM(G187:G189)</f>
        <v/>
      </c>
      <c r="H186" s="60">
        <f>SUM(H187:H189)</f>
        <v/>
      </c>
      <c r="I186" s="60">
        <f>SUM(I187:I189)</f>
        <v/>
      </c>
      <c r="J186" s="60">
        <f>SUM(J187:J189)</f>
        <v/>
      </c>
      <c r="K186" s="60">
        <f>SUM(K187:K189)</f>
        <v/>
      </c>
      <c r="L186" s="60">
        <f>SUM(L187:L189)</f>
        <v/>
      </c>
      <c r="M186" s="60">
        <f>SUM(M187:M189)</f>
        <v/>
      </c>
      <c r="N186" s="60">
        <f>SUM(N187:N189)</f>
        <v/>
      </c>
      <c r="O186" s="60">
        <f>SUM(O187:O189)</f>
        <v/>
      </c>
      <c r="P186" s="60">
        <f>SUM(P187:P189)</f>
        <v/>
      </c>
    </row>
    <row r="187" ht="15.75" customHeight="1" s="45">
      <c r="A187" s="61" t="n">
        <v>46068</v>
      </c>
      <c r="B187" s="62" t="inlineStr">
        <is>
          <t>Antes-Projeto</t>
        </is>
      </c>
      <c r="C187" s="63" t="inlineStr">
        <is>
          <t>Acolhimento c/ Classif. de Risco</t>
        </is>
      </c>
      <c r="D187" s="64" t="n">
        <v>162</v>
      </c>
      <c r="E187" s="64" t="n">
        <v>124</v>
      </c>
      <c r="F187" s="64" t="n">
        <v>125</v>
      </c>
      <c r="G187" s="64" t="n">
        <v>90</v>
      </c>
      <c r="H187" s="64" t="n">
        <v>74</v>
      </c>
      <c r="I187" s="64" t="n">
        <v>143</v>
      </c>
      <c r="J187" s="64" t="n">
        <v>42</v>
      </c>
      <c r="K187" s="64" t="n">
        <v>238</v>
      </c>
      <c r="L187" s="64" t="n">
        <v>62</v>
      </c>
      <c r="M187" s="64" t="n">
        <v>181</v>
      </c>
      <c r="N187" s="64" t="n">
        <v>179</v>
      </c>
      <c r="O187" s="64" t="n">
        <v>191</v>
      </c>
      <c r="P187" s="64" t="n">
        <v>165</v>
      </c>
    </row>
    <row r="188" ht="15.75" customHeight="1" s="45">
      <c r="A188" s="61" t="n">
        <v>46068</v>
      </c>
      <c r="B188" s="62" t="inlineStr">
        <is>
          <t>Antes-Projeto</t>
        </is>
      </c>
      <c r="C188" s="65" t="inlineStr">
        <is>
          <t>Atend. Urgência Obs. ≤ 24h</t>
        </is>
      </c>
      <c r="D188" s="66" t="n">
        <v>61</v>
      </c>
      <c r="E188" s="66" t="n">
        <v>28</v>
      </c>
      <c r="F188" s="66" t="n">
        <v>21</v>
      </c>
      <c r="G188" s="66" t="n">
        <v>45</v>
      </c>
      <c r="H188" s="66" t="n">
        <v>36</v>
      </c>
      <c r="I188" s="66" t="n">
        <v>58</v>
      </c>
      <c r="J188" s="66" t="n">
        <v>10</v>
      </c>
      <c r="K188" s="66" t="n">
        <v>233</v>
      </c>
      <c r="L188" s="66" t="n">
        <v>50</v>
      </c>
      <c r="M188" s="66" t="n">
        <v>43</v>
      </c>
      <c r="N188" s="66" t="n">
        <v>41</v>
      </c>
      <c r="O188" s="66" t="n">
        <v>5</v>
      </c>
      <c r="P188" s="66" t="n">
        <v>22</v>
      </c>
    </row>
    <row r="189" ht="15.75" customHeight="1" s="45">
      <c r="A189" s="61" t="n">
        <v>46068</v>
      </c>
      <c r="B189" s="62" t="inlineStr">
        <is>
          <t>Antes-Projeto</t>
        </is>
      </c>
      <c r="C189" s="63" t="inlineStr">
        <is>
          <t>Atend. Médico em UPA</t>
        </is>
      </c>
      <c r="D189" s="64" t="n">
        <v>95</v>
      </c>
      <c r="E189" s="64" t="n">
        <v>64</v>
      </c>
      <c r="F189" s="64" t="n">
        <v>94</v>
      </c>
      <c r="G189" s="64" t="n">
        <v>65</v>
      </c>
      <c r="H189" s="64" t="n">
        <v>33</v>
      </c>
      <c r="I189" s="64" t="n">
        <v>111</v>
      </c>
      <c r="J189" s="64" t="n">
        <v>18</v>
      </c>
      <c r="K189" s="64" t="n">
        <v>164</v>
      </c>
      <c r="L189" s="64" t="n">
        <v>66</v>
      </c>
      <c r="M189" s="64" t="n">
        <v>103</v>
      </c>
      <c r="N189" s="64" t="n">
        <v>182</v>
      </c>
      <c r="O189" s="64" t="n">
        <v>147</v>
      </c>
      <c r="P189" s="64" t="n">
        <v>130</v>
      </c>
    </row>
    <row r="190" ht="15.75" customHeight="1" s="45">
      <c r="A190" s="61" t="n">
        <v>46068</v>
      </c>
      <c r="B190" s="62" t="inlineStr">
        <is>
          <t>Antes-Projeto</t>
        </is>
      </c>
      <c r="C190" s="65" t="inlineStr">
        <is>
          <t>Exames Laboratoriais</t>
        </is>
      </c>
      <c r="D190" s="66" t="n">
        <v>508</v>
      </c>
      <c r="E190" s="66" t="n">
        <v>459</v>
      </c>
      <c r="F190" s="66" t="n">
        <v>398</v>
      </c>
      <c r="G190" s="66" t="n">
        <v>156</v>
      </c>
      <c r="H190" s="66" t="n">
        <v>156</v>
      </c>
      <c r="I190" s="66" t="n">
        <v>469</v>
      </c>
      <c r="J190" s="66" t="n">
        <v>58</v>
      </c>
      <c r="K190" s="66" t="n">
        <v>612</v>
      </c>
      <c r="L190" s="66" t="n">
        <v>647</v>
      </c>
      <c r="M190" s="66" t="n">
        <v>588</v>
      </c>
      <c r="N190" s="66" t="n">
        <v>799</v>
      </c>
      <c r="O190" s="66" t="n">
        <v>413</v>
      </c>
      <c r="P190" s="66" t="n">
        <v>437</v>
      </c>
    </row>
    <row r="191" ht="15.75" customHeight="1" s="45">
      <c r="A191" s="61" t="n">
        <v>46068</v>
      </c>
      <c r="B191" s="62" t="inlineStr">
        <is>
          <t>Antes-Projeto</t>
        </is>
      </c>
      <c r="C191" s="63" t="inlineStr">
        <is>
          <t>Radiografias</t>
        </is>
      </c>
      <c r="D191" s="64" t="n">
        <v>22</v>
      </c>
      <c r="E191" s="67" t="n">
        <v>0</v>
      </c>
      <c r="F191" s="64" t="n">
        <v>17</v>
      </c>
      <c r="G191" s="64" t="n">
        <v>10</v>
      </c>
      <c r="H191" s="64" t="n">
        <v>5</v>
      </c>
      <c r="I191" s="64" t="n">
        <v>23</v>
      </c>
      <c r="J191" s="64" t="n">
        <v>1</v>
      </c>
      <c r="K191" s="64" t="n">
        <v>1</v>
      </c>
      <c r="L191" s="64" t="n">
        <v>21</v>
      </c>
      <c r="M191" s="64" t="n">
        <v>39</v>
      </c>
      <c r="N191" s="64" t="n">
        <v>45</v>
      </c>
      <c r="O191" s="64" t="n">
        <v>24</v>
      </c>
      <c r="P191" s="64" t="n">
        <v>49</v>
      </c>
    </row>
    <row r="192" ht="15.75" customHeight="1" s="45">
      <c r="A192" s="61" t="n">
        <v>46068</v>
      </c>
      <c r="B192" s="62" t="inlineStr">
        <is>
          <t>Antes-Projeto</t>
        </is>
      </c>
      <c r="C192" s="65" t="inlineStr">
        <is>
          <t>Eletrocardiogramas</t>
        </is>
      </c>
      <c r="D192" s="66" t="n">
        <v>12</v>
      </c>
      <c r="E192" s="66" t="n">
        <v>6</v>
      </c>
      <c r="F192" s="66" t="n">
        <v>22</v>
      </c>
      <c r="G192" s="66" t="n">
        <v>8</v>
      </c>
      <c r="H192" s="66" t="n">
        <v>3</v>
      </c>
      <c r="I192" s="66" t="n">
        <v>4</v>
      </c>
      <c r="J192" s="66" t="n">
        <v>2</v>
      </c>
      <c r="K192" s="66" t="n">
        <v>19</v>
      </c>
      <c r="L192" s="66" t="n">
        <v>15</v>
      </c>
      <c r="M192" s="66" t="n">
        <v>10</v>
      </c>
      <c r="N192" s="66" t="n">
        <v>22</v>
      </c>
      <c r="O192" s="66" t="n">
        <v>11</v>
      </c>
      <c r="P192" s="66" t="n">
        <v>19</v>
      </c>
    </row>
    <row r="193" ht="15.75" customHeight="1" s="45">
      <c r="A193" s="61" t="n">
        <v>46068</v>
      </c>
      <c r="B193" s="62" t="inlineStr">
        <is>
          <t>Antes-Projeto</t>
        </is>
      </c>
      <c r="C193" s="68" t="inlineStr">
        <is>
          <t>GAEs Abertas</t>
        </is>
      </c>
      <c r="D193" s="69" t="n">
        <v>175</v>
      </c>
      <c r="E193" s="69" t="n">
        <v>132</v>
      </c>
      <c r="F193" s="69" t="n">
        <v>129</v>
      </c>
      <c r="G193" s="69" t="n">
        <v>90</v>
      </c>
      <c r="H193" s="69" t="n">
        <v>75</v>
      </c>
      <c r="I193" s="69" t="n">
        <v>149</v>
      </c>
      <c r="J193" s="69" t="n">
        <v>46</v>
      </c>
      <c r="K193" s="69" t="n">
        <v>255</v>
      </c>
      <c r="L193" s="69" t="n">
        <v>64</v>
      </c>
      <c r="M193" s="69" t="n">
        <v>195</v>
      </c>
      <c r="N193" s="69" t="n">
        <v>180</v>
      </c>
      <c r="O193" s="69" t="n">
        <v>204</v>
      </c>
      <c r="P193" s="69" t="n">
        <v>173</v>
      </c>
    </row>
    <row r="194" ht="15.75" customHeight="1" s="45">
      <c r="A194" s="61" t="n">
        <v>46068</v>
      </c>
      <c r="B194" s="62" t="inlineStr">
        <is>
          <t>Antes-Projeto</t>
        </is>
      </c>
      <c r="C194" s="68" t="inlineStr">
        <is>
          <t>GAEs Classificadas</t>
        </is>
      </c>
      <c r="D194" s="69" t="n">
        <v>162</v>
      </c>
      <c r="E194" s="69" t="n">
        <v>125</v>
      </c>
      <c r="F194" s="69" t="n">
        <v>125</v>
      </c>
      <c r="G194" s="69" t="n">
        <v>90</v>
      </c>
      <c r="H194" s="69" t="n">
        <v>73</v>
      </c>
      <c r="I194" s="69" t="n">
        <v>143</v>
      </c>
      <c r="J194" s="69" t="n">
        <v>42</v>
      </c>
      <c r="K194" s="69" t="n">
        <v>240</v>
      </c>
      <c r="L194" s="69" t="n">
        <v>62</v>
      </c>
      <c r="M194" s="69" t="n">
        <v>182</v>
      </c>
      <c r="N194" s="69" t="n">
        <v>167</v>
      </c>
      <c r="O194" s="69" t="n">
        <v>193</v>
      </c>
      <c r="P194" s="69" t="n">
        <v>164</v>
      </c>
    </row>
    <row r="195" ht="15.75" customHeight="1" s="45">
      <c r="A195" s="61" t="n">
        <v>46068</v>
      </c>
      <c r="B195" s="62" t="inlineStr">
        <is>
          <t>Antes-Projeto</t>
        </is>
      </c>
      <c r="C195" s="70" t="inlineStr">
        <is>
          <t>Percentual de GAEs abertas classificadas</t>
        </is>
      </c>
      <c r="D195" s="71">
        <f>IFERROR(D194/D193,"-")</f>
        <v/>
      </c>
      <c r="E195" s="71">
        <f>IFERROR(E194/E193,"-")</f>
        <v/>
      </c>
      <c r="F195" s="71">
        <f>IFERROR(F194/F193,"-")</f>
        <v/>
      </c>
      <c r="G195" s="71">
        <f>IFERROR(G194/G193,"-")</f>
        <v/>
      </c>
      <c r="H195" s="71">
        <f>IFERROR(H194/H193,"-")</f>
        <v/>
      </c>
      <c r="I195" s="71">
        <f>IFERROR(I194/I193,"-")</f>
        <v/>
      </c>
      <c r="J195" s="71">
        <f>IFERROR(J194/J193,"-")</f>
        <v/>
      </c>
      <c r="K195" s="71">
        <f>IFERROR(K194/K193,"-")</f>
        <v/>
      </c>
      <c r="L195" s="71">
        <f>IFERROR(L194/L193,"-")</f>
        <v/>
      </c>
      <c r="M195" s="71">
        <f>IFERROR(M194/M193,"-")</f>
        <v/>
      </c>
      <c r="N195" s="71">
        <f>IFERROR(N194/N193,"-")</f>
        <v/>
      </c>
      <c r="O195" s="71">
        <f>IFERROR(O194/O193,"-")</f>
        <v/>
      </c>
      <c r="P195" s="71">
        <f>IFERROR(P194/P193,"-")</f>
        <v/>
      </c>
    </row>
    <row r="196" ht="15.75" customHeight="1" s="45">
      <c r="A196" s="61" t="n">
        <v>46068</v>
      </c>
      <c r="B196" s="62" t="inlineStr">
        <is>
          <t>Antes-Projeto</t>
        </is>
      </c>
      <c r="C196" s="72" t="inlineStr">
        <is>
          <t>Tempo Médio — 🟡 Amarelo (hh:mm)</t>
        </is>
      </c>
      <c r="D196" s="73" t="n">
        <v>0.1731018518518518</v>
      </c>
      <c r="E196" s="73" t="n">
        <v>0.1280902777777778</v>
      </c>
      <c r="F196" s="73" t="n">
        <v>0.06798611111111111</v>
      </c>
      <c r="G196" s="73" t="n">
        <v>0.04898148148148148</v>
      </c>
      <c r="H196" s="73" t="n">
        <v>0.0330787037037037</v>
      </c>
      <c r="I196" s="73" t="n">
        <v>0.08292824074074075</v>
      </c>
      <c r="J196" s="73" t="n">
        <v>0.1314467592592592</v>
      </c>
      <c r="K196" s="73" t="n">
        <v>0.0738425925925926</v>
      </c>
      <c r="L196" s="73" t="n">
        <v>0.1158101851851852</v>
      </c>
      <c r="M196" s="73" t="n">
        <v>0.04042824074074074</v>
      </c>
      <c r="N196" s="73" t="n">
        <v>0.049375</v>
      </c>
      <c r="O196" s="73" t="n">
        <v>0.1303125</v>
      </c>
      <c r="P196" s="73" t="n">
        <v>0.04252314814814815</v>
      </c>
    </row>
    <row r="197" ht="15.75" customHeight="1" s="45">
      <c r="A197" s="61" t="n">
        <v>46068</v>
      </c>
      <c r="B197" s="62" t="inlineStr">
        <is>
          <t>Antes-Projeto</t>
        </is>
      </c>
      <c r="C197" s="74" t="inlineStr">
        <is>
          <t>Tempo Médio — 🟠 Laranja (hh:mm)</t>
        </is>
      </c>
      <c r="D197" s="75" t="n">
        <v>0.01119212962962963</v>
      </c>
      <c r="E197" s="75" t="n">
        <v>0.02358796296296296</v>
      </c>
      <c r="F197" s="75" t="n">
        <v>0.007013888888888889</v>
      </c>
      <c r="G197" s="75" t="n">
        <v>0.01094907407407407</v>
      </c>
      <c r="H197" s="75" t="n">
        <v>0.005462962962962963</v>
      </c>
      <c r="I197" s="75" t="n">
        <v>0.01341435185185185</v>
      </c>
      <c r="J197" s="75" t="n">
        <v>0.0184837962962963</v>
      </c>
      <c r="K197" s="75" t="n">
        <v>0.01775462962962963</v>
      </c>
      <c r="L197" s="75" t="n">
        <v>0.02290509259259259</v>
      </c>
      <c r="M197" s="75" t="n">
        <v>0.01978009259259259</v>
      </c>
      <c r="N197" s="75" t="n">
        <v>0.00636574074074074</v>
      </c>
      <c r="O197" s="75" t="n">
        <v>0.01510416666666667</v>
      </c>
      <c r="P197" s="75" t="n">
        <v>0.01350694444444444</v>
      </c>
    </row>
    <row r="198" ht="15.75" customHeight="1" s="45">
      <c r="A198" s="76" t="n">
        <v>46068</v>
      </c>
      <c r="B198" s="77" t="inlineStr">
        <is>
          <t>Antes-Projeto</t>
        </is>
      </c>
      <c r="C198" s="78" t="inlineStr">
        <is>
          <t>Tempo Médio — 🟢 Verde   (hh:mm)</t>
        </is>
      </c>
      <c r="D198" s="79" t="n">
        <v>0.2765162037037037</v>
      </c>
      <c r="E198" s="79" t="n">
        <v>0.2607638888888889</v>
      </c>
      <c r="F198" s="79" t="n">
        <v>0.1493055555555556</v>
      </c>
      <c r="G198" s="79" t="n">
        <v>0.08844907407407407</v>
      </c>
      <c r="H198" s="79" t="n">
        <v>0.06188657407407407</v>
      </c>
      <c r="I198" s="79" t="n">
        <v>0.1920601851851852</v>
      </c>
      <c r="J198" s="79" t="n">
        <v>0.2130092592592593</v>
      </c>
      <c r="K198" s="79" t="n">
        <v>0.1398611111111111</v>
      </c>
      <c r="L198" s="79" t="n">
        <v>0.1952083333333333</v>
      </c>
      <c r="M198" s="79" t="n">
        <v>0.05895833333333333</v>
      </c>
      <c r="N198" s="79" t="n">
        <v>0.06937500000000001</v>
      </c>
      <c r="O198" s="79" t="n">
        <v>0.3096527777777778</v>
      </c>
      <c r="P198" s="79" t="n">
        <v>0.1046759259259259</v>
      </c>
    </row>
    <row r="199" ht="15.75" customHeight="1" s="45">
      <c r="A199" s="57" t="n">
        <v>46069</v>
      </c>
      <c r="B199" s="58" t="inlineStr">
        <is>
          <t>Antes-Projeto</t>
        </is>
      </c>
      <c r="C199" s="59" t="inlineStr">
        <is>
          <t>Acolhim. + Atend. Urgência + Atend. UPA</t>
        </is>
      </c>
      <c r="D199" s="60">
        <f>SUM(D200:D202)</f>
        <v/>
      </c>
      <c r="E199" s="60">
        <f>SUM(E200:E202)</f>
        <v/>
      </c>
      <c r="F199" s="60">
        <f>SUM(F200:F202)</f>
        <v/>
      </c>
      <c r="G199" s="60">
        <f>SUM(G200:G202)</f>
        <v/>
      </c>
      <c r="H199" s="60">
        <f>SUM(H200:H202)</f>
        <v/>
      </c>
      <c r="I199" s="60">
        <f>SUM(I200:I202)</f>
        <v/>
      </c>
      <c r="J199" s="60">
        <f>SUM(J200:J202)</f>
        <v/>
      </c>
      <c r="K199" s="60">
        <f>SUM(K200:K202)</f>
        <v/>
      </c>
      <c r="L199" s="60">
        <f>SUM(L200:L202)</f>
        <v/>
      </c>
      <c r="M199" s="60">
        <f>SUM(M200:M202)</f>
        <v/>
      </c>
      <c r="N199" s="60">
        <f>SUM(N200:N202)</f>
        <v/>
      </c>
      <c r="O199" s="60">
        <f>SUM(O200:O202)</f>
        <v/>
      </c>
      <c r="P199" s="60">
        <f>SUM(P200:P202)</f>
        <v/>
      </c>
    </row>
    <row r="200" ht="15.75" customHeight="1" s="45">
      <c r="A200" s="61" t="n">
        <v>46069</v>
      </c>
      <c r="B200" s="62" t="inlineStr">
        <is>
          <t>Antes-Projeto</t>
        </is>
      </c>
      <c r="C200" s="65" t="inlineStr">
        <is>
          <t>Acolhimento c/ Classif. de Risco</t>
        </is>
      </c>
      <c r="D200" s="66" t="n">
        <v>201</v>
      </c>
      <c r="E200" s="66" t="n">
        <v>140</v>
      </c>
      <c r="F200" s="66" t="n">
        <v>140</v>
      </c>
      <c r="G200" s="66" t="n">
        <v>141</v>
      </c>
      <c r="H200" s="66" t="n">
        <v>148</v>
      </c>
      <c r="I200" s="66" t="n">
        <v>178</v>
      </c>
      <c r="J200" s="66" t="n">
        <v>100</v>
      </c>
      <c r="K200" s="66" t="n">
        <v>282</v>
      </c>
      <c r="L200" s="66" t="n">
        <v>128</v>
      </c>
      <c r="M200" s="66" t="n">
        <v>243</v>
      </c>
      <c r="N200" s="66" t="n">
        <v>221</v>
      </c>
      <c r="O200" s="66" t="n">
        <v>225</v>
      </c>
      <c r="P200" s="66" t="n">
        <v>237</v>
      </c>
    </row>
    <row r="201" ht="15.75" customHeight="1" s="45">
      <c r="A201" s="61" t="n">
        <v>46069</v>
      </c>
      <c r="B201" s="62" t="inlineStr">
        <is>
          <t>Antes-Projeto</t>
        </is>
      </c>
      <c r="C201" s="63" t="inlineStr">
        <is>
          <t>Atend. Urgência Obs. ≤ 24h</t>
        </is>
      </c>
      <c r="D201" s="64" t="n">
        <v>39</v>
      </c>
      <c r="E201" s="64" t="n">
        <v>36</v>
      </c>
      <c r="F201" s="64" t="n">
        <v>21</v>
      </c>
      <c r="G201" s="64" t="n">
        <v>39</v>
      </c>
      <c r="H201" s="64" t="n">
        <v>38</v>
      </c>
      <c r="I201" s="64" t="n">
        <v>54</v>
      </c>
      <c r="J201" s="64" t="n">
        <v>13</v>
      </c>
      <c r="K201" s="64" t="n">
        <v>150</v>
      </c>
      <c r="L201" s="64" t="n">
        <v>40</v>
      </c>
      <c r="M201" s="64" t="n">
        <v>53</v>
      </c>
      <c r="N201" s="64" t="n">
        <v>30</v>
      </c>
      <c r="O201" s="64" t="n">
        <v>4</v>
      </c>
      <c r="P201" s="64" t="n">
        <v>17</v>
      </c>
    </row>
    <row r="202" ht="15.75" customHeight="1" s="45">
      <c r="A202" s="61" t="n">
        <v>46069</v>
      </c>
      <c r="B202" s="62" t="inlineStr">
        <is>
          <t>Antes-Projeto</t>
        </is>
      </c>
      <c r="C202" s="65" t="inlineStr">
        <is>
          <t>Atend. Médico em UPA</t>
        </is>
      </c>
      <c r="D202" s="66" t="n">
        <v>67</v>
      </c>
      <c r="E202" s="66" t="n">
        <v>77</v>
      </c>
      <c r="F202" s="66" t="n">
        <v>101</v>
      </c>
      <c r="G202" s="66" t="n">
        <v>106</v>
      </c>
      <c r="H202" s="66" t="n">
        <v>77</v>
      </c>
      <c r="I202" s="66" t="n">
        <v>148</v>
      </c>
      <c r="J202" s="66" t="n">
        <v>84</v>
      </c>
      <c r="K202" s="66" t="n">
        <v>187</v>
      </c>
      <c r="L202" s="66" t="n">
        <v>73</v>
      </c>
      <c r="M202" s="66" t="n">
        <v>99</v>
      </c>
      <c r="N202" s="66" t="n">
        <v>223</v>
      </c>
      <c r="O202" s="66" t="n">
        <v>182</v>
      </c>
      <c r="P202" s="66" t="n">
        <v>123</v>
      </c>
    </row>
    <row r="203" ht="15.75" customHeight="1" s="45">
      <c r="A203" s="61" t="n">
        <v>46069</v>
      </c>
      <c r="B203" s="62" t="inlineStr">
        <is>
          <t>Antes-Projeto</t>
        </is>
      </c>
      <c r="C203" s="63" t="inlineStr">
        <is>
          <t>Exames Laboratoriais</t>
        </is>
      </c>
      <c r="D203" s="64" t="n">
        <v>395</v>
      </c>
      <c r="E203" s="64" t="n">
        <v>352</v>
      </c>
      <c r="F203" s="64" t="n">
        <v>412</v>
      </c>
      <c r="G203" s="64" t="n">
        <v>285</v>
      </c>
      <c r="H203" s="64" t="n">
        <v>275</v>
      </c>
      <c r="I203" s="64" t="n">
        <v>588</v>
      </c>
      <c r="J203" s="64" t="n">
        <v>228</v>
      </c>
      <c r="K203" s="64" t="n">
        <v>641</v>
      </c>
      <c r="L203" s="64" t="n">
        <v>485</v>
      </c>
      <c r="M203" s="64" t="n">
        <v>596</v>
      </c>
      <c r="N203" s="64" t="n">
        <v>408</v>
      </c>
      <c r="O203" s="64" t="n">
        <v>345</v>
      </c>
      <c r="P203" s="64" t="n">
        <v>420</v>
      </c>
    </row>
    <row r="204" ht="15.75" customHeight="1" s="45">
      <c r="A204" s="61" t="n">
        <v>46069</v>
      </c>
      <c r="B204" s="62" t="inlineStr">
        <is>
          <t>Antes-Projeto</t>
        </is>
      </c>
      <c r="C204" s="65" t="inlineStr">
        <is>
          <t>Radiografias</t>
        </is>
      </c>
      <c r="D204" s="66" t="n">
        <v>24</v>
      </c>
      <c r="E204" s="67" t="n">
        <v>0</v>
      </c>
      <c r="F204" s="66" t="n">
        <v>21</v>
      </c>
      <c r="G204" s="66" t="n">
        <v>20</v>
      </c>
      <c r="H204" s="66" t="n">
        <v>17</v>
      </c>
      <c r="I204" s="66" t="n">
        <v>24</v>
      </c>
      <c r="J204" s="66" t="n">
        <v>10</v>
      </c>
      <c r="K204" s="66" t="n">
        <v>1</v>
      </c>
      <c r="L204" s="66" t="n">
        <v>7</v>
      </c>
      <c r="M204" s="66" t="n">
        <v>48</v>
      </c>
      <c r="N204" s="66" t="n">
        <v>32</v>
      </c>
      <c r="O204" s="66" t="n">
        <v>42</v>
      </c>
      <c r="P204" s="66" t="n">
        <v>35</v>
      </c>
    </row>
    <row r="205" ht="15.75" customHeight="1" s="45">
      <c r="A205" s="61" t="n">
        <v>46069</v>
      </c>
      <c r="B205" s="62" t="inlineStr">
        <is>
          <t>Antes-Projeto</t>
        </is>
      </c>
      <c r="C205" s="63" t="inlineStr">
        <is>
          <t>Eletrocardiogramas</t>
        </is>
      </c>
      <c r="D205" s="64" t="n">
        <v>9</v>
      </c>
      <c r="E205" s="64" t="n">
        <v>9</v>
      </c>
      <c r="F205" s="64" t="n">
        <v>12</v>
      </c>
      <c r="G205" s="64" t="n">
        <v>5</v>
      </c>
      <c r="H205" s="64" t="n">
        <v>13</v>
      </c>
      <c r="I205" s="64" t="n">
        <v>13</v>
      </c>
      <c r="J205" s="64" t="n">
        <v>5</v>
      </c>
      <c r="K205" s="64" t="n">
        <v>15</v>
      </c>
      <c r="L205" s="64" t="n">
        <v>8</v>
      </c>
      <c r="M205" s="64" t="n">
        <v>22</v>
      </c>
      <c r="N205" s="64" t="n">
        <v>11</v>
      </c>
      <c r="O205" s="64" t="n">
        <v>11</v>
      </c>
      <c r="P205" s="64" t="n">
        <v>16</v>
      </c>
    </row>
    <row r="206" ht="15.75" customHeight="1" s="45">
      <c r="A206" s="61" t="n">
        <v>46069</v>
      </c>
      <c r="B206" s="62" t="inlineStr">
        <is>
          <t>Antes-Projeto</t>
        </is>
      </c>
      <c r="C206" s="68" t="inlineStr">
        <is>
          <t>GAEs Abertas</t>
        </is>
      </c>
      <c r="D206" s="69" t="n">
        <v>225</v>
      </c>
      <c r="E206" s="69" t="n">
        <v>147</v>
      </c>
      <c r="F206" s="69" t="n">
        <v>140</v>
      </c>
      <c r="G206" s="69" t="n">
        <v>144</v>
      </c>
      <c r="H206" s="69" t="n">
        <v>159</v>
      </c>
      <c r="I206" s="69" t="n">
        <v>198</v>
      </c>
      <c r="J206" s="69" t="n">
        <v>103</v>
      </c>
      <c r="K206" s="69" t="n">
        <v>289</v>
      </c>
      <c r="L206" s="69" t="n">
        <v>141</v>
      </c>
      <c r="M206" s="69" t="n">
        <v>259</v>
      </c>
      <c r="N206" s="69" t="n">
        <v>221</v>
      </c>
      <c r="O206" s="69" t="n">
        <v>242</v>
      </c>
      <c r="P206" s="69" t="n">
        <v>240</v>
      </c>
    </row>
    <row r="207" ht="15.75" customHeight="1" s="45">
      <c r="A207" s="61" t="n">
        <v>46069</v>
      </c>
      <c r="B207" s="62" t="inlineStr">
        <is>
          <t>Antes-Projeto</t>
        </is>
      </c>
      <c r="C207" s="68" t="inlineStr">
        <is>
          <t>GAEs Classificadas</t>
        </is>
      </c>
      <c r="D207" s="69" t="n">
        <v>199</v>
      </c>
      <c r="E207" s="69" t="n">
        <v>139</v>
      </c>
      <c r="F207" s="69" t="n">
        <v>136</v>
      </c>
      <c r="G207" s="69" t="n">
        <v>142</v>
      </c>
      <c r="H207" s="69" t="n">
        <v>147</v>
      </c>
      <c r="I207" s="69" t="n">
        <v>178</v>
      </c>
      <c r="J207" s="69" t="n">
        <v>99</v>
      </c>
      <c r="K207" s="69" t="n">
        <v>271</v>
      </c>
      <c r="L207" s="69" t="n">
        <v>126</v>
      </c>
      <c r="M207" s="69" t="n">
        <v>244</v>
      </c>
      <c r="N207" s="69" t="n">
        <v>204</v>
      </c>
      <c r="O207" s="69" t="n">
        <v>223</v>
      </c>
      <c r="P207" s="69" t="n">
        <v>237</v>
      </c>
    </row>
    <row r="208" ht="15.75" customHeight="1" s="45">
      <c r="A208" s="61" t="n">
        <v>46069</v>
      </c>
      <c r="B208" s="62" t="inlineStr">
        <is>
          <t>Antes-Projeto</t>
        </is>
      </c>
      <c r="C208" s="70" t="inlineStr">
        <is>
          <t>Percentual de GAEs abertas classificadas</t>
        </is>
      </c>
      <c r="D208" s="71">
        <f>IFERROR(D207/D206,"-")</f>
        <v/>
      </c>
      <c r="E208" s="71">
        <f>IFERROR(E207/E206,"-")</f>
        <v/>
      </c>
      <c r="F208" s="71">
        <f>IFERROR(F207/F206,"-")</f>
        <v/>
      </c>
      <c r="G208" s="71">
        <f>IFERROR(G207/G206,"-")</f>
        <v/>
      </c>
      <c r="H208" s="71">
        <f>IFERROR(H207/H206,"-")</f>
        <v/>
      </c>
      <c r="I208" s="71">
        <f>IFERROR(I207/I206,"-")</f>
        <v/>
      </c>
      <c r="J208" s="71">
        <f>IFERROR(J207/J206,"-")</f>
        <v/>
      </c>
      <c r="K208" s="71">
        <f>IFERROR(K207/K206,"-")</f>
        <v/>
      </c>
      <c r="L208" s="71">
        <f>IFERROR(L207/L206,"-")</f>
        <v/>
      </c>
      <c r="M208" s="71">
        <f>IFERROR(M207/M206,"-")</f>
        <v/>
      </c>
      <c r="N208" s="71">
        <f>IFERROR(N207/N206,"-")</f>
        <v/>
      </c>
      <c r="O208" s="71">
        <f>IFERROR(O207/O206,"-")</f>
        <v/>
      </c>
      <c r="P208" s="71">
        <f>IFERROR(P207/P206,"-")</f>
        <v/>
      </c>
    </row>
    <row r="209" ht="15.75" customHeight="1" s="45">
      <c r="A209" s="61" t="n">
        <v>46069</v>
      </c>
      <c r="B209" s="62" t="inlineStr">
        <is>
          <t>Antes-Projeto</t>
        </is>
      </c>
      <c r="C209" s="72" t="inlineStr">
        <is>
          <t>Tempo Médio — 🟡 Amarelo (hh:mm)</t>
        </is>
      </c>
      <c r="D209" s="73" t="n">
        <v>0.1089583333333333</v>
      </c>
      <c r="E209" s="73" t="n">
        <v>0.1062268518518519</v>
      </c>
      <c r="F209" s="73" t="n">
        <v>0.1191782407407407</v>
      </c>
      <c r="G209" s="73" t="n">
        <v>0.04048611111111111</v>
      </c>
      <c r="H209" s="73" t="n">
        <v>0.06643518518518518</v>
      </c>
      <c r="I209" s="73" t="n">
        <v>0.04224537037037037</v>
      </c>
      <c r="J209" s="73" t="n">
        <v>0.1017592592592593</v>
      </c>
      <c r="K209" s="73" t="n">
        <v>0.1631944444444444</v>
      </c>
      <c r="L209" s="73" t="n">
        <v>0.09524305555555555</v>
      </c>
      <c r="M209" s="73" t="n">
        <v>0.06039351851851852</v>
      </c>
      <c r="N209" s="73" t="n">
        <v>0.07065972222222222</v>
      </c>
      <c r="O209" s="73" t="n">
        <v>0.04521990740740741</v>
      </c>
      <c r="P209" s="73" t="n">
        <v>0.07028935185185185</v>
      </c>
    </row>
    <row r="210" ht="15.75" customHeight="1" s="45">
      <c r="A210" s="61" t="n">
        <v>46069</v>
      </c>
      <c r="B210" s="62" t="inlineStr">
        <is>
          <t>Antes-Projeto</t>
        </is>
      </c>
      <c r="C210" s="74" t="inlineStr">
        <is>
          <t>Tempo Médio — 🟠 Laranja (hh:mm)</t>
        </is>
      </c>
      <c r="D210" s="75" t="n">
        <v>0.03219907407407407</v>
      </c>
      <c r="E210" s="75" t="n">
        <v>0.0366087962962963</v>
      </c>
      <c r="F210" s="75" t="n">
        <v>0.008217592592592592</v>
      </c>
      <c r="G210" s="75" t="n">
        <v>0.007418981481481481</v>
      </c>
      <c r="H210" s="75" t="n">
        <v>0.0103587962962963</v>
      </c>
      <c r="I210" s="75" t="n">
        <v>0.003611111111111111</v>
      </c>
      <c r="J210" s="75" t="n">
        <v>0.03046296296296296</v>
      </c>
      <c r="K210" s="75" t="n">
        <v>0.0121875</v>
      </c>
      <c r="L210" s="75" t="n">
        <v>0.01047453703703704</v>
      </c>
      <c r="M210" s="75" t="n">
        <v>0.01575231481481482</v>
      </c>
      <c r="N210" s="75" t="n">
        <v>0.02083333333333333</v>
      </c>
      <c r="O210" s="75" t="n">
        <v>0.01005787037037037</v>
      </c>
      <c r="P210" s="75" t="n">
        <v>0.01349537037037037</v>
      </c>
    </row>
    <row r="211" ht="15.75" customHeight="1" s="45">
      <c r="A211" s="76" t="n">
        <v>46069</v>
      </c>
      <c r="B211" s="77" t="inlineStr">
        <is>
          <t>Antes-Projeto</t>
        </is>
      </c>
      <c r="C211" s="78" t="inlineStr">
        <is>
          <t>Tempo Médio — 🟢 Verde   (hh:mm)</t>
        </is>
      </c>
      <c r="D211" s="79" t="n">
        <v>0.2201157407407408</v>
      </c>
      <c r="E211" s="79" t="n">
        <v>0.2190972222222222</v>
      </c>
      <c r="F211" s="79" t="n">
        <v>0.1082638888888889</v>
      </c>
      <c r="G211" s="79" t="n">
        <v>0.05109953703703703</v>
      </c>
      <c r="H211" s="79" t="n">
        <v>0.1098032407407407</v>
      </c>
      <c r="I211" s="79" t="n">
        <v>0.0916087962962963</v>
      </c>
      <c r="J211" s="79" t="n">
        <v>0.1210185185185185</v>
      </c>
      <c r="K211" s="79" t="n">
        <v>0.127337962962963</v>
      </c>
      <c r="L211" s="79" t="n">
        <v>0.125</v>
      </c>
      <c r="M211" s="79" t="n">
        <v>0.06283564814814815</v>
      </c>
      <c r="N211" s="79" t="n">
        <v>0.09892361111111111</v>
      </c>
      <c r="O211" s="79" t="n">
        <v>0.0850462962962963</v>
      </c>
      <c r="P211" s="79" t="n">
        <v>0.07665509259259259</v>
      </c>
    </row>
    <row r="212" ht="15.75" customHeight="1" s="45">
      <c r="A212" s="57" t="n">
        <v>46070</v>
      </c>
      <c r="B212" s="58" t="inlineStr">
        <is>
          <t>Antes-Projeto</t>
        </is>
      </c>
      <c r="C212" s="59" t="inlineStr">
        <is>
          <t>Acolhim. + Atend. Urgência + Atend. UPA</t>
        </is>
      </c>
      <c r="D212" s="60">
        <f>SUM(D213:D215)</f>
        <v/>
      </c>
      <c r="E212" s="60">
        <f>SUM(E213:E215)</f>
        <v/>
      </c>
      <c r="F212" s="60">
        <f>SUM(F213:F215)</f>
        <v/>
      </c>
      <c r="G212" s="60">
        <f>SUM(G213:G215)</f>
        <v/>
      </c>
      <c r="H212" s="60">
        <f>SUM(H213:H215)</f>
        <v/>
      </c>
      <c r="I212" s="60">
        <f>SUM(I213:I215)</f>
        <v/>
      </c>
      <c r="J212" s="60">
        <f>SUM(J213:J215)</f>
        <v/>
      </c>
      <c r="K212" s="60">
        <f>SUM(K213:K215)</f>
        <v/>
      </c>
      <c r="L212" s="60">
        <f>SUM(L213:L215)</f>
        <v/>
      </c>
      <c r="M212" s="60">
        <f>SUM(M213:M215)</f>
        <v/>
      </c>
      <c r="N212" s="60">
        <f>SUM(N213:N215)</f>
        <v/>
      </c>
      <c r="O212" s="60">
        <f>SUM(O213:O215)</f>
        <v/>
      </c>
      <c r="P212" s="60">
        <f>SUM(P213:P215)</f>
        <v/>
      </c>
    </row>
    <row r="213" ht="15.75" customHeight="1" s="45">
      <c r="A213" s="61" t="n">
        <v>46070</v>
      </c>
      <c r="B213" s="62" t="inlineStr">
        <is>
          <t>Antes-Projeto</t>
        </is>
      </c>
      <c r="C213" s="63" t="inlineStr">
        <is>
          <t>Acolhimento c/ Classif. de Risco</t>
        </is>
      </c>
      <c r="D213" s="64" t="n">
        <v>198</v>
      </c>
      <c r="E213" s="64" t="n">
        <v>121</v>
      </c>
      <c r="F213" s="64" t="n">
        <v>144</v>
      </c>
      <c r="G213" s="64" t="n">
        <v>130</v>
      </c>
      <c r="H213" s="64" t="n">
        <v>94</v>
      </c>
      <c r="I213" s="64" t="n">
        <v>157</v>
      </c>
      <c r="J213" s="64" t="n">
        <v>80</v>
      </c>
      <c r="K213" s="64" t="n">
        <v>233</v>
      </c>
      <c r="L213" s="64" t="n">
        <v>119</v>
      </c>
      <c r="M213" s="64" t="n">
        <v>209</v>
      </c>
      <c r="N213" s="64" t="n">
        <v>199</v>
      </c>
      <c r="O213" s="64" t="n">
        <v>207</v>
      </c>
      <c r="P213" s="64" t="n">
        <v>175</v>
      </c>
    </row>
    <row r="214" ht="15.75" customHeight="1" s="45">
      <c r="A214" s="61" t="n">
        <v>46070</v>
      </c>
      <c r="B214" s="62" t="inlineStr">
        <is>
          <t>Antes-Projeto</t>
        </is>
      </c>
      <c r="C214" s="65" t="inlineStr">
        <is>
          <t>Atend. Urgência Obs. ≤ 24h</t>
        </is>
      </c>
      <c r="D214" s="66" t="n">
        <v>46</v>
      </c>
      <c r="E214" s="66" t="n">
        <v>15</v>
      </c>
      <c r="F214" s="66" t="n">
        <v>24</v>
      </c>
      <c r="G214" s="66" t="n">
        <v>81</v>
      </c>
      <c r="H214" s="66" t="n">
        <v>14</v>
      </c>
      <c r="I214" s="66" t="n">
        <v>43</v>
      </c>
      <c r="J214" s="66" t="n">
        <v>14</v>
      </c>
      <c r="K214" s="66" t="n">
        <v>119</v>
      </c>
      <c r="L214" s="66" t="n">
        <v>40</v>
      </c>
      <c r="M214" s="66" t="n">
        <v>24</v>
      </c>
      <c r="N214" s="66" t="n">
        <v>29</v>
      </c>
      <c r="O214" s="66" t="n">
        <v>3</v>
      </c>
      <c r="P214" s="66" t="n">
        <v>20</v>
      </c>
    </row>
    <row r="215" ht="15.75" customHeight="1" s="45">
      <c r="A215" s="61" t="n">
        <v>46070</v>
      </c>
      <c r="B215" s="62" t="inlineStr">
        <is>
          <t>Antes-Projeto</t>
        </is>
      </c>
      <c r="C215" s="63" t="inlineStr">
        <is>
          <t>Atend. Médico em UPA</t>
        </is>
      </c>
      <c r="D215" s="64" t="n">
        <v>133</v>
      </c>
      <c r="E215" s="64" t="n">
        <v>35</v>
      </c>
      <c r="F215" s="64" t="n">
        <v>106</v>
      </c>
      <c r="G215" s="64" t="n">
        <v>89</v>
      </c>
      <c r="H215" s="64" t="n">
        <v>75</v>
      </c>
      <c r="I215" s="64" t="n">
        <v>104</v>
      </c>
      <c r="J215" s="64" t="n">
        <v>49</v>
      </c>
      <c r="K215" s="64" t="n">
        <v>191</v>
      </c>
      <c r="L215" s="64" t="n">
        <v>75</v>
      </c>
      <c r="M215" s="64" t="n">
        <v>156</v>
      </c>
      <c r="N215" s="64" t="n">
        <v>196</v>
      </c>
      <c r="O215" s="64" t="n">
        <v>111</v>
      </c>
      <c r="P215" s="64" t="n">
        <v>93</v>
      </c>
    </row>
    <row r="216" ht="15.75" customHeight="1" s="45">
      <c r="A216" s="61" t="n">
        <v>46070</v>
      </c>
      <c r="B216" s="62" t="inlineStr">
        <is>
          <t>Antes-Projeto</t>
        </is>
      </c>
      <c r="C216" s="65" t="inlineStr">
        <is>
          <t>Exames Laboratoriais</t>
        </is>
      </c>
      <c r="D216" s="66" t="n">
        <v>655</v>
      </c>
      <c r="E216" s="66" t="n">
        <v>253</v>
      </c>
      <c r="F216" s="66" t="n">
        <v>514</v>
      </c>
      <c r="G216" s="66" t="n">
        <v>194</v>
      </c>
      <c r="H216" s="66" t="n">
        <v>279</v>
      </c>
      <c r="I216" s="66" t="n">
        <v>461</v>
      </c>
      <c r="J216" s="66" t="n">
        <v>217</v>
      </c>
      <c r="K216" s="66" t="n">
        <v>669</v>
      </c>
      <c r="L216" s="66" t="n">
        <v>655</v>
      </c>
      <c r="M216" s="66" t="n">
        <v>486</v>
      </c>
      <c r="N216" s="66" t="n">
        <v>484</v>
      </c>
      <c r="O216" s="66" t="n">
        <v>401</v>
      </c>
      <c r="P216" s="66" t="n">
        <v>582</v>
      </c>
    </row>
    <row r="217" ht="15.75" customHeight="1" s="45">
      <c r="A217" s="61" t="n">
        <v>46070</v>
      </c>
      <c r="B217" s="62" t="inlineStr">
        <is>
          <t>Antes-Projeto</t>
        </is>
      </c>
      <c r="C217" s="63" t="inlineStr">
        <is>
          <t>Radiografias</t>
        </is>
      </c>
      <c r="D217" s="64" t="n">
        <v>35</v>
      </c>
      <c r="E217" s="67" t="n">
        <v>0</v>
      </c>
      <c r="F217" s="64" t="n">
        <v>38</v>
      </c>
      <c r="G217" s="64" t="n">
        <v>21</v>
      </c>
      <c r="H217" s="64" t="n">
        <v>12</v>
      </c>
      <c r="I217" s="64" t="n">
        <v>17</v>
      </c>
      <c r="J217" s="64" t="n">
        <v>15</v>
      </c>
      <c r="K217" s="64" t="n">
        <v>2</v>
      </c>
      <c r="L217" s="64" t="n">
        <v>20</v>
      </c>
      <c r="M217" s="64" t="n">
        <v>24</v>
      </c>
      <c r="N217" s="64" t="n">
        <v>39</v>
      </c>
      <c r="O217" s="64" t="n">
        <v>36</v>
      </c>
      <c r="P217" s="64" t="n">
        <v>49</v>
      </c>
    </row>
    <row r="218" ht="15.75" customHeight="1" s="45">
      <c r="A218" s="61" t="n">
        <v>46070</v>
      </c>
      <c r="B218" s="62" t="inlineStr">
        <is>
          <t>Antes-Projeto</t>
        </is>
      </c>
      <c r="C218" s="65" t="inlineStr">
        <is>
          <t>Eletrocardiogramas</t>
        </is>
      </c>
      <c r="D218" s="66" t="n">
        <v>16</v>
      </c>
      <c r="E218" s="66" t="n">
        <v>4</v>
      </c>
      <c r="F218" s="66" t="n">
        <v>25</v>
      </c>
      <c r="G218" s="66" t="n">
        <v>11</v>
      </c>
      <c r="H218" s="66" t="n">
        <v>13</v>
      </c>
      <c r="I218" s="66" t="n">
        <v>10</v>
      </c>
      <c r="J218" s="66" t="n">
        <v>9</v>
      </c>
      <c r="K218" s="66" t="n">
        <v>15</v>
      </c>
      <c r="L218" s="66" t="n">
        <v>13</v>
      </c>
      <c r="M218" s="66" t="n">
        <v>10</v>
      </c>
      <c r="N218" s="66" t="n">
        <v>13</v>
      </c>
      <c r="O218" s="66" t="n">
        <v>11</v>
      </c>
      <c r="P218" s="66" t="n">
        <v>26</v>
      </c>
    </row>
    <row r="219" ht="15.75" customHeight="1" s="45">
      <c r="A219" s="61" t="n">
        <v>46070</v>
      </c>
      <c r="B219" s="62" t="inlineStr">
        <is>
          <t>Antes-Projeto</t>
        </is>
      </c>
      <c r="C219" s="68" t="inlineStr">
        <is>
          <t>GAEs Abertas</t>
        </is>
      </c>
      <c r="D219" s="69" t="n">
        <v>209</v>
      </c>
      <c r="E219" s="69" t="n">
        <v>157</v>
      </c>
      <c r="F219" s="69" t="n">
        <v>148</v>
      </c>
      <c r="G219" s="69" t="n">
        <v>130</v>
      </c>
      <c r="H219" s="69" t="n">
        <v>102</v>
      </c>
      <c r="I219" s="69" t="n">
        <v>163</v>
      </c>
      <c r="J219" s="69" t="n">
        <v>84</v>
      </c>
      <c r="K219" s="69" t="n">
        <v>237</v>
      </c>
      <c r="L219" s="69" t="n">
        <v>127</v>
      </c>
      <c r="M219" s="69" t="n">
        <v>217</v>
      </c>
      <c r="N219" s="69" t="n">
        <v>195</v>
      </c>
      <c r="O219" s="69" t="n">
        <v>215</v>
      </c>
      <c r="P219" s="69" t="n">
        <v>180</v>
      </c>
    </row>
    <row r="220" ht="15.75" customHeight="1" s="45">
      <c r="A220" s="61" t="n">
        <v>46070</v>
      </c>
      <c r="B220" s="62" t="inlineStr">
        <is>
          <t>Antes-Projeto</t>
        </is>
      </c>
      <c r="C220" s="68" t="inlineStr">
        <is>
          <t>GAEs Classificadas</t>
        </is>
      </c>
      <c r="D220" s="69" t="n">
        <v>198</v>
      </c>
      <c r="E220" s="69" t="n">
        <v>120</v>
      </c>
      <c r="F220" s="69" t="n">
        <v>144</v>
      </c>
      <c r="G220" s="69" t="n">
        <v>129</v>
      </c>
      <c r="H220" s="69" t="n">
        <v>96</v>
      </c>
      <c r="I220" s="69" t="n">
        <v>156</v>
      </c>
      <c r="J220" s="69" t="n">
        <v>81</v>
      </c>
      <c r="K220" s="69" t="n">
        <v>234</v>
      </c>
      <c r="L220" s="69" t="n">
        <v>120</v>
      </c>
      <c r="M220" s="69" t="n">
        <v>208</v>
      </c>
      <c r="N220" s="69" t="n">
        <v>184</v>
      </c>
      <c r="O220" s="69" t="n">
        <v>207</v>
      </c>
      <c r="P220" s="69" t="n">
        <v>178</v>
      </c>
    </row>
    <row r="221" ht="15.75" customHeight="1" s="45">
      <c r="A221" s="61" t="n">
        <v>46070</v>
      </c>
      <c r="B221" s="62" t="inlineStr">
        <is>
          <t>Antes-Projeto</t>
        </is>
      </c>
      <c r="C221" s="70" t="inlineStr">
        <is>
          <t>Percentual de GAEs abertas classificadas</t>
        </is>
      </c>
      <c r="D221" s="71">
        <f>IFERROR(D220/D219,"-")</f>
        <v/>
      </c>
      <c r="E221" s="71">
        <f>IFERROR(E220/E219,"-")</f>
        <v/>
      </c>
      <c r="F221" s="71">
        <f>IFERROR(F220/F219,"-")</f>
        <v/>
      </c>
      <c r="G221" s="71">
        <f>IFERROR(G220/G219,"-")</f>
        <v/>
      </c>
      <c r="H221" s="71">
        <f>IFERROR(H220/H219,"-")</f>
        <v/>
      </c>
      <c r="I221" s="71">
        <f>IFERROR(I220/I219,"-")</f>
        <v/>
      </c>
      <c r="J221" s="71">
        <f>IFERROR(J220/J219,"-")</f>
        <v/>
      </c>
      <c r="K221" s="71">
        <f>IFERROR(K220/K219,"-")</f>
        <v/>
      </c>
      <c r="L221" s="71">
        <f>IFERROR(L220/L219,"-")</f>
        <v/>
      </c>
      <c r="M221" s="71">
        <f>IFERROR(M220/M219,"-")</f>
        <v/>
      </c>
      <c r="N221" s="71">
        <f>IFERROR(N220/N219,"-")</f>
        <v/>
      </c>
      <c r="O221" s="71">
        <f>IFERROR(O220/O219,"-")</f>
        <v/>
      </c>
      <c r="P221" s="71">
        <f>IFERROR(P220/P219,"-")</f>
        <v/>
      </c>
    </row>
    <row r="222" ht="15.75" customHeight="1" s="45">
      <c r="A222" s="61" t="n">
        <v>46070</v>
      </c>
      <c r="B222" s="62" t="inlineStr">
        <is>
          <t>Antes-Projeto</t>
        </is>
      </c>
      <c r="C222" s="72" t="inlineStr">
        <is>
          <t>Tempo Médio — 🟡 Amarelo (hh:mm)</t>
        </is>
      </c>
      <c r="D222" s="73" t="n">
        <v>0.08638888888888889</v>
      </c>
      <c r="E222" s="73" t="n">
        <v>0.02975694444444444</v>
      </c>
      <c r="F222" s="73" t="n">
        <v>0.04670138888888889</v>
      </c>
      <c r="G222" s="73" t="n">
        <v>0.02917824074074074</v>
      </c>
      <c r="H222" s="73" t="n">
        <v>0.05149305555555556</v>
      </c>
      <c r="I222" s="73" t="n">
        <v>0.0380787037037037</v>
      </c>
      <c r="J222" s="73" t="n">
        <v>0.04368055555555556</v>
      </c>
      <c r="K222" s="73" t="n">
        <v>0.02327546296296296</v>
      </c>
      <c r="L222" s="73" t="n">
        <v>0.1686921296296296</v>
      </c>
      <c r="M222" s="73" t="n">
        <v>0.01518518518518519</v>
      </c>
      <c r="N222" s="73" t="n">
        <v>0.04915509259259259</v>
      </c>
      <c r="O222" s="73" t="n">
        <v>0.07210648148148148</v>
      </c>
      <c r="P222" s="73" t="n">
        <v>0.05800925925925926</v>
      </c>
    </row>
    <row r="223" ht="15.75" customHeight="1" s="45">
      <c r="A223" s="61" t="n">
        <v>46070</v>
      </c>
      <c r="B223" s="62" t="inlineStr">
        <is>
          <t>Antes-Projeto</t>
        </is>
      </c>
      <c r="C223" s="74" t="inlineStr">
        <is>
          <t>Tempo Médio — 🟠 Laranja (hh:mm)</t>
        </is>
      </c>
      <c r="D223" s="75" t="n">
        <v>0.008032407407407408</v>
      </c>
      <c r="E223" s="75" t="n">
        <v>0.01702546296296296</v>
      </c>
      <c r="F223" s="75" t="n">
        <v>0.0102662037037037</v>
      </c>
      <c r="G223" s="75" t="n">
        <v>0.01194444444444445</v>
      </c>
      <c r="H223" s="75" t="n">
        <v>0.005914351851851852</v>
      </c>
      <c r="I223" s="75" t="n">
        <v>0.006689814814814815</v>
      </c>
      <c r="J223" s="75" t="n">
        <v>0.01231481481481481</v>
      </c>
      <c r="K223" s="75" t="n">
        <v>0.0075</v>
      </c>
      <c r="L223" s="75" t="n">
        <v>0.01288194444444444</v>
      </c>
      <c r="M223" s="75" t="n">
        <v>0.009467592592592593</v>
      </c>
      <c r="N223" s="75" t="n">
        <v>0.0078125</v>
      </c>
      <c r="O223" s="75" t="n">
        <v>0.0125</v>
      </c>
      <c r="P223" s="75" t="n">
        <v>0.01315972222222222</v>
      </c>
    </row>
    <row r="224" ht="15.75" customHeight="1" s="45">
      <c r="A224" s="76" t="n">
        <v>46070</v>
      </c>
      <c r="B224" s="77" t="inlineStr">
        <is>
          <t>Antes-Projeto</t>
        </is>
      </c>
      <c r="C224" s="78" t="inlineStr">
        <is>
          <t>Tempo Médio — 🟢 Verde   (hh:mm)</t>
        </is>
      </c>
      <c r="D224" s="79" t="n">
        <v>0.05347222222222222</v>
      </c>
      <c r="E224" s="79" t="n">
        <v>0.0078125</v>
      </c>
      <c r="F224" s="79" t="n">
        <v>0.06894675925925926</v>
      </c>
      <c r="G224" s="79" t="n">
        <v>0.06368055555555556</v>
      </c>
      <c r="H224" s="79" t="n">
        <v>0.1082638888888889</v>
      </c>
      <c r="I224" s="79" t="n">
        <v>0.0718287037037037</v>
      </c>
      <c r="J224" s="79" t="n">
        <v>0.1112384259259259</v>
      </c>
      <c r="K224" s="79" t="n">
        <v>0.05319444444444445</v>
      </c>
      <c r="L224" s="79" t="n">
        <v>0.2152546296296296</v>
      </c>
      <c r="M224" s="79" t="n">
        <v>0.02828703703703704</v>
      </c>
      <c r="N224" s="79" t="n">
        <v>0.09314814814814815</v>
      </c>
      <c r="O224" s="79" t="n">
        <v>0.272025462962963</v>
      </c>
      <c r="P224" s="79" t="n">
        <v>0.135625</v>
      </c>
    </row>
    <row r="225" ht="15.75" customHeight="1" s="45">
      <c r="A225" s="57" t="n">
        <v>46071</v>
      </c>
      <c r="B225" s="58" t="inlineStr">
        <is>
          <t>Antes-Projeto</t>
        </is>
      </c>
      <c r="C225" s="59" t="inlineStr">
        <is>
          <t>Acolhim. + Atend. Urgência + Atend. UPA</t>
        </is>
      </c>
      <c r="D225" s="60">
        <f>SUM(D226:D228)</f>
        <v/>
      </c>
      <c r="E225" s="60">
        <f>SUM(E226:E228)</f>
        <v/>
      </c>
      <c r="F225" s="60">
        <f>SUM(F226:F228)</f>
        <v/>
      </c>
      <c r="G225" s="60">
        <f>SUM(G226:G228)</f>
        <v/>
      </c>
      <c r="H225" s="60">
        <f>SUM(H226:H228)</f>
        <v/>
      </c>
      <c r="I225" s="60">
        <f>SUM(I226:I228)</f>
        <v/>
      </c>
      <c r="J225" s="60">
        <f>SUM(J226:J228)</f>
        <v/>
      </c>
      <c r="K225" s="60">
        <f>SUM(K226:K228)</f>
        <v/>
      </c>
      <c r="L225" s="60">
        <f>SUM(L226:L228)</f>
        <v/>
      </c>
      <c r="M225" s="60">
        <f>SUM(M226:M228)</f>
        <v/>
      </c>
      <c r="N225" s="60">
        <f>SUM(N226:N228)</f>
        <v/>
      </c>
      <c r="O225" s="60">
        <f>SUM(O226:O228)</f>
        <v/>
      </c>
      <c r="P225" s="60">
        <f>SUM(P226:P228)</f>
        <v/>
      </c>
    </row>
    <row r="226" ht="15.75" customHeight="1" s="45">
      <c r="A226" s="61" t="n">
        <v>46071</v>
      </c>
      <c r="B226" s="62" t="inlineStr">
        <is>
          <t>Antes-Projeto</t>
        </is>
      </c>
      <c r="C226" s="65" t="inlineStr">
        <is>
          <t>Acolhimento c/ Classif. de Risco</t>
        </is>
      </c>
      <c r="D226" s="66" t="n">
        <v>207</v>
      </c>
      <c r="E226" s="66" t="n">
        <v>154</v>
      </c>
      <c r="F226" s="66" t="n">
        <v>146</v>
      </c>
      <c r="G226" s="66" t="n">
        <v>139</v>
      </c>
      <c r="H226" s="66" t="n">
        <v>120</v>
      </c>
      <c r="I226" s="66" t="n">
        <v>191</v>
      </c>
      <c r="J226" s="66" t="n">
        <v>77</v>
      </c>
      <c r="K226" s="66" t="n">
        <v>311</v>
      </c>
      <c r="L226" s="66" t="n">
        <v>118</v>
      </c>
      <c r="M226" s="66" t="n">
        <v>242</v>
      </c>
      <c r="N226" s="66" t="n">
        <v>218</v>
      </c>
      <c r="O226" s="66" t="n">
        <v>253</v>
      </c>
      <c r="P226" s="66" t="n">
        <v>210</v>
      </c>
    </row>
    <row r="227" ht="15.75" customHeight="1" s="45">
      <c r="A227" s="61" t="n">
        <v>46071</v>
      </c>
      <c r="B227" s="62" t="inlineStr">
        <is>
          <t>Antes-Projeto</t>
        </is>
      </c>
      <c r="C227" s="63" t="inlineStr">
        <is>
          <t>Atend. Urgência Obs. ≤ 24h</t>
        </is>
      </c>
      <c r="D227" s="64" t="n">
        <v>18</v>
      </c>
      <c r="E227" s="64" t="n">
        <v>20</v>
      </c>
      <c r="F227" s="64" t="n">
        <v>21</v>
      </c>
      <c r="G227" s="64" t="n">
        <v>66</v>
      </c>
      <c r="H227" s="64" t="n">
        <v>14</v>
      </c>
      <c r="I227" s="64" t="n">
        <v>41</v>
      </c>
      <c r="J227" s="64" t="n">
        <v>18</v>
      </c>
      <c r="K227" s="64" t="n">
        <v>81</v>
      </c>
      <c r="L227" s="64" t="n">
        <v>48</v>
      </c>
      <c r="M227" s="64" t="n">
        <v>51</v>
      </c>
      <c r="N227" s="64" t="n">
        <v>51</v>
      </c>
      <c r="O227" s="64" t="n">
        <v>12</v>
      </c>
      <c r="P227" s="64" t="n">
        <v>29</v>
      </c>
    </row>
    <row r="228" ht="15.75" customHeight="1" s="45">
      <c r="A228" s="61" t="n">
        <v>46071</v>
      </c>
      <c r="B228" s="62" t="inlineStr">
        <is>
          <t>Antes-Projeto</t>
        </is>
      </c>
      <c r="C228" s="65" t="inlineStr">
        <is>
          <t>Atend. Médico em UPA</t>
        </is>
      </c>
      <c r="D228" s="66" t="n">
        <v>135</v>
      </c>
      <c r="E228" s="66" t="n">
        <v>61</v>
      </c>
      <c r="F228" s="66" t="n">
        <v>110</v>
      </c>
      <c r="G228" s="66" t="n">
        <v>63</v>
      </c>
      <c r="H228" s="66" t="n">
        <v>92</v>
      </c>
      <c r="I228" s="66" t="n">
        <v>112</v>
      </c>
      <c r="J228" s="66" t="n">
        <v>64</v>
      </c>
      <c r="K228" s="66" t="n">
        <v>227</v>
      </c>
      <c r="L228" s="66" t="n">
        <v>58</v>
      </c>
      <c r="M228" s="66" t="n">
        <v>100</v>
      </c>
      <c r="N228" s="66" t="n">
        <v>220</v>
      </c>
      <c r="O228" s="66" t="n">
        <v>191</v>
      </c>
      <c r="P228" s="66" t="n">
        <v>89</v>
      </c>
    </row>
    <row r="229" ht="15.75" customHeight="1" s="45">
      <c r="A229" s="61" t="n">
        <v>46071</v>
      </c>
      <c r="B229" s="62" t="inlineStr">
        <is>
          <t>Antes-Projeto</t>
        </is>
      </c>
      <c r="C229" s="63" t="inlineStr">
        <is>
          <t>Exames Laboratoriais</t>
        </is>
      </c>
      <c r="D229" s="64" t="n">
        <v>699</v>
      </c>
      <c r="E229" s="64" t="n">
        <v>211</v>
      </c>
      <c r="F229" s="64" t="n">
        <v>501</v>
      </c>
      <c r="G229" s="64" t="n">
        <v>418</v>
      </c>
      <c r="H229" s="64" t="n">
        <v>305</v>
      </c>
      <c r="I229" s="64" t="n">
        <v>503</v>
      </c>
      <c r="J229" s="64" t="n">
        <v>277</v>
      </c>
      <c r="K229" s="64" t="n">
        <v>688</v>
      </c>
      <c r="L229" s="64" t="n">
        <v>501</v>
      </c>
      <c r="M229" s="64" t="n">
        <v>655</v>
      </c>
      <c r="N229" s="64" t="n">
        <v>384</v>
      </c>
      <c r="O229" s="64" t="n">
        <v>450</v>
      </c>
      <c r="P229" s="64" t="n">
        <v>257</v>
      </c>
    </row>
    <row r="230" ht="15.75" customHeight="1" s="45">
      <c r="A230" s="61" t="n">
        <v>46071</v>
      </c>
      <c r="B230" s="62" t="inlineStr">
        <is>
          <t>Antes-Projeto</t>
        </is>
      </c>
      <c r="C230" s="65" t="inlineStr">
        <is>
          <t>Radiografias</t>
        </is>
      </c>
      <c r="D230" s="66" t="n">
        <v>19</v>
      </c>
      <c r="E230" s="67" t="n">
        <v>0</v>
      </c>
      <c r="F230" s="66" t="n">
        <v>29</v>
      </c>
      <c r="G230" s="66" t="n">
        <v>23</v>
      </c>
      <c r="H230" s="66" t="n">
        <v>11</v>
      </c>
      <c r="I230" s="66" t="n">
        <v>26</v>
      </c>
      <c r="J230" s="66" t="n">
        <v>8</v>
      </c>
      <c r="K230" s="66" t="n">
        <v>2</v>
      </c>
      <c r="L230" s="66" t="n">
        <v>12</v>
      </c>
      <c r="M230" s="66" t="n">
        <v>35</v>
      </c>
      <c r="N230" s="66" t="n">
        <v>32</v>
      </c>
      <c r="O230" s="66" t="n">
        <v>45</v>
      </c>
      <c r="P230" s="66" t="n">
        <v>36</v>
      </c>
    </row>
    <row r="231" ht="15.75" customHeight="1" s="45">
      <c r="A231" s="61" t="n">
        <v>46071</v>
      </c>
      <c r="B231" s="62" t="inlineStr">
        <is>
          <t>Antes-Projeto</t>
        </is>
      </c>
      <c r="C231" s="63" t="inlineStr">
        <is>
          <t>Eletrocardiogramas</t>
        </is>
      </c>
      <c r="D231" s="64" t="n">
        <v>35</v>
      </c>
      <c r="E231" s="64" t="n">
        <v>5</v>
      </c>
      <c r="F231" s="64" t="n">
        <v>30</v>
      </c>
      <c r="G231" s="64" t="n">
        <v>13</v>
      </c>
      <c r="H231" s="64" t="n">
        <v>10</v>
      </c>
      <c r="I231" s="64" t="n">
        <v>11</v>
      </c>
      <c r="J231" s="64" t="n">
        <v>37</v>
      </c>
      <c r="K231" s="64" t="n">
        <v>20</v>
      </c>
      <c r="L231" s="64" t="n">
        <v>9</v>
      </c>
      <c r="M231" s="64" t="n">
        <v>18</v>
      </c>
      <c r="N231" s="64" t="n">
        <v>11</v>
      </c>
      <c r="O231" s="64" t="n">
        <v>12</v>
      </c>
      <c r="P231" s="64" t="n">
        <v>11</v>
      </c>
    </row>
    <row r="232" ht="15.75" customHeight="1" s="45">
      <c r="A232" s="61" t="n">
        <v>46071</v>
      </c>
      <c r="B232" s="62" t="inlineStr">
        <is>
          <t>Antes-Projeto</t>
        </is>
      </c>
      <c r="C232" s="68" t="inlineStr">
        <is>
          <t>GAEs Abertas</t>
        </is>
      </c>
      <c r="D232" s="69" t="n">
        <v>255</v>
      </c>
      <c r="E232" s="69" t="n">
        <v>164</v>
      </c>
      <c r="F232" s="69" t="n">
        <v>154</v>
      </c>
      <c r="G232" s="69" t="n">
        <v>143</v>
      </c>
      <c r="H232" s="69" t="n">
        <v>127</v>
      </c>
      <c r="I232" s="69" t="n">
        <v>217</v>
      </c>
      <c r="J232" s="69" t="n">
        <v>80</v>
      </c>
      <c r="K232" s="69" t="n">
        <v>320</v>
      </c>
      <c r="L232" s="69" t="n">
        <v>130</v>
      </c>
      <c r="M232" s="69" t="n">
        <v>263</v>
      </c>
      <c r="N232" s="69" t="n">
        <v>218</v>
      </c>
      <c r="O232" s="69" t="n">
        <v>275</v>
      </c>
      <c r="P232" s="69" t="n">
        <v>214</v>
      </c>
    </row>
    <row r="233" ht="15.75" customHeight="1" s="45">
      <c r="A233" s="61" t="n">
        <v>46071</v>
      </c>
      <c r="B233" s="62" t="inlineStr">
        <is>
          <t>Antes-Projeto</t>
        </is>
      </c>
      <c r="C233" s="68" t="inlineStr">
        <is>
          <t>GAEs Classificadas</t>
        </is>
      </c>
      <c r="D233" s="69" t="n">
        <v>208</v>
      </c>
      <c r="E233" s="69" t="n">
        <v>153</v>
      </c>
      <c r="F233" s="69" t="n">
        <v>146</v>
      </c>
      <c r="G233" s="69" t="n">
        <v>138</v>
      </c>
      <c r="H233" s="69" t="n">
        <v>119</v>
      </c>
      <c r="I233" s="69" t="n">
        <v>192</v>
      </c>
      <c r="J233" s="69" t="n">
        <v>76</v>
      </c>
      <c r="K233" s="69" t="n">
        <v>302</v>
      </c>
      <c r="L233" s="69" t="n">
        <v>113</v>
      </c>
      <c r="M233" s="69" t="n">
        <v>238</v>
      </c>
      <c r="N233" s="69" t="n">
        <v>205</v>
      </c>
      <c r="O233" s="69" t="n">
        <v>252</v>
      </c>
      <c r="P233" s="69" t="n">
        <v>207</v>
      </c>
    </row>
    <row r="234" ht="15.75" customHeight="1" s="45">
      <c r="A234" s="61" t="n">
        <v>46071</v>
      </c>
      <c r="B234" s="62" t="inlineStr">
        <is>
          <t>Antes-Projeto</t>
        </is>
      </c>
      <c r="C234" s="70" t="inlineStr">
        <is>
          <t>Percentual de GAEs abertas classificadas</t>
        </is>
      </c>
      <c r="D234" s="71">
        <f>IFERROR(D233/D232,"-")</f>
        <v/>
      </c>
      <c r="E234" s="71">
        <f>IFERROR(E233/E232,"-")</f>
        <v/>
      </c>
      <c r="F234" s="71">
        <f>IFERROR(F233/F232,"-")</f>
        <v/>
      </c>
      <c r="G234" s="71">
        <f>IFERROR(G233/G232,"-")</f>
        <v/>
      </c>
      <c r="H234" s="71">
        <f>IFERROR(H233/H232,"-")</f>
        <v/>
      </c>
      <c r="I234" s="71">
        <f>IFERROR(I233/I232,"-")</f>
        <v/>
      </c>
      <c r="J234" s="71">
        <f>IFERROR(J233/J232,"-")</f>
        <v/>
      </c>
      <c r="K234" s="71">
        <f>IFERROR(K233/K232,"-")</f>
        <v/>
      </c>
      <c r="L234" s="71">
        <f>IFERROR(L233/L232,"-")</f>
        <v/>
      </c>
      <c r="M234" s="71">
        <f>IFERROR(M233/M232,"-")</f>
        <v/>
      </c>
      <c r="N234" s="71">
        <f>IFERROR(N233/N232,"-")</f>
        <v/>
      </c>
      <c r="O234" s="71">
        <f>IFERROR(O233/O232,"-")</f>
        <v/>
      </c>
      <c r="P234" s="71">
        <f>IFERROR(P233/P232,"-")</f>
        <v/>
      </c>
    </row>
    <row r="235" ht="15.75" customHeight="1" s="45">
      <c r="A235" s="61" t="n">
        <v>46071</v>
      </c>
      <c r="B235" s="62" t="inlineStr">
        <is>
          <t>Antes-Projeto</t>
        </is>
      </c>
      <c r="C235" s="72" t="inlineStr">
        <is>
          <t>Tempo Médio — 🟡 Amarelo (hh:mm)</t>
        </is>
      </c>
      <c r="D235" s="73" t="n">
        <v>0.07344907407407407</v>
      </c>
      <c r="E235" s="73" t="n">
        <v>0.1535185185185185</v>
      </c>
      <c r="F235" s="73" t="n">
        <v>0.05319444444444445</v>
      </c>
      <c r="G235" s="73" t="n">
        <v>0.1408912037037037</v>
      </c>
      <c r="H235" s="73" t="n">
        <v>0.07101851851851852</v>
      </c>
      <c r="I235" s="73" t="n">
        <v>0.08646990740740741</v>
      </c>
      <c r="J235" s="73" t="n">
        <v>0.08171296296296296</v>
      </c>
      <c r="K235" s="73" t="n">
        <v>0.07854166666666666</v>
      </c>
      <c r="L235" s="73" t="n">
        <v>0.1504513888888889</v>
      </c>
      <c r="M235" s="73" t="n">
        <v>0.06414351851851852</v>
      </c>
      <c r="N235" s="73" t="n">
        <v>0.07590277777777778</v>
      </c>
      <c r="O235" s="73" t="n">
        <v>0.0635300925925926</v>
      </c>
      <c r="P235" s="73" t="n">
        <v>0.08775462962962963</v>
      </c>
    </row>
    <row r="236" ht="15.75" customHeight="1" s="45">
      <c r="A236" s="61" t="n">
        <v>46071</v>
      </c>
      <c r="B236" s="62" t="inlineStr">
        <is>
          <t>Antes-Projeto</t>
        </is>
      </c>
      <c r="C236" s="74" t="inlineStr">
        <is>
          <t>Tempo Médio — 🟠 Laranja (hh:mm)</t>
        </is>
      </c>
      <c r="D236" s="75" t="n">
        <v>0.01196759259259259</v>
      </c>
      <c r="E236" s="75" t="n">
        <v>0.01572916666666667</v>
      </c>
      <c r="F236" s="75" t="n">
        <v>0.006805555555555555</v>
      </c>
      <c r="G236" s="75" t="n">
        <v>0.01662037037037037</v>
      </c>
      <c r="H236" s="75" t="n">
        <v>0.002557870370370371</v>
      </c>
      <c r="I236" s="75" t="n">
        <v>0.01230324074074074</v>
      </c>
      <c r="J236" s="75" t="n">
        <v>0.0096875</v>
      </c>
      <c r="K236" s="75" t="n">
        <v>0.01418981481481481</v>
      </c>
      <c r="L236" s="75" t="n">
        <v>0.02451388888888889</v>
      </c>
      <c r="M236" s="75" t="n">
        <v>0.009583333333333333</v>
      </c>
      <c r="N236" s="75" t="n">
        <v>0.007083333333333333</v>
      </c>
      <c r="O236" s="75" t="n">
        <v>0.01717592592592592</v>
      </c>
      <c r="P236" s="75" t="n">
        <v>0.0177662037037037</v>
      </c>
    </row>
    <row r="237" ht="15.75" customHeight="1" s="45">
      <c r="A237" s="76" t="n">
        <v>46071</v>
      </c>
      <c r="B237" s="77" t="inlineStr">
        <is>
          <t>Antes-Projeto</t>
        </is>
      </c>
      <c r="C237" s="78" t="inlineStr">
        <is>
          <t>Tempo Médio — 🟢 Verde   (hh:mm)</t>
        </is>
      </c>
      <c r="D237" s="79" t="n">
        <v>0.113125</v>
      </c>
      <c r="E237" s="79" t="n">
        <v>0.2043287037037037</v>
      </c>
      <c r="F237" s="79" t="n">
        <v>0.09896990740740741</v>
      </c>
      <c r="G237" s="79" t="n">
        <v>0.1071759259259259</v>
      </c>
      <c r="H237" s="79" t="n">
        <v>0.1830324074074074</v>
      </c>
      <c r="I237" s="79" t="n">
        <v>0.1866666666666667</v>
      </c>
      <c r="J237" s="79" t="n">
        <v>0.1109837962962963</v>
      </c>
      <c r="K237" s="79" t="n">
        <v>0.1645601851851852</v>
      </c>
      <c r="L237" s="79" t="n">
        <v>0.2091550925925926</v>
      </c>
      <c r="M237" s="79" t="n">
        <v>0.1783217592592592</v>
      </c>
      <c r="N237" s="79" t="n">
        <v>0.1153125</v>
      </c>
      <c r="O237" s="79" t="n">
        <v>0.08988425925925926</v>
      </c>
      <c r="P237" s="79" t="n">
        <v>0.1517361111111111</v>
      </c>
    </row>
    <row r="238" ht="15.75" customHeight="1" s="45">
      <c r="A238" s="57" t="n">
        <v>46072</v>
      </c>
      <c r="B238" s="58" t="inlineStr">
        <is>
          <t>Antes-Projeto</t>
        </is>
      </c>
      <c r="C238" s="59" t="inlineStr">
        <is>
          <t>Acolhim. + Atend. Urgência + Atend. UPA</t>
        </is>
      </c>
      <c r="D238" s="60">
        <f>SUM(D239:D241)</f>
        <v/>
      </c>
      <c r="E238" s="60">
        <f>SUM(E239:E241)</f>
        <v/>
      </c>
      <c r="F238" s="60">
        <f>SUM(F239:F241)</f>
        <v/>
      </c>
      <c r="G238" s="60">
        <f>SUM(G239:G241)</f>
        <v/>
      </c>
      <c r="H238" s="60">
        <f>SUM(H239:H241)</f>
        <v/>
      </c>
      <c r="I238" s="60">
        <f>SUM(I239:I241)</f>
        <v/>
      </c>
      <c r="J238" s="60">
        <f>SUM(J239:J241)</f>
        <v/>
      </c>
      <c r="K238" s="60">
        <f>SUM(K239:K241)</f>
        <v/>
      </c>
      <c r="L238" s="60">
        <f>SUM(L239:L241)</f>
        <v/>
      </c>
      <c r="M238" s="60">
        <f>SUM(M239:M241)</f>
        <v/>
      </c>
      <c r="N238" s="60">
        <f>SUM(N239:N241)</f>
        <v/>
      </c>
      <c r="O238" s="60">
        <f>SUM(O239:O241)</f>
        <v/>
      </c>
      <c r="P238" s="60">
        <f>SUM(P239:P241)</f>
        <v/>
      </c>
    </row>
    <row r="239" ht="15.75" customHeight="1" s="45">
      <c r="A239" s="61" t="n">
        <v>46072</v>
      </c>
      <c r="B239" s="62" t="inlineStr">
        <is>
          <t>Antes-Projeto</t>
        </is>
      </c>
      <c r="C239" s="63" t="inlineStr">
        <is>
          <t>Acolhimento c/ Classif. de Risco</t>
        </is>
      </c>
      <c r="D239" s="64" t="n">
        <v>224</v>
      </c>
      <c r="E239" s="64" t="n">
        <v>140</v>
      </c>
      <c r="F239" s="64" t="n">
        <v>161</v>
      </c>
      <c r="G239" s="64" t="n">
        <v>137</v>
      </c>
      <c r="H239" s="64" t="n">
        <v>128</v>
      </c>
      <c r="I239" s="64" t="n">
        <v>201</v>
      </c>
      <c r="J239" s="64" t="n">
        <v>70</v>
      </c>
      <c r="K239" s="64" t="n">
        <v>314</v>
      </c>
      <c r="L239" s="64" t="n">
        <v>124</v>
      </c>
      <c r="M239" s="64" t="n">
        <v>220</v>
      </c>
      <c r="N239" s="64" t="n">
        <v>205</v>
      </c>
      <c r="O239" s="64" t="n">
        <v>244</v>
      </c>
      <c r="P239" s="64" t="n">
        <v>201</v>
      </c>
    </row>
    <row r="240" ht="15.75" customHeight="1" s="45">
      <c r="A240" s="61" t="n">
        <v>46072</v>
      </c>
      <c r="B240" s="62" t="inlineStr">
        <is>
          <t>Antes-Projeto</t>
        </is>
      </c>
      <c r="C240" s="65" t="inlineStr">
        <is>
          <t>Atend. Urgência Obs. ≤ 24h</t>
        </is>
      </c>
      <c r="D240" s="66" t="n">
        <v>31</v>
      </c>
      <c r="E240" s="66" t="n">
        <v>43</v>
      </c>
      <c r="F240" s="66" t="n">
        <v>27</v>
      </c>
      <c r="G240" s="66" t="n">
        <v>27</v>
      </c>
      <c r="H240" s="66" t="n">
        <v>19</v>
      </c>
      <c r="I240" s="66" t="n">
        <v>12</v>
      </c>
      <c r="J240" s="66" t="n">
        <v>9</v>
      </c>
      <c r="K240" s="66" t="n">
        <v>57</v>
      </c>
      <c r="L240" s="66" t="n">
        <v>44</v>
      </c>
      <c r="M240" s="66" t="n">
        <v>44</v>
      </c>
      <c r="N240" s="66" t="n">
        <v>80</v>
      </c>
      <c r="O240" s="66" t="n">
        <v>11</v>
      </c>
      <c r="P240" s="66" t="n">
        <v>18</v>
      </c>
    </row>
    <row r="241" ht="15.75" customHeight="1" s="45">
      <c r="A241" s="61" t="n">
        <v>46072</v>
      </c>
      <c r="B241" s="62" t="inlineStr">
        <is>
          <t>Antes-Projeto</t>
        </is>
      </c>
      <c r="C241" s="63" t="inlineStr">
        <is>
          <t>Atend. Médico em UPA</t>
        </is>
      </c>
      <c r="D241" s="64" t="n">
        <v>128</v>
      </c>
      <c r="E241" s="64" t="n">
        <v>36</v>
      </c>
      <c r="F241" s="64" t="n">
        <v>80</v>
      </c>
      <c r="G241" s="64" t="n">
        <v>87</v>
      </c>
      <c r="H241" s="64" t="n">
        <v>82</v>
      </c>
      <c r="I241" s="64" t="n">
        <v>134</v>
      </c>
      <c r="J241" s="64" t="n">
        <v>13</v>
      </c>
      <c r="K241" s="64" t="n">
        <v>231</v>
      </c>
      <c r="L241" s="64" t="n">
        <v>69</v>
      </c>
      <c r="M241" s="64" t="n">
        <v>85</v>
      </c>
      <c r="N241" s="64" t="n">
        <v>186</v>
      </c>
      <c r="O241" s="64" t="n">
        <v>193</v>
      </c>
      <c r="P241" s="64" t="n">
        <v>104</v>
      </c>
    </row>
    <row r="242" ht="15.75" customHeight="1" s="45">
      <c r="A242" s="61" t="n">
        <v>46072</v>
      </c>
      <c r="B242" s="62" t="inlineStr">
        <is>
          <t>Antes-Projeto</t>
        </is>
      </c>
      <c r="C242" s="65" t="inlineStr">
        <is>
          <t>Exames Laboratoriais</t>
        </is>
      </c>
      <c r="D242" s="66" t="n">
        <v>449</v>
      </c>
      <c r="E242" s="66" t="n">
        <v>353</v>
      </c>
      <c r="F242" s="66" t="n">
        <v>406</v>
      </c>
      <c r="G242" s="66" t="n">
        <v>343</v>
      </c>
      <c r="H242" s="66" t="n">
        <v>329</v>
      </c>
      <c r="I242" s="66" t="n">
        <v>509</v>
      </c>
      <c r="J242" s="66" t="n">
        <v>97</v>
      </c>
      <c r="K242" s="66" t="n">
        <v>973</v>
      </c>
      <c r="L242" s="66" t="n">
        <v>470</v>
      </c>
      <c r="M242" s="66" t="n">
        <v>616</v>
      </c>
      <c r="N242" s="66" t="n">
        <v>318</v>
      </c>
      <c r="O242" s="66" t="n">
        <v>377</v>
      </c>
      <c r="P242" s="66" t="n">
        <v>456</v>
      </c>
    </row>
    <row r="243" ht="15.75" customHeight="1" s="45">
      <c r="A243" s="61" t="n">
        <v>46072</v>
      </c>
      <c r="B243" s="62" t="inlineStr">
        <is>
          <t>Antes-Projeto</t>
        </is>
      </c>
      <c r="C243" s="63" t="inlineStr">
        <is>
          <t>Radiografias</t>
        </is>
      </c>
      <c r="D243" s="64" t="n">
        <v>23</v>
      </c>
      <c r="E243" s="64" t="n">
        <v>2</v>
      </c>
      <c r="F243" s="64" t="n">
        <v>15</v>
      </c>
      <c r="G243" s="64" t="n">
        <v>15</v>
      </c>
      <c r="H243" s="64" t="n">
        <v>17</v>
      </c>
      <c r="I243" s="64" t="n">
        <v>38</v>
      </c>
      <c r="J243" s="64" t="n">
        <v>6</v>
      </c>
      <c r="K243" s="64" t="n">
        <v>13</v>
      </c>
      <c r="L243" s="64" t="n">
        <v>28</v>
      </c>
      <c r="M243" s="64" t="n">
        <v>60</v>
      </c>
      <c r="N243" s="64" t="n">
        <v>33</v>
      </c>
      <c r="O243" s="64" t="n">
        <v>50</v>
      </c>
      <c r="P243" s="64" t="n">
        <v>50</v>
      </c>
    </row>
    <row r="244" ht="15.75" customHeight="1" s="45">
      <c r="A244" s="61" t="n">
        <v>46072</v>
      </c>
      <c r="B244" s="62" t="inlineStr">
        <is>
          <t>Antes-Projeto</t>
        </is>
      </c>
      <c r="C244" s="65" t="inlineStr">
        <is>
          <t>Eletrocardiogramas</t>
        </is>
      </c>
      <c r="D244" s="66" t="n">
        <v>34</v>
      </c>
      <c r="E244" s="66" t="n">
        <v>15</v>
      </c>
      <c r="F244" s="66" t="n">
        <v>14</v>
      </c>
      <c r="G244" s="66" t="n">
        <v>12</v>
      </c>
      <c r="H244" s="66" t="n">
        <v>12</v>
      </c>
      <c r="I244" s="66" t="n">
        <v>12</v>
      </c>
      <c r="J244" s="66" t="n">
        <v>1</v>
      </c>
      <c r="K244" s="66" t="n">
        <v>21</v>
      </c>
      <c r="L244" s="66" t="n">
        <v>10</v>
      </c>
      <c r="M244" s="66" t="n">
        <v>16</v>
      </c>
      <c r="N244" s="66" t="n">
        <v>8</v>
      </c>
      <c r="O244" s="66" t="n">
        <v>15</v>
      </c>
      <c r="P244" s="66" t="n">
        <v>16</v>
      </c>
    </row>
    <row r="245" ht="15.75" customHeight="1" s="45">
      <c r="A245" s="61" t="n">
        <v>46072</v>
      </c>
      <c r="B245" s="62" t="inlineStr">
        <is>
          <t>Antes-Projeto</t>
        </is>
      </c>
      <c r="C245" s="68" t="inlineStr">
        <is>
          <t>GAEs Abertas</t>
        </is>
      </c>
      <c r="D245" s="69" t="n">
        <v>247</v>
      </c>
      <c r="E245" s="69" t="n">
        <v>150</v>
      </c>
      <c r="F245" s="69" t="n">
        <v>170</v>
      </c>
      <c r="G245" s="69" t="n">
        <v>142</v>
      </c>
      <c r="H245" s="69" t="n">
        <v>132</v>
      </c>
      <c r="I245" s="69" t="n">
        <v>209</v>
      </c>
      <c r="J245" s="69" t="n">
        <v>79</v>
      </c>
      <c r="K245" s="69" t="n">
        <v>348</v>
      </c>
      <c r="L245" s="69" t="n">
        <v>134</v>
      </c>
      <c r="M245" s="69" t="n">
        <v>240</v>
      </c>
      <c r="N245" s="69" t="n">
        <v>205</v>
      </c>
      <c r="O245" s="69" t="n">
        <v>256</v>
      </c>
      <c r="P245" s="69" t="n">
        <v>213</v>
      </c>
    </row>
    <row r="246" ht="15.75" customHeight="1" s="45">
      <c r="A246" s="61" t="n">
        <v>46072</v>
      </c>
      <c r="B246" s="62" t="inlineStr">
        <is>
          <t>Antes-Projeto</t>
        </is>
      </c>
      <c r="C246" s="68" t="inlineStr">
        <is>
          <t>GAEs Classificadas</t>
        </is>
      </c>
      <c r="D246" s="69" t="n">
        <v>230</v>
      </c>
      <c r="E246" s="69" t="n">
        <v>139</v>
      </c>
      <c r="F246" s="69" t="n">
        <v>161</v>
      </c>
      <c r="G246" s="69" t="n">
        <v>138</v>
      </c>
      <c r="H246" s="69" t="n">
        <v>129</v>
      </c>
      <c r="I246" s="69" t="n">
        <v>198</v>
      </c>
      <c r="J246" s="69" t="n">
        <v>71</v>
      </c>
      <c r="K246" s="69" t="n">
        <v>316</v>
      </c>
      <c r="L246" s="69" t="n">
        <v>122</v>
      </c>
      <c r="M246" s="69" t="n">
        <v>221</v>
      </c>
      <c r="N246" s="69" t="n">
        <v>180</v>
      </c>
      <c r="O246" s="69" t="n">
        <v>242</v>
      </c>
      <c r="P246" s="69" t="n">
        <v>201</v>
      </c>
    </row>
    <row r="247" ht="15.75" customHeight="1" s="45">
      <c r="A247" s="61" t="n">
        <v>46072</v>
      </c>
      <c r="B247" s="62" t="inlineStr">
        <is>
          <t>Antes-Projeto</t>
        </is>
      </c>
      <c r="C247" s="70" t="inlineStr">
        <is>
          <t>Percentual de GAEs abertas classificadas</t>
        </is>
      </c>
      <c r="D247" s="71">
        <f>IFERROR(D246/D245,"-")</f>
        <v/>
      </c>
      <c r="E247" s="71">
        <f>IFERROR(E246/E245,"-")</f>
        <v/>
      </c>
      <c r="F247" s="71">
        <f>IFERROR(F246/F245,"-")</f>
        <v/>
      </c>
      <c r="G247" s="71">
        <f>IFERROR(G246/G245,"-")</f>
        <v/>
      </c>
      <c r="H247" s="71">
        <f>IFERROR(H246/H245,"-")</f>
        <v/>
      </c>
      <c r="I247" s="71">
        <f>IFERROR(I246/I245,"-")</f>
        <v/>
      </c>
      <c r="J247" s="71">
        <f>IFERROR(J246/J245,"-")</f>
        <v/>
      </c>
      <c r="K247" s="71">
        <f>IFERROR(K246/K245,"-")</f>
        <v/>
      </c>
      <c r="L247" s="71">
        <f>IFERROR(L246/L245,"-")</f>
        <v/>
      </c>
      <c r="M247" s="71">
        <f>IFERROR(M246/M245,"-")</f>
        <v/>
      </c>
      <c r="N247" s="71">
        <f>IFERROR(N246/N245,"-")</f>
        <v/>
      </c>
      <c r="O247" s="71">
        <f>IFERROR(O246/O245,"-")</f>
        <v/>
      </c>
      <c r="P247" s="71">
        <f>IFERROR(P246/P245,"-")</f>
        <v/>
      </c>
    </row>
    <row r="248" ht="15.75" customHeight="1" s="45">
      <c r="A248" s="61" t="n">
        <v>46072</v>
      </c>
      <c r="B248" s="62" t="inlineStr">
        <is>
          <t>Antes-Projeto</t>
        </is>
      </c>
      <c r="C248" s="72" t="inlineStr">
        <is>
          <t>Tempo Médio — 🟡 Amarelo (hh:mm)</t>
        </is>
      </c>
      <c r="D248" s="73" t="n">
        <v>0.06991898148148148</v>
      </c>
      <c r="E248" s="73" t="n">
        <v>0.1932060185185185</v>
      </c>
      <c r="F248" s="73" t="n">
        <v>0.1190162037037037</v>
      </c>
      <c r="G248" s="73" t="n">
        <v>0.1199768518518518</v>
      </c>
      <c r="H248" s="73" t="n">
        <v>0.1106365740740741</v>
      </c>
      <c r="I248" s="73" t="n">
        <v>0.0328125</v>
      </c>
      <c r="J248" s="73" t="n">
        <v>0.2548842592592593</v>
      </c>
      <c r="K248" s="73" t="n">
        <v>0.1644444444444444</v>
      </c>
      <c r="L248" s="73" t="n">
        <v>0.1649768518518518</v>
      </c>
      <c r="M248" s="73" t="n">
        <v>0.04024305555555555</v>
      </c>
      <c r="N248" s="73" t="n">
        <v>0.08717592592592592</v>
      </c>
      <c r="O248" s="73" t="n">
        <v>0.0280787037037037</v>
      </c>
      <c r="P248" s="73" t="n">
        <v>0.06496527777777777</v>
      </c>
    </row>
    <row r="249" ht="15.75" customHeight="1" s="45">
      <c r="A249" s="61" t="n">
        <v>46072</v>
      </c>
      <c r="B249" s="62" t="inlineStr">
        <is>
          <t>Antes-Projeto</t>
        </is>
      </c>
      <c r="C249" s="74" t="inlineStr">
        <is>
          <t>Tempo Médio — 🟠 Laranja (hh:mm)</t>
        </is>
      </c>
      <c r="D249" s="75" t="n">
        <v>0.01266203703703704</v>
      </c>
      <c r="E249" s="75" t="n">
        <v>0.03275462962962963</v>
      </c>
      <c r="F249" s="75" t="n">
        <v>0.01547453703703704</v>
      </c>
      <c r="G249" s="75" t="n">
        <v>0.01523148148148148</v>
      </c>
      <c r="H249" s="75" t="n">
        <v>0.008194444444444445</v>
      </c>
      <c r="I249" s="75" t="n">
        <v>0.007604166666666667</v>
      </c>
      <c r="J249" s="75" t="n">
        <v>0.08725694444444444</v>
      </c>
      <c r="K249" s="75" t="n">
        <v>0.02876157407407407</v>
      </c>
      <c r="L249" s="75" t="n">
        <v>0.03034722222222222</v>
      </c>
      <c r="M249" s="75" t="n">
        <v>0.009386574074074073</v>
      </c>
      <c r="N249" s="75" t="n">
        <v>0.0141087962962963</v>
      </c>
      <c r="O249" s="75" t="n">
        <v>0.009293981481481481</v>
      </c>
      <c r="P249" s="75" t="n">
        <v>0.01701388888888889</v>
      </c>
    </row>
    <row r="250" ht="15.75" customHeight="1" s="45">
      <c r="A250" s="76" t="n">
        <v>46072</v>
      </c>
      <c r="B250" s="77" t="inlineStr">
        <is>
          <t>Antes-Projeto</t>
        </is>
      </c>
      <c r="C250" s="78" t="inlineStr">
        <is>
          <t>Tempo Médio — 🟢 Verde   (hh:mm)</t>
        </is>
      </c>
      <c r="D250" s="79" t="n">
        <v>0.1039583333333333</v>
      </c>
      <c r="E250" s="79" t="n">
        <v>0.3995717592592593</v>
      </c>
      <c r="F250" s="79" t="n">
        <v>0.1388425925925926</v>
      </c>
      <c r="G250" s="79" t="n">
        <v>0.1299305555555555</v>
      </c>
      <c r="H250" s="79" t="n">
        <v>0.1003125</v>
      </c>
      <c r="I250" s="79" t="n">
        <v>0.04916666666666666</v>
      </c>
      <c r="J250" s="79" t="n">
        <v>0.3465740740740741</v>
      </c>
      <c r="K250" s="79" t="n">
        <v>0.1288194444444444</v>
      </c>
      <c r="L250" s="79" t="n">
        <v>0.190775462962963</v>
      </c>
      <c r="M250" s="79" t="n">
        <v>0.1115393518518518</v>
      </c>
      <c r="N250" s="79" t="n">
        <v>0.1919791666666667</v>
      </c>
      <c r="O250" s="79" t="n">
        <v>0.1251851851851852</v>
      </c>
      <c r="P250" s="79" t="n">
        <v>0.1306018518518519</v>
      </c>
    </row>
    <row r="251" ht="15.75" customHeight="1" s="45">
      <c r="A251" s="57" t="n">
        <v>46073</v>
      </c>
      <c r="B251" s="58" t="inlineStr">
        <is>
          <t>Antes-Projeto</t>
        </is>
      </c>
      <c r="C251" s="59" t="inlineStr">
        <is>
          <t>Acolhim. + Atend. Urgência + Atend. UPA</t>
        </is>
      </c>
      <c r="D251" s="60">
        <f>SUM(D252:D254)</f>
        <v/>
      </c>
      <c r="E251" s="60">
        <f>SUM(E252:E254)</f>
        <v/>
      </c>
      <c r="F251" s="60">
        <f>SUM(F252:F254)</f>
        <v/>
      </c>
      <c r="G251" s="60">
        <f>SUM(G252:G254)</f>
        <v/>
      </c>
      <c r="H251" s="60">
        <f>SUM(H252:H254)</f>
        <v/>
      </c>
      <c r="I251" s="60">
        <f>SUM(I252:I254)</f>
        <v/>
      </c>
      <c r="J251" s="60">
        <f>SUM(J252:J254)</f>
        <v/>
      </c>
      <c r="K251" s="60">
        <f>SUM(K252:K254)</f>
        <v/>
      </c>
      <c r="L251" s="60">
        <f>SUM(L252:L254)</f>
        <v/>
      </c>
      <c r="M251" s="60">
        <f>SUM(M252:M254)</f>
        <v/>
      </c>
      <c r="N251" s="60">
        <f>SUM(N252:N254)</f>
        <v/>
      </c>
      <c r="O251" s="60">
        <f>SUM(O252:O254)</f>
        <v/>
      </c>
      <c r="P251" s="60">
        <f>SUM(P252:P254)</f>
        <v/>
      </c>
    </row>
    <row r="252" ht="15.75" customHeight="1" s="45">
      <c r="A252" s="61" t="n">
        <v>46073</v>
      </c>
      <c r="B252" s="62" t="inlineStr">
        <is>
          <t>Antes-Projeto</t>
        </is>
      </c>
      <c r="C252" s="65" t="inlineStr">
        <is>
          <t>Acolhimento c/ Classif. de Risco</t>
        </is>
      </c>
      <c r="D252" s="66" t="n">
        <v>260</v>
      </c>
      <c r="E252" s="66" t="n">
        <v>130</v>
      </c>
      <c r="F252" s="66" t="n">
        <v>152</v>
      </c>
      <c r="G252" s="66" t="n">
        <v>127</v>
      </c>
      <c r="H252" s="66" t="n">
        <v>118</v>
      </c>
      <c r="I252" s="66" t="n">
        <v>188</v>
      </c>
      <c r="J252" s="66" t="n">
        <v>97</v>
      </c>
      <c r="K252" s="66" t="n">
        <v>290</v>
      </c>
      <c r="L252" s="66" t="n">
        <v>140</v>
      </c>
      <c r="M252" s="66" t="n">
        <v>232</v>
      </c>
      <c r="N252" s="66" t="n">
        <v>194</v>
      </c>
      <c r="O252" s="66" t="n">
        <v>260</v>
      </c>
      <c r="P252" s="66" t="n">
        <v>233</v>
      </c>
    </row>
    <row r="253" ht="15.75" customHeight="1" s="45">
      <c r="A253" s="61" t="n">
        <v>46073</v>
      </c>
      <c r="B253" s="62" t="inlineStr">
        <is>
          <t>Antes-Projeto</t>
        </is>
      </c>
      <c r="C253" s="63" t="inlineStr">
        <is>
          <t>Atend. Urgência Obs. ≤ 24h</t>
        </is>
      </c>
      <c r="D253" s="64" t="n">
        <v>37</v>
      </c>
      <c r="E253" s="64" t="n">
        <v>52</v>
      </c>
      <c r="F253" s="64" t="n">
        <v>27</v>
      </c>
      <c r="G253" s="64" t="n">
        <v>48</v>
      </c>
      <c r="H253" s="64" t="n">
        <v>25</v>
      </c>
      <c r="I253" s="64" t="n">
        <v>19</v>
      </c>
      <c r="J253" s="64" t="n">
        <v>13</v>
      </c>
      <c r="K253" s="64" t="n">
        <v>51</v>
      </c>
      <c r="L253" s="64" t="n">
        <v>33</v>
      </c>
      <c r="M253" s="64" t="n">
        <v>29</v>
      </c>
      <c r="N253" s="64" t="n">
        <v>76</v>
      </c>
      <c r="O253" s="64" t="n">
        <v>12</v>
      </c>
      <c r="P253" s="64" t="n">
        <v>28</v>
      </c>
    </row>
    <row r="254" ht="15.75" customHeight="1" s="45">
      <c r="A254" s="61" t="n">
        <v>46073</v>
      </c>
      <c r="B254" s="62" t="inlineStr">
        <is>
          <t>Antes-Projeto</t>
        </is>
      </c>
      <c r="C254" s="65" t="inlineStr">
        <is>
          <t>Atend. Médico em UPA</t>
        </is>
      </c>
      <c r="D254" s="66" t="n">
        <v>163</v>
      </c>
      <c r="E254" s="66" t="n">
        <v>44</v>
      </c>
      <c r="F254" s="66" t="n">
        <v>85</v>
      </c>
      <c r="G254" s="66" t="n">
        <v>88</v>
      </c>
      <c r="H254" s="66" t="n">
        <v>74</v>
      </c>
      <c r="I254" s="66" t="n">
        <v>134</v>
      </c>
      <c r="J254" s="66" t="n">
        <v>40</v>
      </c>
      <c r="K254" s="66" t="n">
        <v>197</v>
      </c>
      <c r="L254" s="66" t="n">
        <v>101</v>
      </c>
      <c r="M254" s="66" t="n">
        <v>119</v>
      </c>
      <c r="N254" s="66" t="n">
        <v>213</v>
      </c>
      <c r="O254" s="66" t="n">
        <v>205</v>
      </c>
      <c r="P254" s="66" t="n">
        <v>105</v>
      </c>
    </row>
    <row r="255" ht="15.75" customHeight="1" s="45">
      <c r="A255" s="61" t="n">
        <v>46073</v>
      </c>
      <c r="B255" s="62" t="inlineStr">
        <is>
          <t>Antes-Projeto</t>
        </is>
      </c>
      <c r="C255" s="63" t="inlineStr">
        <is>
          <t>Exames Laboratoriais</t>
        </is>
      </c>
      <c r="D255" s="64" t="n">
        <v>552</v>
      </c>
      <c r="E255" s="64" t="n">
        <v>401</v>
      </c>
      <c r="F255" s="64" t="n">
        <v>176</v>
      </c>
      <c r="G255" s="64" t="n">
        <v>351</v>
      </c>
      <c r="H255" s="64" t="n">
        <v>383</v>
      </c>
      <c r="I255" s="64" t="n">
        <v>477</v>
      </c>
      <c r="J255" s="64" t="n">
        <v>180</v>
      </c>
      <c r="K255" s="64" t="n">
        <v>917</v>
      </c>
      <c r="L255" s="64" t="n">
        <v>534</v>
      </c>
      <c r="M255" s="64" t="n">
        <v>566</v>
      </c>
      <c r="N255" s="64" t="n">
        <v>681</v>
      </c>
      <c r="O255" s="64" t="n">
        <v>384</v>
      </c>
      <c r="P255" s="64" t="n">
        <v>193</v>
      </c>
    </row>
    <row r="256" ht="15.75" customHeight="1" s="45">
      <c r="A256" s="61" t="n">
        <v>46073</v>
      </c>
      <c r="B256" s="62" t="inlineStr">
        <is>
          <t>Antes-Projeto</t>
        </is>
      </c>
      <c r="C256" s="65" t="inlineStr">
        <is>
          <t>Radiografias</t>
        </is>
      </c>
      <c r="D256" s="66" t="n">
        <v>41</v>
      </c>
      <c r="E256" s="67" t="n">
        <v>0</v>
      </c>
      <c r="F256" s="66" t="n">
        <v>14</v>
      </c>
      <c r="G256" s="66" t="n">
        <v>18</v>
      </c>
      <c r="H256" s="66" t="n">
        <v>19</v>
      </c>
      <c r="I256" s="66" t="n">
        <v>26</v>
      </c>
      <c r="J256" s="66" t="n">
        <v>14</v>
      </c>
      <c r="K256" s="66" t="n">
        <v>60</v>
      </c>
      <c r="L256" s="66" t="n">
        <v>31</v>
      </c>
      <c r="M256" s="66" t="n">
        <v>38</v>
      </c>
      <c r="N256" s="66" t="n">
        <v>24</v>
      </c>
      <c r="O256" s="66" t="n">
        <v>52</v>
      </c>
      <c r="P256" s="66" t="n">
        <v>46</v>
      </c>
    </row>
    <row r="257" ht="15.75" customHeight="1" s="45">
      <c r="A257" s="61" t="n">
        <v>46073</v>
      </c>
      <c r="B257" s="62" t="inlineStr">
        <is>
          <t>Antes-Projeto</t>
        </is>
      </c>
      <c r="C257" s="63" t="inlineStr">
        <is>
          <t>Eletrocardiogramas</t>
        </is>
      </c>
      <c r="D257" s="64" t="n">
        <v>17</v>
      </c>
      <c r="E257" s="64" t="n">
        <v>14</v>
      </c>
      <c r="F257" s="64" t="n">
        <v>14</v>
      </c>
      <c r="G257" s="64" t="n">
        <v>12</v>
      </c>
      <c r="H257" s="64" t="n">
        <v>13</v>
      </c>
      <c r="I257" s="64" t="n">
        <v>10</v>
      </c>
      <c r="J257" s="64" t="n">
        <v>10</v>
      </c>
      <c r="K257" s="64" t="n">
        <v>18</v>
      </c>
      <c r="L257" s="64" t="n">
        <v>13</v>
      </c>
      <c r="M257" s="64" t="n">
        <v>14</v>
      </c>
      <c r="N257" s="64" t="n">
        <v>17</v>
      </c>
      <c r="O257" s="64" t="n">
        <v>15</v>
      </c>
      <c r="P257" s="64" t="n">
        <v>13</v>
      </c>
    </row>
    <row r="258" ht="15.75" customHeight="1" s="45">
      <c r="A258" s="61" t="n">
        <v>46073</v>
      </c>
      <c r="B258" s="62" t="inlineStr">
        <is>
          <t>Antes-Projeto</t>
        </is>
      </c>
      <c r="C258" s="68" t="inlineStr">
        <is>
          <t>GAEs Abertas</t>
        </is>
      </c>
      <c r="D258" s="69" t="n">
        <v>258</v>
      </c>
      <c r="E258" s="69" t="n">
        <v>147</v>
      </c>
      <c r="F258" s="69" t="n">
        <v>165</v>
      </c>
      <c r="G258" s="69" t="n">
        <v>132</v>
      </c>
      <c r="H258" s="69" t="n">
        <v>120</v>
      </c>
      <c r="I258" s="69" t="n">
        <v>208</v>
      </c>
      <c r="J258" s="69" t="n">
        <v>109</v>
      </c>
      <c r="K258" s="69" t="n">
        <v>306</v>
      </c>
      <c r="L258" s="69" t="n">
        <v>148</v>
      </c>
      <c r="M258" s="69" t="n">
        <v>244</v>
      </c>
      <c r="N258" s="69" t="n">
        <v>197</v>
      </c>
      <c r="O258" s="69" t="n">
        <v>264</v>
      </c>
      <c r="P258" s="69" t="n">
        <v>248</v>
      </c>
    </row>
    <row r="259" ht="15.75" customHeight="1" s="45">
      <c r="A259" s="61" t="n">
        <v>46073</v>
      </c>
      <c r="B259" s="62" t="inlineStr">
        <is>
          <t>Antes-Projeto</t>
        </is>
      </c>
      <c r="C259" s="68" t="inlineStr">
        <is>
          <t>GAEs Classificadas</t>
        </is>
      </c>
      <c r="D259" s="69" t="n">
        <v>253</v>
      </c>
      <c r="E259" s="69" t="n">
        <v>131</v>
      </c>
      <c r="F259" s="69" t="n">
        <v>152</v>
      </c>
      <c r="G259" s="69" t="n">
        <v>130</v>
      </c>
      <c r="H259" s="69" t="n">
        <v>117</v>
      </c>
      <c r="I259" s="69" t="n">
        <v>190</v>
      </c>
      <c r="J259" s="69" t="n">
        <v>97</v>
      </c>
      <c r="K259" s="69" t="n">
        <v>286</v>
      </c>
      <c r="L259" s="69" t="n">
        <v>140</v>
      </c>
      <c r="M259" s="69" t="n">
        <v>228</v>
      </c>
      <c r="N259" s="69" t="n">
        <v>183</v>
      </c>
      <c r="O259" s="69" t="n">
        <v>260</v>
      </c>
      <c r="P259" s="69" t="n">
        <v>236</v>
      </c>
    </row>
    <row r="260" ht="15.75" customHeight="1" s="45">
      <c r="A260" s="61" t="n">
        <v>46073</v>
      </c>
      <c r="B260" s="62" t="inlineStr">
        <is>
          <t>Antes-Projeto</t>
        </is>
      </c>
      <c r="C260" s="70" t="inlineStr">
        <is>
          <t>Percentual de GAEs abertas classificadas</t>
        </is>
      </c>
      <c r="D260" s="71">
        <f>IFERROR(D259/D258,"-")</f>
        <v/>
      </c>
      <c r="E260" s="71">
        <f>IFERROR(E259/E258,"-")</f>
        <v/>
      </c>
      <c r="F260" s="71">
        <f>IFERROR(F259/F258,"-")</f>
        <v/>
      </c>
      <c r="G260" s="71">
        <f>IFERROR(G259/G258,"-")</f>
        <v/>
      </c>
      <c r="H260" s="71">
        <f>IFERROR(H259/H258,"-")</f>
        <v/>
      </c>
      <c r="I260" s="71">
        <f>IFERROR(I259/I258,"-")</f>
        <v/>
      </c>
      <c r="J260" s="71">
        <f>IFERROR(J259/J258,"-")</f>
        <v/>
      </c>
      <c r="K260" s="71">
        <f>IFERROR(K259/K258,"-")</f>
        <v/>
      </c>
      <c r="L260" s="71">
        <f>IFERROR(L259/L258,"-")</f>
        <v/>
      </c>
      <c r="M260" s="71">
        <f>IFERROR(M259/M258,"-")</f>
        <v/>
      </c>
      <c r="N260" s="71">
        <f>IFERROR(N259/N258,"-")</f>
        <v/>
      </c>
      <c r="O260" s="71">
        <f>IFERROR(O259/O258,"-")</f>
        <v/>
      </c>
      <c r="P260" s="71">
        <f>IFERROR(P259/P258,"-")</f>
        <v/>
      </c>
    </row>
    <row r="261" ht="15.75" customHeight="1" s="45">
      <c r="A261" s="61" t="n">
        <v>46073</v>
      </c>
      <c r="B261" s="62" t="inlineStr">
        <is>
          <t>Antes-Projeto</t>
        </is>
      </c>
      <c r="C261" s="72" t="inlineStr">
        <is>
          <t>Tempo Médio — 🟡 Amarelo (hh:mm)</t>
        </is>
      </c>
      <c r="D261" s="73" t="n">
        <v>0.03590277777777778</v>
      </c>
      <c r="E261" s="73" t="n">
        <v>0.08923611111111111</v>
      </c>
      <c r="F261" s="73" t="n">
        <v>0.1326388888888889</v>
      </c>
      <c r="G261" s="73" t="n">
        <v>0.04517361111111111</v>
      </c>
      <c r="H261" s="73" t="n">
        <v>0.02280092592592593</v>
      </c>
      <c r="I261" s="73" t="n">
        <v>0.08225694444444444</v>
      </c>
      <c r="J261" s="73" t="n">
        <v>0.3190162037037037</v>
      </c>
      <c r="K261" s="73" t="n">
        <v>0.06773148148148148</v>
      </c>
      <c r="L261" s="73" t="n">
        <v>0.1295023148148148</v>
      </c>
      <c r="M261" s="73" t="n">
        <v>0.02711805555555555</v>
      </c>
      <c r="N261" s="73" t="n">
        <v>0.04802083333333333</v>
      </c>
      <c r="O261" s="73" t="n">
        <v>0.04946759259259259</v>
      </c>
      <c r="P261" s="73" t="n">
        <v>0.09119212962962962</v>
      </c>
    </row>
    <row r="262" ht="15.75" customHeight="1" s="45">
      <c r="A262" s="61" t="n">
        <v>46073</v>
      </c>
      <c r="B262" s="62" t="inlineStr">
        <is>
          <t>Antes-Projeto</t>
        </is>
      </c>
      <c r="C262" s="74" t="inlineStr">
        <is>
          <t>Tempo Médio — 🟠 Laranja (hh:mm)</t>
        </is>
      </c>
      <c r="D262" s="75" t="n">
        <v>0.006307870370370371</v>
      </c>
      <c r="E262" s="75" t="n">
        <v>0.03443287037037037</v>
      </c>
      <c r="F262" s="75" t="n">
        <v>0.00931712962962963</v>
      </c>
      <c r="G262" s="75" t="n">
        <v>0.01594907407407407</v>
      </c>
      <c r="H262" s="75" t="n">
        <v>0.004675925925925926</v>
      </c>
      <c r="I262" s="75" t="n">
        <v>0.008819444444444444</v>
      </c>
      <c r="J262" s="75" t="n">
        <v>0.02266203703703704</v>
      </c>
      <c r="K262" s="75" t="n">
        <v>0.01465277777777778</v>
      </c>
      <c r="L262" s="75" t="n">
        <v>0.020625</v>
      </c>
      <c r="M262" s="75" t="n">
        <v>0.01533564814814815</v>
      </c>
      <c r="N262" s="75" t="n">
        <v>0.01311342592592593</v>
      </c>
      <c r="O262" s="75" t="n">
        <v>0.009641203703703704</v>
      </c>
      <c r="P262" s="75" t="n">
        <v>0.01986111111111111</v>
      </c>
    </row>
    <row r="263" ht="15.75" customHeight="1" s="45">
      <c r="A263" s="76" t="n">
        <v>46073</v>
      </c>
      <c r="B263" s="77" t="inlineStr">
        <is>
          <t>Antes-Projeto</t>
        </is>
      </c>
      <c r="C263" s="78" t="inlineStr">
        <is>
          <t>Tempo Médio — 🟢 Verde   (hh:mm)</t>
        </is>
      </c>
      <c r="D263" s="79" t="n">
        <v>0.09034722222222222</v>
      </c>
      <c r="E263" s="79" t="n">
        <v>0.1973842592592593</v>
      </c>
      <c r="F263" s="79" t="n">
        <v>0.1791319444444444</v>
      </c>
      <c r="G263" s="79" t="n">
        <v>0.1613310185185185</v>
      </c>
      <c r="H263" s="79" t="n">
        <v>0.08131944444444444</v>
      </c>
      <c r="I263" s="79" t="n">
        <v>0.1495138888888889</v>
      </c>
      <c r="J263" s="79" t="n">
        <v>0.7509259259259259</v>
      </c>
      <c r="K263" s="79" t="n">
        <v>0.07061342592592593</v>
      </c>
      <c r="L263" s="79" t="n">
        <v>0.1922453703703704</v>
      </c>
      <c r="M263" s="79" t="n">
        <v>0.0725925925925926</v>
      </c>
      <c r="N263" s="79" t="n">
        <v>0.09631944444444444</v>
      </c>
      <c r="O263" s="79" t="n">
        <v>0.1205092592592593</v>
      </c>
      <c r="P263" s="79" t="n">
        <v>0.128912037037037</v>
      </c>
    </row>
    <row r="264" ht="15.75" customHeight="1" s="45">
      <c r="A264" s="57" t="n">
        <v>46074</v>
      </c>
      <c r="B264" s="58" t="inlineStr">
        <is>
          <t>Antes-Projeto</t>
        </is>
      </c>
      <c r="C264" s="59" t="inlineStr">
        <is>
          <t>Acolhim. + Atend. Urgência + Atend. UPA</t>
        </is>
      </c>
      <c r="D264" s="60">
        <f>SUM(D265:D267)</f>
        <v/>
      </c>
      <c r="E264" s="60">
        <f>SUM(E265:E267)</f>
        <v/>
      </c>
      <c r="F264" s="60">
        <f>SUM(F265:F267)</f>
        <v/>
      </c>
      <c r="G264" s="60">
        <f>SUM(G265:G267)</f>
        <v/>
      </c>
      <c r="H264" s="60">
        <f>SUM(H265:H267)</f>
        <v/>
      </c>
      <c r="I264" s="60">
        <f>SUM(I265:I267)</f>
        <v/>
      </c>
      <c r="J264" s="60">
        <f>SUM(J265:J267)</f>
        <v/>
      </c>
      <c r="K264" s="60">
        <f>SUM(K265:K267)</f>
        <v/>
      </c>
      <c r="L264" s="60">
        <f>SUM(L265:L267)</f>
        <v/>
      </c>
      <c r="M264" s="60">
        <f>SUM(M265:M267)</f>
        <v/>
      </c>
      <c r="N264" s="60">
        <f>SUM(N265:N267)</f>
        <v/>
      </c>
      <c r="O264" s="60">
        <f>SUM(O265:O267)</f>
        <v/>
      </c>
      <c r="P264" s="60">
        <f>SUM(P265:P267)</f>
        <v/>
      </c>
    </row>
    <row r="265" ht="15.75" customHeight="1" s="45">
      <c r="A265" s="61" t="n">
        <v>46074</v>
      </c>
      <c r="B265" s="62" t="inlineStr">
        <is>
          <t>Antes-Projeto</t>
        </is>
      </c>
      <c r="C265" s="63" t="inlineStr">
        <is>
          <t>Acolhimento c/ Classif. de Risco</t>
        </is>
      </c>
      <c r="D265" s="64" t="n">
        <v>217</v>
      </c>
      <c r="E265" s="64" t="n">
        <v>126</v>
      </c>
      <c r="F265" s="64" t="n">
        <v>127</v>
      </c>
      <c r="G265" s="64" t="n">
        <v>113</v>
      </c>
      <c r="H265" s="64" t="n">
        <v>110</v>
      </c>
      <c r="I265" s="64" t="n">
        <v>191</v>
      </c>
      <c r="J265" s="64" t="n">
        <v>49</v>
      </c>
      <c r="K265" s="64" t="n">
        <v>205</v>
      </c>
      <c r="L265" s="64" t="n">
        <v>115</v>
      </c>
      <c r="M265" s="64" t="n">
        <v>189</v>
      </c>
      <c r="N265" s="64" t="n">
        <v>197</v>
      </c>
      <c r="O265" s="64" t="n">
        <v>202</v>
      </c>
      <c r="P265" s="64" t="n">
        <v>203</v>
      </c>
    </row>
    <row r="266" ht="15.75" customHeight="1" s="45">
      <c r="A266" s="61" t="n">
        <v>46074</v>
      </c>
      <c r="B266" s="62" t="inlineStr">
        <is>
          <t>Antes-Projeto</t>
        </is>
      </c>
      <c r="C266" s="65" t="inlineStr">
        <is>
          <t>Atend. Urgência Obs. ≤ 24h</t>
        </is>
      </c>
      <c r="D266" s="66" t="n">
        <v>31</v>
      </c>
      <c r="E266" s="66" t="n">
        <v>48</v>
      </c>
      <c r="F266" s="66" t="n">
        <v>29</v>
      </c>
      <c r="G266" s="66" t="n">
        <v>13</v>
      </c>
      <c r="H266" s="66" t="n">
        <v>37</v>
      </c>
      <c r="I266" s="66" t="n">
        <v>20</v>
      </c>
      <c r="J266" s="66" t="n">
        <v>7</v>
      </c>
      <c r="K266" s="66" t="n">
        <v>54</v>
      </c>
      <c r="L266" s="66" t="n">
        <v>39</v>
      </c>
      <c r="M266" s="66" t="n">
        <v>32</v>
      </c>
      <c r="N266" s="66" t="n">
        <v>28</v>
      </c>
      <c r="O266" s="66" t="n">
        <v>15</v>
      </c>
      <c r="P266" s="66" t="n">
        <v>18</v>
      </c>
    </row>
    <row r="267" ht="15.75" customHeight="1" s="45">
      <c r="A267" s="61" t="n">
        <v>46074</v>
      </c>
      <c r="B267" s="62" t="inlineStr">
        <is>
          <t>Antes-Projeto</t>
        </is>
      </c>
      <c r="C267" s="63" t="inlineStr">
        <is>
          <t>Atend. Médico em UPA</t>
        </is>
      </c>
      <c r="D267" s="64" t="n">
        <v>111</v>
      </c>
      <c r="E267" s="64" t="n">
        <v>47</v>
      </c>
      <c r="F267" s="64" t="n">
        <v>94</v>
      </c>
      <c r="G267" s="64" t="n">
        <v>79</v>
      </c>
      <c r="H267" s="64" t="n">
        <v>76</v>
      </c>
      <c r="I267" s="64" t="n">
        <v>118</v>
      </c>
      <c r="J267" s="64" t="n">
        <v>4</v>
      </c>
      <c r="K267" s="64" t="n">
        <v>123</v>
      </c>
      <c r="L267" s="64" t="n">
        <v>80</v>
      </c>
      <c r="M267" s="64" t="n">
        <v>137</v>
      </c>
      <c r="N267" s="64" t="n">
        <v>191</v>
      </c>
      <c r="O267" s="64" t="n">
        <v>132</v>
      </c>
      <c r="P267" s="64" t="n">
        <v>162</v>
      </c>
    </row>
    <row r="268" ht="15.75" customHeight="1" s="45">
      <c r="A268" s="61" t="n">
        <v>46074</v>
      </c>
      <c r="B268" s="62" t="inlineStr">
        <is>
          <t>Antes-Projeto</t>
        </is>
      </c>
      <c r="C268" s="65" t="inlineStr">
        <is>
          <t>Exames Laboratoriais</t>
        </is>
      </c>
      <c r="D268" s="66" t="n">
        <v>507</v>
      </c>
      <c r="E268" s="66" t="n">
        <v>444</v>
      </c>
      <c r="F268" s="66" t="n">
        <v>442</v>
      </c>
      <c r="G268" s="66" t="n">
        <v>308</v>
      </c>
      <c r="H268" s="66" t="n">
        <v>287</v>
      </c>
      <c r="I268" s="66" t="n">
        <v>414</v>
      </c>
      <c r="J268" s="66" t="n">
        <v>125</v>
      </c>
      <c r="K268" s="66" t="n">
        <v>476</v>
      </c>
      <c r="L268" s="66" t="n">
        <v>479</v>
      </c>
      <c r="M268" s="66" t="n">
        <v>507</v>
      </c>
      <c r="N268" s="66" t="n">
        <v>330</v>
      </c>
      <c r="O268" s="66" t="n">
        <v>415</v>
      </c>
      <c r="P268" s="66" t="n">
        <v>425</v>
      </c>
    </row>
    <row r="269" ht="15.75" customHeight="1" s="45">
      <c r="A269" s="61" t="n">
        <v>46074</v>
      </c>
      <c r="B269" s="62" t="inlineStr">
        <is>
          <t>Antes-Projeto</t>
        </is>
      </c>
      <c r="C269" s="63" t="inlineStr">
        <is>
          <t>Radiografias</t>
        </is>
      </c>
      <c r="D269" s="64" t="n">
        <v>19</v>
      </c>
      <c r="E269" s="67" t="n">
        <v>0</v>
      </c>
      <c r="F269" s="64" t="n">
        <v>15</v>
      </c>
      <c r="G269" s="64" t="n">
        <v>26</v>
      </c>
      <c r="H269" s="64" t="n">
        <v>14</v>
      </c>
      <c r="I269" s="64" t="n">
        <v>25</v>
      </c>
      <c r="J269" s="67" t="n">
        <v>0</v>
      </c>
      <c r="K269" s="64" t="n">
        <v>23</v>
      </c>
      <c r="L269" s="64" t="n">
        <v>25</v>
      </c>
      <c r="M269" s="64" t="n">
        <v>20</v>
      </c>
      <c r="N269" s="64" t="n">
        <v>24</v>
      </c>
      <c r="O269" s="64" t="n">
        <v>35</v>
      </c>
      <c r="P269" s="64" t="n">
        <v>40</v>
      </c>
    </row>
    <row r="270" ht="15.75" customHeight="1" s="45">
      <c r="A270" s="61" t="n">
        <v>46074</v>
      </c>
      <c r="B270" s="62" t="inlineStr">
        <is>
          <t>Antes-Projeto</t>
        </is>
      </c>
      <c r="C270" s="65" t="inlineStr">
        <is>
          <t>Eletrocardiogramas</t>
        </is>
      </c>
      <c r="D270" s="66" t="n">
        <v>11</v>
      </c>
      <c r="E270" s="66" t="n">
        <v>8</v>
      </c>
      <c r="F270" s="66" t="n">
        <v>17</v>
      </c>
      <c r="G270" s="66" t="n">
        <v>18</v>
      </c>
      <c r="H270" s="66" t="n">
        <v>8</v>
      </c>
      <c r="I270" s="66" t="n">
        <v>7</v>
      </c>
      <c r="J270" s="66" t="n">
        <v>7</v>
      </c>
      <c r="K270" s="66" t="n">
        <v>10</v>
      </c>
      <c r="L270" s="66" t="n">
        <v>9</v>
      </c>
      <c r="M270" s="66" t="n">
        <v>12</v>
      </c>
      <c r="N270" s="66" t="n">
        <v>11</v>
      </c>
      <c r="O270" s="66" t="n">
        <v>5</v>
      </c>
      <c r="P270" s="66" t="n">
        <v>16</v>
      </c>
    </row>
    <row r="271" ht="15.75" customHeight="1" s="45">
      <c r="A271" s="61" t="n">
        <v>46074</v>
      </c>
      <c r="B271" s="62" t="inlineStr">
        <is>
          <t>Antes-Projeto</t>
        </is>
      </c>
      <c r="C271" s="68" t="inlineStr">
        <is>
          <t>GAEs Abertas</t>
        </is>
      </c>
      <c r="D271" s="69" t="n">
        <v>230</v>
      </c>
      <c r="E271" s="69" t="n">
        <v>140</v>
      </c>
      <c r="F271" s="69" t="n">
        <v>138</v>
      </c>
      <c r="G271" s="69" t="n">
        <v>128</v>
      </c>
      <c r="H271" s="69" t="n">
        <v>111</v>
      </c>
      <c r="I271" s="69" t="n">
        <v>204</v>
      </c>
      <c r="J271" s="69" t="n">
        <v>52</v>
      </c>
      <c r="K271" s="69" t="n">
        <v>221</v>
      </c>
      <c r="L271" s="69" t="n">
        <v>123</v>
      </c>
      <c r="M271" s="69" t="n">
        <v>215</v>
      </c>
      <c r="N271" s="69" t="n">
        <v>195</v>
      </c>
      <c r="O271" s="69" t="n">
        <v>207</v>
      </c>
      <c r="P271" s="69" t="n">
        <v>211</v>
      </c>
    </row>
    <row r="272" ht="15.75" customHeight="1" s="45">
      <c r="A272" s="61" t="n">
        <v>46074</v>
      </c>
      <c r="B272" s="62" t="inlineStr">
        <is>
          <t>Antes-Projeto</t>
        </is>
      </c>
      <c r="C272" s="68" t="inlineStr">
        <is>
          <t>GAEs Classificadas</t>
        </is>
      </c>
      <c r="D272" s="69" t="n">
        <v>218</v>
      </c>
      <c r="E272" s="69" t="n">
        <v>125</v>
      </c>
      <c r="F272" s="69" t="n">
        <v>129</v>
      </c>
      <c r="G272" s="69" t="n">
        <v>111</v>
      </c>
      <c r="H272" s="69" t="n">
        <v>111</v>
      </c>
      <c r="I272" s="69" t="n">
        <v>191</v>
      </c>
      <c r="J272" s="69" t="n">
        <v>48</v>
      </c>
      <c r="K272" s="69" t="n">
        <v>207</v>
      </c>
      <c r="L272" s="69" t="n">
        <v>117</v>
      </c>
      <c r="M272" s="69" t="n">
        <v>192</v>
      </c>
      <c r="N272" s="69" t="n">
        <v>177</v>
      </c>
      <c r="O272" s="69" t="n">
        <v>202</v>
      </c>
      <c r="P272" s="69" t="n">
        <v>202</v>
      </c>
    </row>
    <row r="273" ht="15.75" customHeight="1" s="45">
      <c r="A273" s="61" t="n">
        <v>46074</v>
      </c>
      <c r="B273" s="62" t="inlineStr">
        <is>
          <t>Antes-Projeto</t>
        </is>
      </c>
      <c r="C273" s="70" t="inlineStr">
        <is>
          <t>Percentual de GAEs abertas classificadas</t>
        </is>
      </c>
      <c r="D273" s="71">
        <f>IFERROR(D272/D271,"-")</f>
        <v/>
      </c>
      <c r="E273" s="71">
        <f>IFERROR(E272/E271,"-")</f>
        <v/>
      </c>
      <c r="F273" s="71">
        <f>IFERROR(F272/F271,"-")</f>
        <v/>
      </c>
      <c r="G273" s="71">
        <f>IFERROR(G272/G271,"-")</f>
        <v/>
      </c>
      <c r="H273" s="71">
        <f>IFERROR(H272/H271,"-")</f>
        <v/>
      </c>
      <c r="I273" s="71">
        <f>IFERROR(I272/I271,"-")</f>
        <v/>
      </c>
      <c r="J273" s="71">
        <f>IFERROR(J272/J271,"-")</f>
        <v/>
      </c>
      <c r="K273" s="71">
        <f>IFERROR(K272/K271,"-")</f>
        <v/>
      </c>
      <c r="L273" s="71">
        <f>IFERROR(L272/L271,"-")</f>
        <v/>
      </c>
      <c r="M273" s="71">
        <f>IFERROR(M272/M271,"-")</f>
        <v/>
      </c>
      <c r="N273" s="71">
        <f>IFERROR(N272/N271,"-")</f>
        <v/>
      </c>
      <c r="O273" s="71">
        <f>IFERROR(O272/O271,"-")</f>
        <v/>
      </c>
      <c r="P273" s="71">
        <f>IFERROR(P272/P271,"-")</f>
        <v/>
      </c>
    </row>
    <row r="274" ht="15.75" customHeight="1" s="45">
      <c r="A274" s="61" t="n">
        <v>46074</v>
      </c>
      <c r="B274" s="62" t="inlineStr">
        <is>
          <t>Antes-Projeto</t>
        </is>
      </c>
      <c r="C274" s="72" t="inlineStr">
        <is>
          <t>Tempo Médio — 🟡 Amarelo (hh:mm)</t>
        </is>
      </c>
      <c r="D274" s="73" t="n">
        <v>0.1244791666666667</v>
      </c>
      <c r="E274" s="73" t="n">
        <v>0.04542824074074074</v>
      </c>
      <c r="F274" s="73" t="n">
        <v>0.08543981481481482</v>
      </c>
      <c r="G274" s="73" t="n">
        <v>0.06888888888888889</v>
      </c>
      <c r="H274" s="73" t="n">
        <v>0.03310185185185185</v>
      </c>
      <c r="I274" s="73" t="n">
        <v>0.08403935185185185</v>
      </c>
      <c r="J274" s="73" t="n">
        <v>0.1974652777777778</v>
      </c>
      <c r="K274" s="73" t="n">
        <v>0.07773148148148148</v>
      </c>
      <c r="L274" s="73" t="n">
        <v>0.1290625</v>
      </c>
      <c r="M274" s="73" t="n">
        <v>0.01534722222222222</v>
      </c>
      <c r="N274" s="73" t="n">
        <v>0.07804398148148148</v>
      </c>
      <c r="O274" s="73" t="n">
        <v>0.06884259259259259</v>
      </c>
      <c r="P274" s="73" t="n">
        <v>0.06789351851851852</v>
      </c>
    </row>
    <row r="275" ht="15.75" customHeight="1" s="45">
      <c r="A275" s="61" t="n">
        <v>46074</v>
      </c>
      <c r="B275" s="62" t="inlineStr">
        <is>
          <t>Antes-Projeto</t>
        </is>
      </c>
      <c r="C275" s="74" t="inlineStr">
        <is>
          <t>Tempo Médio — 🟠 Laranja (hh:mm)</t>
        </is>
      </c>
      <c r="D275" s="75" t="n">
        <v>0.02023148148148148</v>
      </c>
      <c r="E275" s="75" t="n">
        <v>0.04651620370370371</v>
      </c>
      <c r="F275" s="75" t="n">
        <v>0.008819444444444444</v>
      </c>
      <c r="G275" s="75" t="n">
        <v>0.006875</v>
      </c>
      <c r="H275" s="75" t="n">
        <v>0.006087962962962963</v>
      </c>
      <c r="I275" s="75" t="n">
        <v>0.007152777777777778</v>
      </c>
      <c r="J275" s="75" t="n">
        <v>0.02</v>
      </c>
      <c r="K275" s="75" t="n">
        <v>0.02846064814814815</v>
      </c>
      <c r="L275" s="75" t="n">
        <v>0.01429398148148148</v>
      </c>
      <c r="M275" s="75" t="n">
        <v>0.008703703703703703</v>
      </c>
      <c r="N275" s="75" t="n">
        <v>0.01510416666666667</v>
      </c>
      <c r="O275" s="75" t="n">
        <v>0.01270833333333333</v>
      </c>
      <c r="P275" s="75" t="n">
        <v>0.004236111111111112</v>
      </c>
    </row>
    <row r="276" ht="15.75" customHeight="1" s="45">
      <c r="A276" s="76" t="n">
        <v>46074</v>
      </c>
      <c r="B276" s="77" t="inlineStr">
        <is>
          <t>Antes-Projeto</t>
        </is>
      </c>
      <c r="C276" s="78" t="inlineStr">
        <is>
          <t>Tempo Médio — 🟢 Verde   (hh:mm)</t>
        </is>
      </c>
      <c r="D276" s="79" t="n">
        <v>0.209525462962963</v>
      </c>
      <c r="E276" s="79" t="n">
        <v>0.04549768518518518</v>
      </c>
      <c r="F276" s="79" t="n">
        <v>0.1402314814814815</v>
      </c>
      <c r="G276" s="79" t="n">
        <v>0.08229166666666667</v>
      </c>
      <c r="H276" s="79" t="n">
        <v>0.1499421296296296</v>
      </c>
      <c r="I276" s="79" t="n">
        <v>0.2118055555555556</v>
      </c>
      <c r="J276" s="79" t="n">
        <v>0.3232523148148148</v>
      </c>
      <c r="K276" s="79" t="n">
        <v>0.1175</v>
      </c>
      <c r="L276" s="79" t="n">
        <v>0.191412037037037</v>
      </c>
      <c r="M276" s="79" t="n">
        <v>0.09121527777777778</v>
      </c>
      <c r="N276" s="79" t="n">
        <v>0.1452777777777778</v>
      </c>
      <c r="O276" s="79" t="n">
        <v>0.2454050925925926</v>
      </c>
      <c r="P276" s="79" t="n">
        <v>0.1250347222222222</v>
      </c>
    </row>
    <row r="277" ht="15.75" customHeight="1" s="45">
      <c r="A277" s="57" t="n">
        <v>46075</v>
      </c>
      <c r="B277" s="58" t="inlineStr">
        <is>
          <t>Antes-Projeto</t>
        </is>
      </c>
      <c r="C277" s="59" t="inlineStr">
        <is>
          <t>Acolhim. + Atend. Urgência + Atend. UPA</t>
        </is>
      </c>
      <c r="D277" s="60">
        <f>SUM(D278:D280)</f>
        <v/>
      </c>
      <c r="E277" s="60">
        <f>SUM(E278:E280)</f>
        <v/>
      </c>
      <c r="F277" s="60">
        <f>SUM(F278:F280)</f>
        <v/>
      </c>
      <c r="G277" s="60">
        <f>SUM(G278:G280)</f>
        <v/>
      </c>
      <c r="H277" s="60">
        <f>SUM(H278:H280)</f>
        <v/>
      </c>
      <c r="I277" s="60">
        <f>SUM(I278:I280)</f>
        <v/>
      </c>
      <c r="J277" s="60">
        <f>SUM(J278:J280)</f>
        <v/>
      </c>
      <c r="K277" s="60">
        <f>SUM(K278:K280)</f>
        <v/>
      </c>
      <c r="L277" s="60">
        <f>SUM(L278:L280)</f>
        <v/>
      </c>
      <c r="M277" s="60">
        <f>SUM(M278:M280)</f>
        <v/>
      </c>
      <c r="N277" s="60">
        <f>SUM(N278:N280)</f>
        <v/>
      </c>
      <c r="O277" s="60">
        <f>SUM(O278:O280)</f>
        <v/>
      </c>
      <c r="P277" s="60">
        <f>SUM(P278:P280)</f>
        <v/>
      </c>
    </row>
    <row r="278" ht="15.75" customHeight="1" s="45">
      <c r="A278" s="61" t="n">
        <v>46075</v>
      </c>
      <c r="B278" s="62" t="inlineStr">
        <is>
          <t>Antes-Projeto</t>
        </is>
      </c>
      <c r="C278" s="65" t="inlineStr">
        <is>
          <t>Acolhimento c/ Classif. de Risco</t>
        </is>
      </c>
      <c r="D278" s="66" t="n">
        <v>166</v>
      </c>
      <c r="E278" s="66" t="n">
        <v>111</v>
      </c>
      <c r="F278" s="66" t="n">
        <v>132</v>
      </c>
      <c r="G278" s="66" t="n">
        <v>88</v>
      </c>
      <c r="H278" s="66" t="n">
        <v>99</v>
      </c>
      <c r="I278" s="66" t="n">
        <v>149</v>
      </c>
      <c r="J278" s="66" t="n">
        <v>85</v>
      </c>
      <c r="K278" s="66" t="n">
        <v>193</v>
      </c>
      <c r="L278" s="66" t="n">
        <v>130</v>
      </c>
      <c r="M278" s="66" t="n">
        <v>187</v>
      </c>
      <c r="N278" s="66" t="n">
        <v>180</v>
      </c>
      <c r="O278" s="66" t="n">
        <v>203</v>
      </c>
      <c r="P278" s="66" t="n">
        <v>212</v>
      </c>
    </row>
    <row r="279" ht="15.75" customHeight="1" s="45">
      <c r="A279" s="61" t="n">
        <v>46075</v>
      </c>
      <c r="B279" s="62" t="inlineStr">
        <is>
          <t>Antes-Projeto</t>
        </is>
      </c>
      <c r="C279" s="63" t="inlineStr">
        <is>
          <t>Atend. Urgência Obs. ≤ 24h</t>
        </is>
      </c>
      <c r="D279" s="64" t="n">
        <v>21</v>
      </c>
      <c r="E279" s="64" t="n">
        <v>16</v>
      </c>
      <c r="F279" s="64" t="n">
        <v>26</v>
      </c>
      <c r="G279" s="64" t="n">
        <v>30</v>
      </c>
      <c r="H279" s="64" t="n">
        <v>20</v>
      </c>
      <c r="I279" s="64" t="n">
        <v>20</v>
      </c>
      <c r="J279" s="64" t="n">
        <v>14</v>
      </c>
      <c r="K279" s="64" t="n">
        <v>39</v>
      </c>
      <c r="L279" s="64" t="n">
        <v>36</v>
      </c>
      <c r="M279" s="64" t="n">
        <v>49</v>
      </c>
      <c r="N279" s="64" t="n">
        <v>45</v>
      </c>
      <c r="O279" s="64" t="n">
        <v>3</v>
      </c>
      <c r="P279" s="64" t="n">
        <v>16</v>
      </c>
    </row>
    <row r="280" ht="15.75" customHeight="1" s="45">
      <c r="A280" s="61" t="n">
        <v>46075</v>
      </c>
      <c r="B280" s="62" t="inlineStr">
        <is>
          <t>Antes-Projeto</t>
        </is>
      </c>
      <c r="C280" s="65" t="inlineStr">
        <is>
          <t>Atend. Médico em UPA</t>
        </is>
      </c>
      <c r="D280" s="66" t="n">
        <v>88</v>
      </c>
      <c r="E280" s="66" t="n">
        <v>85</v>
      </c>
      <c r="F280" s="66" t="n">
        <v>80</v>
      </c>
      <c r="G280" s="66" t="n">
        <v>40</v>
      </c>
      <c r="H280" s="66" t="n">
        <v>62</v>
      </c>
      <c r="I280" s="66" t="n">
        <v>94</v>
      </c>
      <c r="J280" s="66" t="n">
        <v>84</v>
      </c>
      <c r="K280" s="66" t="n">
        <v>100</v>
      </c>
      <c r="L280" s="66" t="n">
        <v>71</v>
      </c>
      <c r="M280" s="66" t="n">
        <v>124</v>
      </c>
      <c r="N280" s="66" t="n">
        <v>174</v>
      </c>
      <c r="O280" s="66" t="n">
        <v>141</v>
      </c>
      <c r="P280" s="66" t="n">
        <v>120</v>
      </c>
    </row>
    <row r="281" ht="15.75" customHeight="1" s="45">
      <c r="A281" s="61" t="n">
        <v>46075</v>
      </c>
      <c r="B281" s="62" t="inlineStr">
        <is>
          <t>Antes-Projeto</t>
        </is>
      </c>
      <c r="C281" s="63" t="inlineStr">
        <is>
          <t>Exames Laboratoriais</t>
        </is>
      </c>
      <c r="D281" s="64" t="n">
        <v>529</v>
      </c>
      <c r="E281" s="64" t="n">
        <v>214</v>
      </c>
      <c r="F281" s="64" t="n">
        <v>256</v>
      </c>
      <c r="G281" s="64" t="n">
        <v>196</v>
      </c>
      <c r="H281" s="64" t="n">
        <v>381</v>
      </c>
      <c r="I281" s="64" t="n">
        <v>363</v>
      </c>
      <c r="J281" s="64" t="n">
        <v>219</v>
      </c>
      <c r="K281" s="64" t="n">
        <v>613</v>
      </c>
      <c r="L281" s="64" t="n">
        <v>638</v>
      </c>
      <c r="M281" s="64" t="n">
        <v>620</v>
      </c>
      <c r="N281" s="64" t="n">
        <v>550</v>
      </c>
      <c r="O281" s="64" t="n">
        <v>608</v>
      </c>
      <c r="P281" s="64" t="n">
        <v>379</v>
      </c>
    </row>
    <row r="282" ht="15.75" customHeight="1" s="45">
      <c r="A282" s="61" t="n">
        <v>46075</v>
      </c>
      <c r="B282" s="62" t="inlineStr">
        <is>
          <t>Antes-Projeto</t>
        </is>
      </c>
      <c r="C282" s="65" t="inlineStr">
        <is>
          <t>Radiografias</t>
        </is>
      </c>
      <c r="D282" s="66" t="n">
        <v>22</v>
      </c>
      <c r="E282" s="67" t="n">
        <v>0</v>
      </c>
      <c r="F282" s="66" t="n">
        <v>19</v>
      </c>
      <c r="G282" s="66" t="n">
        <v>11</v>
      </c>
      <c r="H282" s="66" t="n">
        <v>12</v>
      </c>
      <c r="I282" s="66" t="n">
        <v>17</v>
      </c>
      <c r="J282" s="66" t="n">
        <v>12</v>
      </c>
      <c r="K282" s="66" t="n">
        <v>32</v>
      </c>
      <c r="L282" s="66" t="n">
        <v>18</v>
      </c>
      <c r="M282" s="66" t="n">
        <v>43</v>
      </c>
      <c r="N282" s="66" t="n">
        <v>39</v>
      </c>
      <c r="O282" s="66" t="n">
        <v>43</v>
      </c>
      <c r="P282" s="66" t="n">
        <v>47</v>
      </c>
    </row>
    <row r="283" ht="15.75" customHeight="1" s="45">
      <c r="A283" s="61" t="n">
        <v>46075</v>
      </c>
      <c r="B283" s="62" t="inlineStr">
        <is>
          <t>Antes-Projeto</t>
        </is>
      </c>
      <c r="C283" s="63" t="inlineStr">
        <is>
          <t>Eletrocardiogramas</t>
        </is>
      </c>
      <c r="D283" s="64" t="n">
        <v>13</v>
      </c>
      <c r="E283" s="64" t="n">
        <v>7</v>
      </c>
      <c r="F283" s="64" t="n">
        <v>15</v>
      </c>
      <c r="G283" s="64" t="n">
        <v>5</v>
      </c>
      <c r="H283" s="64" t="n">
        <v>8</v>
      </c>
      <c r="I283" s="64" t="n">
        <v>5</v>
      </c>
      <c r="J283" s="64" t="n">
        <v>3</v>
      </c>
      <c r="K283" s="64" t="n">
        <v>12</v>
      </c>
      <c r="L283" s="64" t="n">
        <v>12</v>
      </c>
      <c r="M283" s="64" t="n">
        <v>16</v>
      </c>
      <c r="N283" s="64" t="n">
        <v>13</v>
      </c>
      <c r="O283" s="64" t="n">
        <v>23</v>
      </c>
      <c r="P283" s="64" t="n">
        <v>18</v>
      </c>
    </row>
    <row r="284" ht="15.75" customHeight="1" s="45">
      <c r="A284" s="61" t="n">
        <v>46075</v>
      </c>
      <c r="B284" s="62" t="inlineStr">
        <is>
          <t>Antes-Projeto</t>
        </is>
      </c>
      <c r="C284" s="68" t="inlineStr">
        <is>
          <t>GAEs Abertas</t>
        </is>
      </c>
      <c r="D284" s="69" t="n">
        <v>181</v>
      </c>
      <c r="E284" s="69" t="n">
        <v>114</v>
      </c>
      <c r="F284" s="69" t="n">
        <v>133</v>
      </c>
      <c r="G284" s="69" t="n">
        <v>94</v>
      </c>
      <c r="H284" s="69" t="n">
        <v>105</v>
      </c>
      <c r="I284" s="69" t="n">
        <v>158</v>
      </c>
      <c r="J284" s="69" t="n">
        <v>88</v>
      </c>
      <c r="K284" s="69" t="n">
        <v>221</v>
      </c>
      <c r="L284" s="69" t="n">
        <v>144</v>
      </c>
      <c r="M284" s="69" t="n">
        <v>192</v>
      </c>
      <c r="N284" s="69" t="n">
        <v>179</v>
      </c>
      <c r="O284" s="69" t="n">
        <v>213</v>
      </c>
      <c r="P284" s="69" t="n">
        <v>220</v>
      </c>
    </row>
    <row r="285" ht="15.75" customHeight="1" s="45">
      <c r="A285" s="61" t="n">
        <v>46075</v>
      </c>
      <c r="B285" s="62" t="inlineStr">
        <is>
          <t>Antes-Projeto</t>
        </is>
      </c>
      <c r="C285" s="68" t="inlineStr">
        <is>
          <t>GAEs Classificadas</t>
        </is>
      </c>
      <c r="D285" s="69" t="n">
        <v>167</v>
      </c>
      <c r="E285" s="69" t="n">
        <v>111</v>
      </c>
      <c r="F285" s="69" t="n">
        <v>130</v>
      </c>
      <c r="G285" s="69" t="n">
        <v>85</v>
      </c>
      <c r="H285" s="69" t="n">
        <v>101</v>
      </c>
      <c r="I285" s="69" t="n">
        <v>147</v>
      </c>
      <c r="J285" s="69" t="n">
        <v>85</v>
      </c>
      <c r="K285" s="69" t="n">
        <v>191</v>
      </c>
      <c r="L285" s="69" t="n">
        <v>128</v>
      </c>
      <c r="M285" s="69" t="n">
        <v>184</v>
      </c>
      <c r="N285" s="69" t="n">
        <v>171</v>
      </c>
      <c r="O285" s="69" t="n">
        <v>205</v>
      </c>
      <c r="P285" s="69" t="n">
        <v>211</v>
      </c>
    </row>
    <row r="286" ht="15.75" customHeight="1" s="45">
      <c r="A286" s="61" t="n">
        <v>46075</v>
      </c>
      <c r="B286" s="62" t="inlineStr">
        <is>
          <t>Antes-Projeto</t>
        </is>
      </c>
      <c r="C286" s="70" t="inlineStr">
        <is>
          <t>Percentual de GAEs abertas classificadas</t>
        </is>
      </c>
      <c r="D286" s="71">
        <f>IFERROR(D285/D284,"-")</f>
        <v/>
      </c>
      <c r="E286" s="71">
        <f>IFERROR(E285/E284,"-")</f>
        <v/>
      </c>
      <c r="F286" s="71">
        <f>IFERROR(F285/F284,"-")</f>
        <v/>
      </c>
      <c r="G286" s="71">
        <f>IFERROR(G285/G284,"-")</f>
        <v/>
      </c>
      <c r="H286" s="71">
        <f>IFERROR(H285/H284,"-")</f>
        <v/>
      </c>
      <c r="I286" s="71">
        <f>IFERROR(I285/I284,"-")</f>
        <v/>
      </c>
      <c r="J286" s="71">
        <f>IFERROR(J285/J284,"-")</f>
        <v/>
      </c>
      <c r="K286" s="71">
        <f>IFERROR(K285/K284,"-")</f>
        <v/>
      </c>
      <c r="L286" s="71">
        <f>IFERROR(L285/L284,"-")</f>
        <v/>
      </c>
      <c r="M286" s="71">
        <f>IFERROR(M285/M284,"-")</f>
        <v/>
      </c>
      <c r="N286" s="71">
        <f>IFERROR(N285/N284,"-")</f>
        <v/>
      </c>
      <c r="O286" s="71">
        <f>IFERROR(O285/O284,"-")</f>
        <v/>
      </c>
      <c r="P286" s="71">
        <f>IFERROR(P285/P284,"-")</f>
        <v/>
      </c>
    </row>
    <row r="287" ht="15.75" customHeight="1" s="45">
      <c r="A287" s="61" t="n">
        <v>46075</v>
      </c>
      <c r="B287" s="62" t="inlineStr">
        <is>
          <t>Antes-Projeto</t>
        </is>
      </c>
      <c r="C287" s="72" t="inlineStr">
        <is>
          <t>Tempo Médio — 🟡 Amarelo (hh:mm)</t>
        </is>
      </c>
      <c r="D287" s="73" t="n">
        <v>0.05865740740740741</v>
      </c>
      <c r="E287" s="73" t="n">
        <v>0.1032060185185185</v>
      </c>
      <c r="F287" s="73" t="n">
        <v>0.06846064814814815</v>
      </c>
      <c r="G287" s="73" t="n">
        <v>0.1066087962962963</v>
      </c>
      <c r="H287" s="73" t="n">
        <v>0.07089120370370371</v>
      </c>
      <c r="I287" s="73" t="n">
        <v>0.07556712962962962</v>
      </c>
      <c r="J287" s="73" t="n">
        <v>0.05021990740740741</v>
      </c>
      <c r="K287" s="73" t="n">
        <v>0.06921296296296296</v>
      </c>
      <c r="L287" s="73" t="n">
        <v>0.1818171296296296</v>
      </c>
      <c r="M287" s="73" t="n">
        <v>0.01747685185185185</v>
      </c>
      <c r="N287" s="73" t="n">
        <v>0.07969907407407407</v>
      </c>
      <c r="O287" s="73" t="n">
        <v>0.08112268518518519</v>
      </c>
      <c r="P287" s="73" t="n">
        <v>0.06535879629629629</v>
      </c>
    </row>
    <row r="288" ht="15.75" customHeight="1" s="45">
      <c r="A288" s="61" t="n">
        <v>46075</v>
      </c>
      <c r="B288" s="62" t="inlineStr">
        <is>
          <t>Antes-Projeto</t>
        </is>
      </c>
      <c r="C288" s="74" t="inlineStr">
        <is>
          <t>Tempo Médio — 🟠 Laranja (hh:mm)</t>
        </is>
      </c>
      <c r="D288" s="75" t="n">
        <v>0.0219212962962963</v>
      </c>
      <c r="E288" s="75" t="n">
        <v>0.01289351851851852</v>
      </c>
      <c r="F288" s="75" t="n">
        <v>0.009884259259259259</v>
      </c>
      <c r="G288" s="75" t="n">
        <v>0.007152777777777778</v>
      </c>
      <c r="H288" s="75" t="n">
        <v>0.006678240740740741</v>
      </c>
      <c r="I288" s="75" t="n">
        <v>0.01246527777777778</v>
      </c>
      <c r="J288" s="75" t="n">
        <v>0.02075231481481481</v>
      </c>
      <c r="K288" s="75" t="n">
        <v>0.02351851851851852</v>
      </c>
      <c r="L288" s="75" t="n">
        <v>0.02123842592592592</v>
      </c>
      <c r="M288" s="75" t="n">
        <v>0.02002314814814815</v>
      </c>
      <c r="N288" s="75" t="n">
        <v>0.01684027777777778</v>
      </c>
      <c r="O288" s="75" t="n">
        <v>0.01363425925925926</v>
      </c>
      <c r="P288" s="75" t="n">
        <v>0.01177083333333333</v>
      </c>
    </row>
    <row r="289" ht="15.75" customHeight="1" s="45">
      <c r="A289" s="76" t="n">
        <v>46075</v>
      </c>
      <c r="B289" s="77" t="inlineStr">
        <is>
          <t>Antes-Projeto</t>
        </is>
      </c>
      <c r="C289" s="78" t="inlineStr">
        <is>
          <t>Tempo Médio — 🟢 Verde   (hh:mm)</t>
        </is>
      </c>
      <c r="D289" s="79" t="n">
        <v>0.06085648148148148</v>
      </c>
      <c r="E289" s="79" t="n">
        <v>0.1656018518518519</v>
      </c>
      <c r="F289" s="79" t="n">
        <v>0.1358217592592593</v>
      </c>
      <c r="G289" s="79" t="n">
        <v>0.1356944444444445</v>
      </c>
      <c r="H289" s="79" t="n">
        <v>0.1359259259259259</v>
      </c>
      <c r="I289" s="79" t="n">
        <v>0.2032754629629629</v>
      </c>
      <c r="J289" s="79" t="n">
        <v>0.07363425925925926</v>
      </c>
      <c r="K289" s="79" t="n">
        <v>0.06594907407407408</v>
      </c>
      <c r="L289" s="79" t="n">
        <v>0.1587731481481481</v>
      </c>
      <c r="M289" s="79" t="n">
        <v>0.04215277777777778</v>
      </c>
      <c r="N289" s="79" t="n">
        <v>0.1145023148148148</v>
      </c>
      <c r="O289" s="79" t="n">
        <v>0.1535185185185185</v>
      </c>
      <c r="P289" s="79" t="n">
        <v>0.1059027777777778</v>
      </c>
    </row>
    <row r="290" ht="15.75" customHeight="1" s="45">
      <c r="A290" s="57" t="n">
        <v>46076</v>
      </c>
      <c r="B290" s="58" t="inlineStr">
        <is>
          <t>Antes-Projeto</t>
        </is>
      </c>
      <c r="C290" s="59" t="inlineStr">
        <is>
          <t>Acolhim. + Atend. Urgência + Atend. UPA</t>
        </is>
      </c>
      <c r="D290" s="60">
        <f>SUM(D291:D293)</f>
        <v/>
      </c>
      <c r="E290" s="60">
        <f>SUM(E291:E293)</f>
        <v/>
      </c>
      <c r="F290" s="60">
        <f>SUM(F291:F293)</f>
        <v/>
      </c>
      <c r="G290" s="60">
        <f>SUM(G291:G293)</f>
        <v/>
      </c>
      <c r="H290" s="60">
        <f>SUM(H291:H293)</f>
        <v/>
      </c>
      <c r="I290" s="60">
        <f>SUM(I291:I293)</f>
        <v/>
      </c>
      <c r="J290" s="60">
        <f>SUM(J291:J293)</f>
        <v/>
      </c>
      <c r="K290" s="60">
        <f>SUM(K291:K293)</f>
        <v/>
      </c>
      <c r="L290" s="60">
        <f>SUM(L291:L293)</f>
        <v/>
      </c>
      <c r="M290" s="60">
        <f>SUM(M291:M293)</f>
        <v/>
      </c>
      <c r="N290" s="60">
        <f>SUM(N291:N293)</f>
        <v/>
      </c>
      <c r="O290" s="60">
        <f>SUM(O291:O293)</f>
        <v/>
      </c>
      <c r="P290" s="60">
        <f>SUM(P291:P293)</f>
        <v/>
      </c>
    </row>
    <row r="291" ht="15.75" customHeight="1" s="45">
      <c r="A291" s="61" t="n">
        <v>46076</v>
      </c>
      <c r="B291" s="62" t="inlineStr">
        <is>
          <t>Antes-Projeto</t>
        </is>
      </c>
      <c r="C291" s="63" t="inlineStr">
        <is>
          <t>Acolhimento c/ Classif. de Risco</t>
        </is>
      </c>
      <c r="D291" s="64" t="n">
        <v>240</v>
      </c>
      <c r="E291" s="64" t="n">
        <v>148</v>
      </c>
      <c r="F291" s="64" t="n">
        <v>159</v>
      </c>
      <c r="G291" s="64" t="n">
        <v>121</v>
      </c>
      <c r="H291" s="64" t="n">
        <v>144</v>
      </c>
      <c r="I291" s="64" t="n">
        <v>203</v>
      </c>
      <c r="J291" s="64" t="n">
        <v>115</v>
      </c>
      <c r="K291" s="64" t="n">
        <v>243</v>
      </c>
      <c r="L291" s="64" t="n">
        <v>147</v>
      </c>
      <c r="M291" s="64" t="n">
        <v>220</v>
      </c>
      <c r="N291" s="64" t="n">
        <v>216</v>
      </c>
      <c r="O291" s="64" t="n">
        <v>259</v>
      </c>
      <c r="P291" s="64" t="n">
        <v>230</v>
      </c>
    </row>
    <row r="292" ht="15.75" customHeight="1" s="45">
      <c r="A292" s="61" t="n">
        <v>46076</v>
      </c>
      <c r="B292" s="62" t="inlineStr">
        <is>
          <t>Antes-Projeto</t>
        </is>
      </c>
      <c r="C292" s="65" t="inlineStr">
        <is>
          <t>Atend. Urgência Obs. ≤ 24h</t>
        </is>
      </c>
      <c r="D292" s="66" t="n">
        <v>34</v>
      </c>
      <c r="E292" s="66" t="n">
        <v>22</v>
      </c>
      <c r="F292" s="66" t="n">
        <v>25</v>
      </c>
      <c r="G292" s="66" t="n">
        <v>10</v>
      </c>
      <c r="H292" s="66" t="n">
        <v>15</v>
      </c>
      <c r="I292" s="66" t="n">
        <v>13</v>
      </c>
      <c r="J292" s="66" t="n">
        <v>26</v>
      </c>
      <c r="K292" s="66" t="n">
        <v>49</v>
      </c>
      <c r="L292" s="66" t="n">
        <v>51</v>
      </c>
      <c r="M292" s="66" t="n">
        <v>52</v>
      </c>
      <c r="N292" s="66" t="n">
        <v>47</v>
      </c>
      <c r="O292" s="66" t="n">
        <v>20</v>
      </c>
      <c r="P292" s="66" t="n">
        <v>14</v>
      </c>
    </row>
    <row r="293" ht="15.75" customHeight="1" s="45">
      <c r="A293" s="61" t="n">
        <v>46076</v>
      </c>
      <c r="B293" s="62" t="inlineStr">
        <is>
          <t>Antes-Projeto</t>
        </is>
      </c>
      <c r="C293" s="63" t="inlineStr">
        <is>
          <t>Atend. Médico em UPA</t>
        </is>
      </c>
      <c r="D293" s="64" t="n">
        <v>155</v>
      </c>
      <c r="E293" s="64" t="n">
        <v>82</v>
      </c>
      <c r="F293" s="64" t="n">
        <v>122</v>
      </c>
      <c r="G293" s="64" t="n">
        <v>66</v>
      </c>
      <c r="H293" s="64" t="n">
        <v>115</v>
      </c>
      <c r="I293" s="64" t="n">
        <v>144</v>
      </c>
      <c r="J293" s="64" t="n">
        <v>88</v>
      </c>
      <c r="K293" s="64" t="n">
        <v>166</v>
      </c>
      <c r="L293" s="64" t="n">
        <v>86</v>
      </c>
      <c r="M293" s="64" t="n">
        <v>120</v>
      </c>
      <c r="N293" s="64" t="n">
        <v>223</v>
      </c>
      <c r="O293" s="64" t="n">
        <v>127</v>
      </c>
      <c r="P293" s="64" t="n">
        <v>134</v>
      </c>
    </row>
    <row r="294" ht="15.75" customHeight="1" s="45">
      <c r="A294" s="61" t="n">
        <v>46076</v>
      </c>
      <c r="B294" s="62" t="inlineStr">
        <is>
          <t>Antes-Projeto</t>
        </is>
      </c>
      <c r="C294" s="65" t="inlineStr">
        <is>
          <t>Exames Laboratoriais</t>
        </is>
      </c>
      <c r="D294" s="66" t="n">
        <v>590</v>
      </c>
      <c r="E294" s="66" t="n">
        <v>502</v>
      </c>
      <c r="F294" s="66" t="n">
        <v>260</v>
      </c>
      <c r="G294" s="66" t="n">
        <v>231</v>
      </c>
      <c r="H294" s="66" t="n">
        <v>400</v>
      </c>
      <c r="I294" s="66" t="n">
        <v>454</v>
      </c>
      <c r="J294" s="66" t="n">
        <v>289</v>
      </c>
      <c r="K294" s="66" t="n">
        <v>741</v>
      </c>
      <c r="L294" s="66" t="n">
        <v>598</v>
      </c>
      <c r="M294" s="66" t="n">
        <v>488</v>
      </c>
      <c r="N294" s="66" t="n">
        <v>552</v>
      </c>
      <c r="O294" s="66" t="n">
        <v>546</v>
      </c>
      <c r="P294" s="66" t="n">
        <v>570</v>
      </c>
    </row>
    <row r="295" ht="15.75" customHeight="1" s="45">
      <c r="A295" s="61" t="n">
        <v>46076</v>
      </c>
      <c r="B295" s="62" t="inlineStr">
        <is>
          <t>Antes-Projeto</t>
        </is>
      </c>
      <c r="C295" s="63" t="inlineStr">
        <is>
          <t>Radiografias</t>
        </is>
      </c>
      <c r="D295" s="64" t="n">
        <v>29</v>
      </c>
      <c r="E295" s="67" t="n">
        <v>0</v>
      </c>
      <c r="F295" s="64" t="n">
        <v>20</v>
      </c>
      <c r="G295" s="64" t="n">
        <v>28</v>
      </c>
      <c r="H295" s="64" t="n">
        <v>26</v>
      </c>
      <c r="I295" s="64" t="n">
        <v>23</v>
      </c>
      <c r="J295" s="64" t="n">
        <v>14</v>
      </c>
      <c r="K295" s="64" t="n">
        <v>23</v>
      </c>
      <c r="L295" s="64" t="n">
        <v>23</v>
      </c>
      <c r="M295" s="64" t="n">
        <v>53</v>
      </c>
      <c r="N295" s="64" t="n">
        <v>21</v>
      </c>
      <c r="O295" s="64" t="n">
        <v>37</v>
      </c>
      <c r="P295" s="64" t="n">
        <v>50</v>
      </c>
    </row>
    <row r="296" ht="15.75" customHeight="1" s="45">
      <c r="A296" s="61" t="n">
        <v>46076</v>
      </c>
      <c r="B296" s="62" t="inlineStr">
        <is>
          <t>Antes-Projeto</t>
        </is>
      </c>
      <c r="C296" s="65" t="inlineStr">
        <is>
          <t>Eletrocardiogramas</t>
        </is>
      </c>
      <c r="D296" s="66" t="n">
        <v>16</v>
      </c>
      <c r="E296" s="66" t="n">
        <v>15</v>
      </c>
      <c r="F296" s="66" t="n">
        <v>20</v>
      </c>
      <c r="G296" s="66" t="n">
        <v>11</v>
      </c>
      <c r="H296" s="66" t="n">
        <v>9</v>
      </c>
      <c r="I296" s="66" t="n">
        <v>8</v>
      </c>
      <c r="J296" s="66" t="n">
        <v>6</v>
      </c>
      <c r="K296" s="66" t="n">
        <v>16</v>
      </c>
      <c r="L296" s="66" t="n">
        <v>13</v>
      </c>
      <c r="M296" s="66" t="n">
        <v>13</v>
      </c>
      <c r="N296" s="66" t="n">
        <v>15</v>
      </c>
      <c r="O296" s="66" t="n">
        <v>14</v>
      </c>
      <c r="P296" s="66" t="n">
        <v>22</v>
      </c>
    </row>
    <row r="297" ht="15.75" customHeight="1" s="45">
      <c r="A297" s="61" t="n">
        <v>46076</v>
      </c>
      <c r="B297" s="62" t="inlineStr">
        <is>
          <t>Antes-Projeto</t>
        </is>
      </c>
      <c r="C297" s="68" t="inlineStr">
        <is>
          <t>GAEs Abertas</t>
        </is>
      </c>
      <c r="D297" s="69" t="n">
        <v>244</v>
      </c>
      <c r="E297" s="69" t="n">
        <v>151</v>
      </c>
      <c r="F297" s="69" t="n">
        <v>166</v>
      </c>
      <c r="G297" s="69" t="n">
        <v>123</v>
      </c>
      <c r="H297" s="69" t="n">
        <v>146</v>
      </c>
      <c r="I297" s="69" t="n">
        <v>216</v>
      </c>
      <c r="J297" s="69" t="n">
        <v>120</v>
      </c>
      <c r="K297" s="69" t="n">
        <v>270</v>
      </c>
      <c r="L297" s="69" t="n">
        <v>158</v>
      </c>
      <c r="M297" s="69" t="n">
        <v>228</v>
      </c>
      <c r="N297" s="69" t="n">
        <v>216</v>
      </c>
      <c r="O297" s="69" t="n">
        <v>269</v>
      </c>
      <c r="P297" s="69" t="n">
        <v>235</v>
      </c>
    </row>
    <row r="298" ht="15.75" customHeight="1" s="45">
      <c r="A298" s="61" t="n">
        <v>46076</v>
      </c>
      <c r="B298" s="62" t="inlineStr">
        <is>
          <t>Antes-Projeto</t>
        </is>
      </c>
      <c r="C298" s="68" t="inlineStr">
        <is>
          <t>GAEs Classificadas</t>
        </is>
      </c>
      <c r="D298" s="69" t="n">
        <v>241</v>
      </c>
      <c r="E298" s="69" t="n">
        <v>150</v>
      </c>
      <c r="F298" s="69" t="n">
        <v>159</v>
      </c>
      <c r="G298" s="69" t="n">
        <v>122</v>
      </c>
      <c r="H298" s="69" t="n">
        <v>143</v>
      </c>
      <c r="I298" s="69" t="n">
        <v>204</v>
      </c>
      <c r="J298" s="69" t="n">
        <v>114</v>
      </c>
      <c r="K298" s="69" t="n">
        <v>243</v>
      </c>
      <c r="L298" s="69" t="n">
        <v>150</v>
      </c>
      <c r="M298" s="69" t="n">
        <v>219</v>
      </c>
      <c r="N298" s="69" t="n">
        <v>201</v>
      </c>
      <c r="O298" s="69" t="n">
        <v>262</v>
      </c>
      <c r="P298" s="69" t="n">
        <v>228</v>
      </c>
    </row>
    <row r="299" ht="15.75" customHeight="1" s="45">
      <c r="A299" s="61" t="n">
        <v>46076</v>
      </c>
      <c r="B299" s="62" t="inlineStr">
        <is>
          <t>Antes-Projeto</t>
        </is>
      </c>
      <c r="C299" s="70" t="inlineStr">
        <is>
          <t>Percentual de GAEs abertas classificadas</t>
        </is>
      </c>
      <c r="D299" s="71">
        <f>IFERROR(D298/D297,"-")</f>
        <v/>
      </c>
      <c r="E299" s="71">
        <f>IFERROR(E298/E297,"-")</f>
        <v/>
      </c>
      <c r="F299" s="71">
        <f>IFERROR(F298/F297,"-")</f>
        <v/>
      </c>
      <c r="G299" s="71">
        <f>IFERROR(G298/G297,"-")</f>
        <v/>
      </c>
      <c r="H299" s="71">
        <f>IFERROR(H298/H297,"-")</f>
        <v/>
      </c>
      <c r="I299" s="71">
        <f>IFERROR(I298/I297,"-")</f>
        <v/>
      </c>
      <c r="J299" s="71">
        <f>IFERROR(J298/J297,"-")</f>
        <v/>
      </c>
      <c r="K299" s="71">
        <f>IFERROR(K298/K297,"-")</f>
        <v/>
      </c>
      <c r="L299" s="71">
        <f>IFERROR(L298/L297,"-")</f>
        <v/>
      </c>
      <c r="M299" s="71">
        <f>IFERROR(M298/M297,"-")</f>
        <v/>
      </c>
      <c r="N299" s="71">
        <f>IFERROR(N298/N297,"-")</f>
        <v/>
      </c>
      <c r="O299" s="71">
        <f>IFERROR(O298/O297,"-")</f>
        <v/>
      </c>
      <c r="P299" s="71">
        <f>IFERROR(P298/P297,"-")</f>
        <v/>
      </c>
    </row>
    <row r="300" ht="15.75" customHeight="1" s="45">
      <c r="A300" s="61" t="n">
        <v>46076</v>
      </c>
      <c r="B300" s="62" t="inlineStr">
        <is>
          <t>Antes-Projeto</t>
        </is>
      </c>
      <c r="C300" s="72" t="inlineStr">
        <is>
          <t>Tempo Médio — 🟡 Amarelo (hh:mm)</t>
        </is>
      </c>
      <c r="D300" s="73" t="n">
        <v>0.09520833333333334</v>
      </c>
      <c r="E300" s="73" t="n">
        <v>0.09560185185185185</v>
      </c>
      <c r="F300" s="73" t="n">
        <v>0.03611111111111111</v>
      </c>
      <c r="G300" s="73" t="n">
        <v>0.03135416666666667</v>
      </c>
      <c r="H300" s="73" t="n">
        <v>0.07741898148148148</v>
      </c>
      <c r="I300" s="73" t="n">
        <v>0.06298611111111112</v>
      </c>
      <c r="J300" s="73" t="n">
        <v>0.05680555555555555</v>
      </c>
      <c r="K300" s="73" t="n">
        <v>0.1595717592592593</v>
      </c>
      <c r="L300" s="73" t="n">
        <v>0.1226041666666667</v>
      </c>
      <c r="M300" s="73" t="n">
        <v>0.04353009259259259</v>
      </c>
      <c r="N300" s="73" t="n">
        <v>0.2301388888888889</v>
      </c>
      <c r="O300" s="73" t="n">
        <v>0.08643518518518518</v>
      </c>
      <c r="P300" s="73" t="n">
        <v>0.05303240740740741</v>
      </c>
    </row>
    <row r="301" ht="15.75" customHeight="1" s="45">
      <c r="A301" s="61" t="n">
        <v>46076</v>
      </c>
      <c r="B301" s="62" t="inlineStr">
        <is>
          <t>Antes-Projeto</t>
        </is>
      </c>
      <c r="C301" s="74" t="inlineStr">
        <is>
          <t>Tempo Médio — 🟠 Laranja (hh:mm)</t>
        </is>
      </c>
      <c r="D301" s="75" t="n">
        <v>0.01140046296296296</v>
      </c>
      <c r="E301" s="75" t="n">
        <v>0.01200231481481481</v>
      </c>
      <c r="F301" s="75" t="n">
        <v>0.007013888888888889</v>
      </c>
      <c r="G301" s="75" t="n">
        <v>0.006134259259259259</v>
      </c>
      <c r="H301" s="75" t="n">
        <v>0.005590277777777777</v>
      </c>
      <c r="I301" s="75" t="n">
        <v>0.007395833333333333</v>
      </c>
      <c r="J301" s="75" t="n">
        <v>0.005960648148148148</v>
      </c>
      <c r="K301" s="75" t="n">
        <v>0.02651620370370371</v>
      </c>
      <c r="L301" s="75" t="n">
        <v>0.01076388888888889</v>
      </c>
      <c r="M301" s="75" t="n">
        <v>0.01689814814814815</v>
      </c>
      <c r="N301" s="75" t="n">
        <v>0.01278935185185185</v>
      </c>
      <c r="O301" s="75" t="n">
        <v>0.0165625</v>
      </c>
      <c r="P301" s="75" t="n">
        <v>0.01047453703703704</v>
      </c>
    </row>
    <row r="302" ht="15.75" customHeight="1" s="45">
      <c r="A302" s="76" t="n">
        <v>46076</v>
      </c>
      <c r="B302" s="77" t="inlineStr">
        <is>
          <t>Antes-Projeto</t>
        </is>
      </c>
      <c r="C302" s="78" t="inlineStr">
        <is>
          <t>Tempo Médio — 🟢 Verde   (hh:mm)</t>
        </is>
      </c>
      <c r="D302" s="79" t="n">
        <v>0.07618055555555556</v>
      </c>
      <c r="E302" s="79" t="n">
        <v>0.2003935185185185</v>
      </c>
      <c r="F302" s="79" t="n">
        <v>0.1153819444444444</v>
      </c>
      <c r="G302" s="79" t="n">
        <v>0.0844212962962963</v>
      </c>
      <c r="H302" s="79" t="n">
        <v>0.1732291666666667</v>
      </c>
      <c r="I302" s="79" t="n">
        <v>0.1541550925925926</v>
      </c>
      <c r="J302" s="79" t="n">
        <v>0.1064930555555555</v>
      </c>
      <c r="K302" s="79" t="n">
        <v>0.1431481481481481</v>
      </c>
      <c r="L302" s="79" t="n">
        <v>0.2360763888888889</v>
      </c>
      <c r="M302" s="79" t="n">
        <v>0.1014930555555556</v>
      </c>
      <c r="N302" s="79" t="n">
        <v>0.09287037037037037</v>
      </c>
      <c r="O302" s="79" t="n">
        <v>0.1608217592592593</v>
      </c>
      <c r="P302" s="79" t="n">
        <v>0.1273842592592593</v>
      </c>
    </row>
    <row r="303" ht="15.75" customHeight="1" s="45">
      <c r="A303" s="57" t="n">
        <v>46077</v>
      </c>
      <c r="B303" s="58" t="inlineStr">
        <is>
          <t>Antes-Projeto</t>
        </is>
      </c>
      <c r="C303" s="59" t="inlineStr">
        <is>
          <t>Acolhim. + Atend. Urgência + Atend. UPA</t>
        </is>
      </c>
      <c r="D303" s="60">
        <f>SUM(D304:D306)</f>
        <v/>
      </c>
      <c r="E303" s="60">
        <f>SUM(E304:E306)</f>
        <v/>
      </c>
      <c r="F303" s="60">
        <f>SUM(F304:F306)</f>
        <v/>
      </c>
      <c r="G303" s="60">
        <f>SUM(G304:G306)</f>
        <v/>
      </c>
      <c r="H303" s="60">
        <f>SUM(H304:H306)</f>
        <v/>
      </c>
      <c r="I303" s="60">
        <f>SUM(I304:I306)</f>
        <v/>
      </c>
      <c r="J303" s="60">
        <f>SUM(J304:J306)</f>
        <v/>
      </c>
      <c r="K303" s="60">
        <f>SUM(K304:K306)</f>
        <v/>
      </c>
      <c r="L303" s="60">
        <f>SUM(L304:L306)</f>
        <v/>
      </c>
      <c r="M303" s="60">
        <f>SUM(M304:M306)</f>
        <v/>
      </c>
      <c r="N303" s="60">
        <f>SUM(N304:N306)</f>
        <v/>
      </c>
      <c r="O303" s="60">
        <f>SUM(O304:O306)</f>
        <v/>
      </c>
      <c r="P303" s="60">
        <f>SUM(P304:P306)</f>
        <v/>
      </c>
    </row>
    <row r="304" ht="15.75" customHeight="1" s="45">
      <c r="A304" s="61" t="n">
        <v>46077</v>
      </c>
      <c r="B304" s="62" t="inlineStr">
        <is>
          <t>Antes-Projeto</t>
        </is>
      </c>
      <c r="C304" s="65" t="inlineStr">
        <is>
          <t>Acolhimento c/ Classif. de Risco</t>
        </is>
      </c>
      <c r="D304" s="66" t="n">
        <v>218</v>
      </c>
      <c r="E304" s="66" t="n">
        <v>168</v>
      </c>
      <c r="F304" s="66" t="n">
        <v>161</v>
      </c>
      <c r="G304" s="66" t="n">
        <v>143</v>
      </c>
      <c r="H304" s="66" t="n">
        <v>117</v>
      </c>
      <c r="I304" s="66" t="n">
        <v>165</v>
      </c>
      <c r="J304" s="66" t="n">
        <v>98</v>
      </c>
      <c r="K304" s="66" t="n">
        <v>237</v>
      </c>
      <c r="L304" s="66" t="n">
        <v>120</v>
      </c>
      <c r="M304" s="66" t="n">
        <v>198</v>
      </c>
      <c r="N304" s="66" t="n">
        <v>194</v>
      </c>
      <c r="O304" s="66" t="n">
        <v>233</v>
      </c>
      <c r="P304" s="66" t="n">
        <v>222</v>
      </c>
    </row>
    <row r="305" ht="15.75" customHeight="1" s="45">
      <c r="A305" s="61" t="n">
        <v>46077</v>
      </c>
      <c r="B305" s="62" t="inlineStr">
        <is>
          <t>Antes-Projeto</t>
        </is>
      </c>
      <c r="C305" s="63" t="inlineStr">
        <is>
          <t>Atend. Urgência Obs. ≤ 24h</t>
        </is>
      </c>
      <c r="D305" s="64" t="n">
        <v>36</v>
      </c>
      <c r="E305" s="64" t="n">
        <v>16</v>
      </c>
      <c r="F305" s="64" t="n">
        <v>22</v>
      </c>
      <c r="G305" s="64" t="n">
        <v>15</v>
      </c>
      <c r="H305" s="64" t="n">
        <v>10</v>
      </c>
      <c r="I305" s="64" t="n">
        <v>26</v>
      </c>
      <c r="J305" s="64" t="n">
        <v>21</v>
      </c>
      <c r="K305" s="64" t="n">
        <v>38</v>
      </c>
      <c r="L305" s="64" t="n">
        <v>30</v>
      </c>
      <c r="M305" s="64" t="n">
        <v>27</v>
      </c>
      <c r="N305" s="64" t="n">
        <v>43</v>
      </c>
      <c r="O305" s="64" t="n">
        <v>13</v>
      </c>
      <c r="P305" s="64" t="n">
        <v>32</v>
      </c>
    </row>
    <row r="306" ht="15.75" customHeight="1" s="45">
      <c r="A306" s="61" t="n">
        <v>46077</v>
      </c>
      <c r="B306" s="62" t="inlineStr">
        <is>
          <t>Antes-Projeto</t>
        </is>
      </c>
      <c r="C306" s="65" t="inlineStr">
        <is>
          <t>Atend. Médico em UPA</t>
        </is>
      </c>
      <c r="D306" s="66" t="n">
        <v>165</v>
      </c>
      <c r="E306" s="66" t="n">
        <v>122</v>
      </c>
      <c r="F306" s="66" t="n">
        <v>84</v>
      </c>
      <c r="G306" s="66" t="n">
        <v>87</v>
      </c>
      <c r="H306" s="66" t="n">
        <v>95</v>
      </c>
      <c r="I306" s="66" t="n">
        <v>115</v>
      </c>
      <c r="J306" s="66" t="n">
        <v>75</v>
      </c>
      <c r="K306" s="66" t="n">
        <v>199</v>
      </c>
      <c r="L306" s="66" t="n">
        <v>37</v>
      </c>
      <c r="M306" s="66" t="n">
        <v>109</v>
      </c>
      <c r="N306" s="66" t="n">
        <v>176</v>
      </c>
      <c r="O306" s="66" t="n">
        <v>151</v>
      </c>
      <c r="P306" s="66" t="n">
        <v>96</v>
      </c>
    </row>
    <row r="307" ht="15.75" customHeight="1" s="45">
      <c r="A307" s="61" t="n">
        <v>46077</v>
      </c>
      <c r="B307" s="62" t="inlineStr">
        <is>
          <t>Antes-Projeto</t>
        </is>
      </c>
      <c r="C307" s="63" t="inlineStr">
        <is>
          <t>Exames Laboratoriais</t>
        </is>
      </c>
      <c r="D307" s="64" t="n">
        <v>544</v>
      </c>
      <c r="E307" s="64" t="n">
        <v>280</v>
      </c>
      <c r="F307" s="64" t="n">
        <v>439</v>
      </c>
      <c r="G307" s="64" t="n">
        <v>238</v>
      </c>
      <c r="H307" s="64" t="n">
        <v>380</v>
      </c>
      <c r="I307" s="64" t="n">
        <v>538</v>
      </c>
      <c r="J307" s="64" t="n">
        <v>276</v>
      </c>
      <c r="K307" s="64" t="n">
        <v>753</v>
      </c>
      <c r="L307" s="64" t="n">
        <v>484</v>
      </c>
      <c r="M307" s="64" t="n">
        <v>537</v>
      </c>
      <c r="N307" s="64" t="n">
        <v>662</v>
      </c>
      <c r="O307" s="64" t="n">
        <v>488</v>
      </c>
      <c r="P307" s="64" t="n">
        <v>406</v>
      </c>
    </row>
    <row r="308" ht="15.75" customHeight="1" s="45">
      <c r="A308" s="61" t="n">
        <v>46077</v>
      </c>
      <c r="B308" s="62" t="inlineStr">
        <is>
          <t>Antes-Projeto</t>
        </is>
      </c>
      <c r="C308" s="65" t="inlineStr">
        <is>
          <t>Radiografias</t>
        </is>
      </c>
      <c r="D308" s="66" t="n">
        <v>24</v>
      </c>
      <c r="E308" s="67" t="n">
        <v>0</v>
      </c>
      <c r="F308" s="66" t="n">
        <v>13</v>
      </c>
      <c r="G308" s="66" t="n">
        <v>15</v>
      </c>
      <c r="H308" s="66" t="n">
        <v>12</v>
      </c>
      <c r="I308" s="66" t="n">
        <v>20</v>
      </c>
      <c r="J308" s="66" t="n">
        <v>19</v>
      </c>
      <c r="K308" s="66" t="n">
        <v>51</v>
      </c>
      <c r="L308" s="66" t="n">
        <v>18</v>
      </c>
      <c r="M308" s="66" t="n">
        <v>37</v>
      </c>
      <c r="N308" s="66" t="n">
        <v>18</v>
      </c>
      <c r="O308" s="66" t="n">
        <v>45</v>
      </c>
      <c r="P308" s="66" t="n">
        <v>40</v>
      </c>
    </row>
    <row r="309" ht="15.75" customHeight="1" s="45">
      <c r="A309" s="61" t="n">
        <v>46077</v>
      </c>
      <c r="B309" s="62" t="inlineStr">
        <is>
          <t>Antes-Projeto</t>
        </is>
      </c>
      <c r="C309" s="63" t="inlineStr">
        <is>
          <t>Eletrocardiogramas</t>
        </is>
      </c>
      <c r="D309" s="64" t="n">
        <v>17</v>
      </c>
      <c r="E309" s="64" t="n">
        <v>1</v>
      </c>
      <c r="F309" s="64" t="n">
        <v>28</v>
      </c>
      <c r="G309" s="64" t="n">
        <v>9</v>
      </c>
      <c r="H309" s="64" t="n">
        <v>7</v>
      </c>
      <c r="I309" s="64" t="n">
        <v>19</v>
      </c>
      <c r="J309" s="64" t="n">
        <v>16</v>
      </c>
      <c r="K309" s="64" t="n">
        <v>32</v>
      </c>
      <c r="L309" s="64" t="n">
        <v>8</v>
      </c>
      <c r="M309" s="64" t="n">
        <v>15</v>
      </c>
      <c r="N309" s="64" t="n">
        <v>8</v>
      </c>
      <c r="O309" s="64" t="n">
        <v>15</v>
      </c>
      <c r="P309" s="64" t="n">
        <v>13</v>
      </c>
    </row>
    <row r="310" ht="15.75" customHeight="1" s="45">
      <c r="A310" s="61" t="n">
        <v>46077</v>
      </c>
      <c r="B310" s="62" t="inlineStr">
        <is>
          <t>Antes-Projeto</t>
        </is>
      </c>
      <c r="C310" s="68" t="inlineStr">
        <is>
          <t>GAEs Abertas</t>
        </is>
      </c>
      <c r="D310" s="69" t="n">
        <v>227</v>
      </c>
      <c r="E310" s="69" t="n">
        <v>168</v>
      </c>
      <c r="F310" s="69" t="n">
        <v>163</v>
      </c>
      <c r="G310" s="69" t="n">
        <v>148</v>
      </c>
      <c r="H310" s="69" t="n">
        <v>129</v>
      </c>
      <c r="I310" s="69" t="n">
        <v>182</v>
      </c>
      <c r="J310" s="69" t="n">
        <v>101</v>
      </c>
      <c r="K310" s="69" t="n">
        <v>251</v>
      </c>
      <c r="L310" s="69" t="n">
        <v>131</v>
      </c>
      <c r="M310" s="69" t="n">
        <v>207</v>
      </c>
      <c r="N310" s="69" t="n">
        <v>194</v>
      </c>
      <c r="O310" s="69" t="n">
        <v>244</v>
      </c>
      <c r="P310" s="69" t="n">
        <v>235</v>
      </c>
    </row>
    <row r="311" ht="15.75" customHeight="1" s="45">
      <c r="A311" s="61" t="n">
        <v>46077</v>
      </c>
      <c r="B311" s="62" t="inlineStr">
        <is>
          <t>Antes-Projeto</t>
        </is>
      </c>
      <c r="C311" s="68" t="inlineStr">
        <is>
          <t>GAEs Classificadas</t>
        </is>
      </c>
      <c r="D311" s="69" t="n">
        <v>216</v>
      </c>
      <c r="E311" s="69" t="n">
        <v>166</v>
      </c>
      <c r="F311" s="69" t="n">
        <v>160</v>
      </c>
      <c r="G311" s="69" t="n">
        <v>142</v>
      </c>
      <c r="H311" s="69" t="n">
        <v>115</v>
      </c>
      <c r="I311" s="69" t="n">
        <v>167</v>
      </c>
      <c r="J311" s="69" t="n">
        <v>98</v>
      </c>
      <c r="K311" s="69" t="n">
        <v>236</v>
      </c>
      <c r="L311" s="69" t="n">
        <v>118</v>
      </c>
      <c r="M311" s="69" t="n">
        <v>198</v>
      </c>
      <c r="N311" s="69" t="n">
        <v>183</v>
      </c>
      <c r="O311" s="69" t="n">
        <v>230</v>
      </c>
      <c r="P311" s="69" t="n">
        <v>222</v>
      </c>
    </row>
    <row r="312" ht="15.75" customHeight="1" s="45">
      <c r="A312" s="61" t="n">
        <v>46077</v>
      </c>
      <c r="B312" s="62" t="inlineStr">
        <is>
          <t>Antes-Projeto</t>
        </is>
      </c>
      <c r="C312" s="70" t="inlineStr">
        <is>
          <t>Percentual de GAEs abertas classificadas</t>
        </is>
      </c>
      <c r="D312" s="71">
        <f>IFERROR(D311/D310,"-")</f>
        <v/>
      </c>
      <c r="E312" s="71">
        <f>IFERROR(E311/E310,"-")</f>
        <v/>
      </c>
      <c r="F312" s="71">
        <f>IFERROR(F311/F310,"-")</f>
        <v/>
      </c>
      <c r="G312" s="71">
        <f>IFERROR(G311/G310,"-")</f>
        <v/>
      </c>
      <c r="H312" s="71">
        <f>IFERROR(H311/H310,"-")</f>
        <v/>
      </c>
      <c r="I312" s="71">
        <f>IFERROR(I311/I310,"-")</f>
        <v/>
      </c>
      <c r="J312" s="71">
        <f>IFERROR(J311/J310,"-")</f>
        <v/>
      </c>
      <c r="K312" s="71">
        <f>IFERROR(K311/K310,"-")</f>
        <v/>
      </c>
      <c r="L312" s="71">
        <f>IFERROR(L311/L310,"-")</f>
        <v/>
      </c>
      <c r="M312" s="71">
        <f>IFERROR(M311/M310,"-")</f>
        <v/>
      </c>
      <c r="N312" s="71">
        <f>IFERROR(N311/N310,"-")</f>
        <v/>
      </c>
      <c r="O312" s="71">
        <f>IFERROR(O311/O310,"-")</f>
        <v/>
      </c>
      <c r="P312" s="71">
        <f>IFERROR(P311/P310,"-")</f>
        <v/>
      </c>
    </row>
    <row r="313" ht="15.75" customHeight="1" s="45">
      <c r="A313" s="61" t="n">
        <v>46077</v>
      </c>
      <c r="B313" s="62" t="inlineStr">
        <is>
          <t>Antes-Projeto</t>
        </is>
      </c>
      <c r="C313" s="72" t="inlineStr">
        <is>
          <t>Tempo Médio — 🟡 Amarelo (hh:mm)</t>
        </is>
      </c>
      <c r="D313" s="73" t="n">
        <v>0.0650462962962963</v>
      </c>
      <c r="E313" s="73" t="n">
        <v>0.05228009259259259</v>
      </c>
      <c r="F313" s="73" t="n">
        <v>0.06664351851851852</v>
      </c>
      <c r="G313" s="73" t="n">
        <v>0.0633912037037037</v>
      </c>
      <c r="H313" s="73" t="n">
        <v>0.05266203703703703</v>
      </c>
      <c r="I313" s="73" t="n">
        <v>0.07237268518518518</v>
      </c>
      <c r="J313" s="73" t="n">
        <v>0.03958333333333333</v>
      </c>
      <c r="K313" s="73" t="n">
        <v>0.1485879629629629</v>
      </c>
      <c r="L313" s="73" t="n">
        <v>0.1222916666666667</v>
      </c>
      <c r="M313" s="73" t="n">
        <v>0.0431712962962963</v>
      </c>
      <c r="N313" s="73" t="n">
        <v>0.07744212962962962</v>
      </c>
      <c r="O313" s="73" t="n">
        <v>0.02829861111111111</v>
      </c>
      <c r="P313" s="73" t="n">
        <v>0.1327083333333333</v>
      </c>
    </row>
    <row r="314" ht="15.75" customHeight="1" s="45">
      <c r="A314" s="61" t="n">
        <v>46077</v>
      </c>
      <c r="B314" s="62" t="inlineStr">
        <is>
          <t>Antes-Projeto</t>
        </is>
      </c>
      <c r="C314" s="74" t="inlineStr">
        <is>
          <t>Tempo Médio — 🟠 Laranja (hh:mm)</t>
        </is>
      </c>
      <c r="D314" s="75" t="n">
        <v>0.00818287037037037</v>
      </c>
      <c r="E314" s="75" t="n">
        <v>0.007256944444444444</v>
      </c>
      <c r="F314" s="75" t="n">
        <v>0.009467592592592593</v>
      </c>
      <c r="G314" s="75" t="n">
        <v>0.008506944444444444</v>
      </c>
      <c r="H314" s="75" t="n">
        <v>0.01899305555555555</v>
      </c>
      <c r="I314" s="75" t="n">
        <v>0.004293981481481481</v>
      </c>
      <c r="J314" s="75" t="n">
        <v>0.008530092592592593</v>
      </c>
      <c r="K314" s="75" t="n">
        <v>0.02582175925925926</v>
      </c>
      <c r="L314" s="75" t="n">
        <v>0.0215625</v>
      </c>
      <c r="M314" s="75" t="n">
        <v>0.005243055555555555</v>
      </c>
      <c r="N314" s="75" t="n">
        <v>0.01803240740740741</v>
      </c>
      <c r="O314" s="75" t="n">
        <v>0.01069444444444444</v>
      </c>
      <c r="P314" s="75" t="n">
        <v>0.01364583333333333</v>
      </c>
    </row>
    <row r="315" ht="15.75" customHeight="1" s="45">
      <c r="A315" s="76" t="n">
        <v>46077</v>
      </c>
      <c r="B315" s="77" t="inlineStr">
        <is>
          <t>Antes-Projeto</t>
        </is>
      </c>
      <c r="C315" s="78" t="inlineStr">
        <is>
          <t>Tempo Médio — 🟢 Verde   (hh:mm)</t>
        </is>
      </c>
      <c r="D315" s="79" t="n">
        <v>0.06927083333333334</v>
      </c>
      <c r="E315" s="79" t="n">
        <v>0.1486111111111111</v>
      </c>
      <c r="F315" s="79" t="n">
        <v>0.1375347222222222</v>
      </c>
      <c r="G315" s="79" t="n">
        <v>0.1474537037037037</v>
      </c>
      <c r="H315" s="79" t="n">
        <v>0.1078125</v>
      </c>
      <c r="I315" s="79" t="n">
        <v>0.1578472222222222</v>
      </c>
      <c r="J315" s="79" t="n">
        <v>0.1039814814814815</v>
      </c>
      <c r="K315" s="79" t="n">
        <v>0.09402777777777778</v>
      </c>
      <c r="L315" s="79" t="n">
        <v>0.1822453703703704</v>
      </c>
      <c r="M315" s="79" t="n">
        <v>0.08866898148148149</v>
      </c>
      <c r="N315" s="79" t="n">
        <v>0.1063773148148148</v>
      </c>
      <c r="O315" s="79" t="n">
        <v>0.07928240740740741</v>
      </c>
      <c r="P315" s="79" t="n">
        <v>0.1439583333333333</v>
      </c>
    </row>
    <row r="316" ht="15.75" customHeight="1" s="45">
      <c r="A316" s="57" t="n">
        <v>46078</v>
      </c>
      <c r="B316" s="58" t="inlineStr">
        <is>
          <t>Antes-Projeto</t>
        </is>
      </c>
      <c r="C316" s="59" t="inlineStr">
        <is>
          <t>Acolhim. + Atend. Urgência + Atend. UPA</t>
        </is>
      </c>
      <c r="D316" s="60">
        <f>SUM(D317:D319)</f>
        <v/>
      </c>
      <c r="E316" s="60">
        <f>SUM(E317:E319)</f>
        <v/>
      </c>
      <c r="F316" s="60">
        <f>SUM(F317:F319)</f>
        <v/>
      </c>
      <c r="G316" s="60">
        <f>SUM(G317:G319)</f>
        <v/>
      </c>
      <c r="H316" s="60">
        <f>SUM(H317:H319)</f>
        <v/>
      </c>
      <c r="I316" s="60">
        <f>SUM(I317:I319)</f>
        <v/>
      </c>
      <c r="J316" s="60">
        <f>SUM(J317:J319)</f>
        <v/>
      </c>
      <c r="K316" s="60">
        <f>SUM(K317:K319)</f>
        <v/>
      </c>
      <c r="L316" s="60">
        <f>SUM(L317:L319)</f>
        <v/>
      </c>
      <c r="M316" s="60">
        <f>SUM(M317:M319)</f>
        <v/>
      </c>
      <c r="N316" s="60">
        <f>SUM(N317:N319)</f>
        <v/>
      </c>
      <c r="O316" s="60">
        <f>SUM(O317:O319)</f>
        <v/>
      </c>
      <c r="P316" s="60">
        <f>SUM(P317:P319)</f>
        <v/>
      </c>
    </row>
    <row r="317" ht="15.75" customHeight="1" s="45">
      <c r="A317" s="61" t="n">
        <v>46078</v>
      </c>
      <c r="B317" s="62" t="inlineStr">
        <is>
          <t>Antes-Projeto</t>
        </is>
      </c>
      <c r="C317" s="63" t="inlineStr">
        <is>
          <t>Acolhimento c/ Classif. de Risco</t>
        </is>
      </c>
      <c r="D317" s="64" t="n">
        <v>198</v>
      </c>
      <c r="E317" s="64" t="n">
        <v>147</v>
      </c>
      <c r="F317" s="64" t="n">
        <v>158</v>
      </c>
      <c r="G317" s="64" t="n">
        <v>108</v>
      </c>
      <c r="H317" s="64" t="n">
        <v>148</v>
      </c>
      <c r="I317" s="64" t="n">
        <v>172</v>
      </c>
      <c r="J317" s="64" t="n">
        <v>98</v>
      </c>
      <c r="K317" s="64" t="n">
        <v>258</v>
      </c>
      <c r="L317" s="64" t="n">
        <v>147</v>
      </c>
      <c r="M317" s="64" t="n">
        <v>212</v>
      </c>
      <c r="N317" s="64" t="n">
        <v>199</v>
      </c>
      <c r="O317" s="64" t="n">
        <v>274</v>
      </c>
      <c r="P317" s="64" t="n">
        <v>212</v>
      </c>
    </row>
    <row r="318" ht="15.75" customHeight="1" s="45">
      <c r="A318" s="61" t="n">
        <v>46078</v>
      </c>
      <c r="B318" s="62" t="inlineStr">
        <is>
          <t>Antes-Projeto</t>
        </is>
      </c>
      <c r="C318" s="65" t="inlineStr">
        <is>
          <t>Atend. Urgência Obs. ≤ 24h</t>
        </is>
      </c>
      <c r="D318" s="66" t="n">
        <v>24</v>
      </c>
      <c r="E318" s="66" t="n">
        <v>16</v>
      </c>
      <c r="F318" s="66" t="n">
        <v>22</v>
      </c>
      <c r="G318" s="66" t="n">
        <v>19</v>
      </c>
      <c r="H318" s="66" t="n">
        <v>13</v>
      </c>
      <c r="I318" s="66" t="n">
        <v>33</v>
      </c>
      <c r="J318" s="66" t="n">
        <v>11</v>
      </c>
      <c r="K318" s="66" t="n">
        <v>30</v>
      </c>
      <c r="L318" s="66" t="n">
        <v>40</v>
      </c>
      <c r="M318" s="66" t="n">
        <v>40</v>
      </c>
      <c r="N318" s="66" t="n">
        <v>45</v>
      </c>
      <c r="O318" s="66" t="n">
        <v>9</v>
      </c>
      <c r="P318" s="66" t="n">
        <v>43</v>
      </c>
    </row>
    <row r="319" ht="15.75" customHeight="1" s="45">
      <c r="A319" s="61" t="n">
        <v>46078</v>
      </c>
      <c r="B319" s="62" t="inlineStr">
        <is>
          <t>Antes-Projeto</t>
        </is>
      </c>
      <c r="C319" s="63" t="inlineStr">
        <is>
          <t>Atend. Médico em UPA</t>
        </is>
      </c>
      <c r="D319" s="64" t="n">
        <v>182</v>
      </c>
      <c r="E319" s="64" t="n">
        <v>112</v>
      </c>
      <c r="F319" s="64" t="n">
        <v>128</v>
      </c>
      <c r="G319" s="64" t="n">
        <v>115</v>
      </c>
      <c r="H319" s="64" t="n">
        <v>70</v>
      </c>
      <c r="I319" s="64" t="n">
        <v>122</v>
      </c>
      <c r="J319" s="64" t="n">
        <v>83</v>
      </c>
      <c r="K319" s="64" t="n">
        <v>178</v>
      </c>
      <c r="L319" s="64" t="n">
        <v>110</v>
      </c>
      <c r="M319" s="64" t="n">
        <v>92</v>
      </c>
      <c r="N319" s="64" t="n">
        <v>193</v>
      </c>
      <c r="O319" s="64" t="n">
        <v>183</v>
      </c>
      <c r="P319" s="64" t="n">
        <v>125</v>
      </c>
    </row>
    <row r="320" ht="15.75" customHeight="1" s="45">
      <c r="A320" s="61" t="n">
        <v>46078</v>
      </c>
      <c r="B320" s="62" t="inlineStr">
        <is>
          <t>Antes-Projeto</t>
        </is>
      </c>
      <c r="C320" s="65" t="inlineStr">
        <is>
          <t>Exames Laboratoriais</t>
        </is>
      </c>
      <c r="D320" s="66" t="n">
        <v>488</v>
      </c>
      <c r="E320" s="66" t="n">
        <v>388</v>
      </c>
      <c r="F320" s="66" t="n">
        <v>500</v>
      </c>
      <c r="G320" s="66" t="n">
        <v>332</v>
      </c>
      <c r="H320" s="66" t="n">
        <v>276</v>
      </c>
      <c r="I320" s="66" t="n">
        <v>614</v>
      </c>
      <c r="J320" s="66" t="n">
        <v>327</v>
      </c>
      <c r="K320" s="66" t="n">
        <v>647</v>
      </c>
      <c r="L320" s="66" t="n">
        <v>594</v>
      </c>
      <c r="M320" s="66" t="n">
        <v>580</v>
      </c>
      <c r="N320" s="66" t="n">
        <v>795</v>
      </c>
      <c r="O320" s="66" t="n">
        <v>495</v>
      </c>
      <c r="P320" s="66" t="n">
        <v>627</v>
      </c>
    </row>
    <row r="321" ht="15.75" customHeight="1" s="45">
      <c r="A321" s="61" t="n">
        <v>46078</v>
      </c>
      <c r="B321" s="62" t="inlineStr">
        <is>
          <t>Antes-Projeto</t>
        </is>
      </c>
      <c r="C321" s="63" t="inlineStr">
        <is>
          <t>Radiografias</t>
        </is>
      </c>
      <c r="D321" s="64" t="n">
        <v>23</v>
      </c>
      <c r="E321" s="67" t="n">
        <v>0</v>
      </c>
      <c r="F321" s="64" t="n">
        <v>26</v>
      </c>
      <c r="G321" s="64" t="n">
        <v>31</v>
      </c>
      <c r="H321" s="64" t="n">
        <v>14</v>
      </c>
      <c r="I321" s="64" t="n">
        <v>20</v>
      </c>
      <c r="J321" s="64" t="n">
        <v>16</v>
      </c>
      <c r="K321" s="64" t="n">
        <v>39</v>
      </c>
      <c r="L321" s="64" t="n">
        <v>23</v>
      </c>
      <c r="M321" s="64" t="n">
        <v>26</v>
      </c>
      <c r="N321" s="64" t="n">
        <v>35</v>
      </c>
      <c r="O321" s="64" t="n">
        <v>34</v>
      </c>
      <c r="P321" s="64" t="n">
        <v>41</v>
      </c>
    </row>
    <row r="322" ht="15.75" customHeight="1" s="45">
      <c r="A322" s="61" t="n">
        <v>46078</v>
      </c>
      <c r="B322" s="62" t="inlineStr">
        <is>
          <t>Antes-Projeto</t>
        </is>
      </c>
      <c r="C322" s="65" t="inlineStr">
        <is>
          <t>Eletrocardiogramas</t>
        </is>
      </c>
      <c r="D322" s="66" t="n">
        <v>27</v>
      </c>
      <c r="E322" s="66" t="n">
        <v>13</v>
      </c>
      <c r="F322" s="66" t="n">
        <v>19</v>
      </c>
      <c r="G322" s="66" t="n">
        <v>11</v>
      </c>
      <c r="H322" s="66" t="n">
        <v>12</v>
      </c>
      <c r="I322" s="66" t="n">
        <v>13</v>
      </c>
      <c r="J322" s="66" t="n">
        <v>11</v>
      </c>
      <c r="K322" s="66" t="n">
        <v>21</v>
      </c>
      <c r="L322" s="66" t="n">
        <v>16</v>
      </c>
      <c r="M322" s="66" t="n">
        <v>18</v>
      </c>
      <c r="N322" s="66" t="n">
        <v>14</v>
      </c>
      <c r="O322" s="66" t="n">
        <v>9</v>
      </c>
      <c r="P322" s="66" t="n">
        <v>13</v>
      </c>
    </row>
    <row r="323" ht="15.75" customHeight="1" s="45">
      <c r="A323" s="61" t="n">
        <v>46078</v>
      </c>
      <c r="B323" s="62" t="inlineStr">
        <is>
          <t>Antes-Projeto</t>
        </is>
      </c>
      <c r="C323" s="68" t="inlineStr">
        <is>
          <t>GAEs Abertas</t>
        </is>
      </c>
      <c r="D323" s="69" t="n">
        <v>203</v>
      </c>
      <c r="E323" s="69" t="n">
        <v>150</v>
      </c>
      <c r="F323" s="69" t="n">
        <v>161</v>
      </c>
      <c r="G323" s="69" t="n">
        <v>113</v>
      </c>
      <c r="H323" s="69" t="n">
        <v>155</v>
      </c>
      <c r="I323" s="69" t="n">
        <v>173</v>
      </c>
      <c r="J323" s="69" t="n">
        <v>101</v>
      </c>
      <c r="K323" s="69" t="n">
        <v>283</v>
      </c>
      <c r="L323" s="69" t="n">
        <v>156</v>
      </c>
      <c r="M323" s="69" t="n">
        <v>231</v>
      </c>
      <c r="N323" s="69" t="n">
        <v>200</v>
      </c>
      <c r="O323" s="69" t="n">
        <v>285</v>
      </c>
      <c r="P323" s="69" t="n">
        <v>218</v>
      </c>
    </row>
    <row r="324" ht="15.75" customHeight="1" s="45">
      <c r="A324" s="61" t="n">
        <v>46078</v>
      </c>
      <c r="B324" s="62" t="inlineStr">
        <is>
          <t>Antes-Projeto</t>
        </is>
      </c>
      <c r="C324" s="68" t="inlineStr">
        <is>
          <t>GAEs Classificadas</t>
        </is>
      </c>
      <c r="D324" s="69" t="n">
        <v>200</v>
      </c>
      <c r="E324" s="69" t="n">
        <v>147</v>
      </c>
      <c r="F324" s="69" t="n">
        <v>157</v>
      </c>
      <c r="G324" s="69" t="n">
        <v>108</v>
      </c>
      <c r="H324" s="69" t="n">
        <v>148</v>
      </c>
      <c r="I324" s="69" t="n">
        <v>170</v>
      </c>
      <c r="J324" s="69" t="n">
        <v>98</v>
      </c>
      <c r="K324" s="69" t="n">
        <v>259</v>
      </c>
      <c r="L324" s="69" t="n">
        <v>148</v>
      </c>
      <c r="M324" s="69" t="n">
        <v>212</v>
      </c>
      <c r="N324" s="69" t="n">
        <v>189</v>
      </c>
      <c r="O324" s="69" t="n">
        <v>275</v>
      </c>
      <c r="P324" s="69" t="n">
        <v>213</v>
      </c>
    </row>
    <row r="325" ht="15.75" customHeight="1" s="45">
      <c r="A325" s="61" t="n">
        <v>46078</v>
      </c>
      <c r="B325" s="62" t="inlineStr">
        <is>
          <t>Antes-Projeto</t>
        </is>
      </c>
      <c r="C325" s="70" t="inlineStr">
        <is>
          <t>Percentual de GAEs abertas classificadas</t>
        </is>
      </c>
      <c r="D325" s="71">
        <f>IFERROR(D324/D323,"-")</f>
        <v/>
      </c>
      <c r="E325" s="71">
        <f>IFERROR(E324/E323,"-")</f>
        <v/>
      </c>
      <c r="F325" s="71">
        <f>IFERROR(F324/F323,"-")</f>
        <v/>
      </c>
      <c r="G325" s="71">
        <f>IFERROR(G324/G323,"-")</f>
        <v/>
      </c>
      <c r="H325" s="71">
        <f>IFERROR(H324/H323,"-")</f>
        <v/>
      </c>
      <c r="I325" s="71">
        <f>IFERROR(I324/I323,"-")</f>
        <v/>
      </c>
      <c r="J325" s="71">
        <f>IFERROR(J324/J323,"-")</f>
        <v/>
      </c>
      <c r="K325" s="71">
        <f>IFERROR(K324/K323,"-")</f>
        <v/>
      </c>
      <c r="L325" s="71">
        <f>IFERROR(L324/L323,"-")</f>
        <v/>
      </c>
      <c r="M325" s="71">
        <f>IFERROR(M324/M323,"-")</f>
        <v/>
      </c>
      <c r="N325" s="71">
        <f>IFERROR(N324/N323,"-")</f>
        <v/>
      </c>
      <c r="O325" s="71">
        <f>IFERROR(O324/O323,"-")</f>
        <v/>
      </c>
      <c r="P325" s="71">
        <f>IFERROR(P324/P323,"-")</f>
        <v/>
      </c>
    </row>
    <row r="326" ht="15.75" customHeight="1" s="45">
      <c r="A326" s="61" t="n">
        <v>46078</v>
      </c>
      <c r="B326" s="62" t="inlineStr">
        <is>
          <t>Antes-Projeto</t>
        </is>
      </c>
      <c r="C326" s="72" t="inlineStr">
        <is>
          <t>Tempo Médio — 🟡 Amarelo (hh:mm)</t>
        </is>
      </c>
      <c r="D326" s="73" t="n">
        <v>0.03708333333333334</v>
      </c>
      <c r="E326" s="73" t="n">
        <v>0.05829861111111111</v>
      </c>
      <c r="F326" s="73" t="n">
        <v>0.02365740740740741</v>
      </c>
      <c r="G326" s="73" t="n">
        <v>0.02201388888888889</v>
      </c>
      <c r="H326" s="73" t="n">
        <v>0.07148148148148148</v>
      </c>
      <c r="I326" s="73" t="n">
        <v>0.1244560185185185</v>
      </c>
      <c r="J326" s="73" t="n">
        <v>0.03670138888888889</v>
      </c>
      <c r="K326" s="73" t="n">
        <v>0.1233217592592593</v>
      </c>
      <c r="L326" s="73" t="n">
        <v>0.06253472222222223</v>
      </c>
      <c r="M326" s="73" t="n">
        <v>0.01773148148148148</v>
      </c>
      <c r="N326" s="73" t="n">
        <v>0.04398148148148148</v>
      </c>
      <c r="O326" s="73" t="n">
        <v>0.04211805555555555</v>
      </c>
      <c r="P326" s="73" t="n">
        <v>0.04793981481481482</v>
      </c>
    </row>
    <row r="327" ht="15.75" customHeight="1" s="45">
      <c r="A327" s="61" t="n">
        <v>46078</v>
      </c>
      <c r="B327" s="62" t="inlineStr">
        <is>
          <t>Antes-Projeto</t>
        </is>
      </c>
      <c r="C327" s="74" t="inlineStr">
        <is>
          <t>Tempo Médio — 🟠 Laranja (hh:mm)</t>
        </is>
      </c>
      <c r="D327" s="75" t="n">
        <v>0.008842592592592593</v>
      </c>
      <c r="E327" s="75" t="n">
        <v>0.009537037037037037</v>
      </c>
      <c r="F327" s="75" t="n">
        <v>0.006701388888888889</v>
      </c>
      <c r="G327" s="75" t="n">
        <v>0.01071759259259259</v>
      </c>
      <c r="H327" s="75" t="n">
        <v>0.01368055555555556</v>
      </c>
      <c r="I327" s="75" t="n">
        <v>0.007280092592592592</v>
      </c>
      <c r="J327" s="75" t="n">
        <v>0.007048611111111111</v>
      </c>
      <c r="K327" s="75" t="n">
        <v>0.02459490740740741</v>
      </c>
      <c r="L327" s="75" t="n">
        <v>0.01674768518518518</v>
      </c>
      <c r="M327" s="75" t="n">
        <v>0.01128472222222222</v>
      </c>
      <c r="N327" s="75" t="n">
        <v>0.01446759259259259</v>
      </c>
      <c r="O327" s="75" t="n">
        <v>0.01065972222222222</v>
      </c>
      <c r="P327" s="75" t="n">
        <v>0.009652777777777777</v>
      </c>
    </row>
    <row r="328" ht="15.75" customHeight="1" s="45">
      <c r="A328" s="76" t="n">
        <v>46078</v>
      </c>
      <c r="B328" s="77" t="inlineStr">
        <is>
          <t>Antes-Projeto</t>
        </is>
      </c>
      <c r="C328" s="78" t="inlineStr">
        <is>
          <t>Tempo Médio — 🟢 Verde   (hh:mm)</t>
        </is>
      </c>
      <c r="D328" s="79" t="n">
        <v>0.05291666666666667</v>
      </c>
      <c r="E328" s="79" t="n">
        <v>0.1509837962962963</v>
      </c>
      <c r="F328" s="79" t="n">
        <v>0.07664351851851851</v>
      </c>
      <c r="G328" s="79" t="n">
        <v>0.03879629629629629</v>
      </c>
      <c r="H328" s="79" t="n">
        <v>0.08280092592592593</v>
      </c>
      <c r="I328" s="79" t="n">
        <v>0.1836226851851852</v>
      </c>
      <c r="J328" s="79" t="n">
        <v>0.09261574074074073</v>
      </c>
      <c r="K328" s="79" t="n">
        <v>0.09208333333333334</v>
      </c>
      <c r="L328" s="79" t="n">
        <v>0.1446875</v>
      </c>
      <c r="M328" s="79" t="n">
        <v>0.06167824074074074</v>
      </c>
      <c r="N328" s="79" t="n">
        <v>0.1387615740740741</v>
      </c>
      <c r="O328" s="79" t="n">
        <v>0.0581712962962963</v>
      </c>
      <c r="P328" s="79" t="n">
        <v>0.1398842592592593</v>
      </c>
    </row>
    <row r="329" ht="15.75" customHeight="1" s="45">
      <c r="A329" s="57" t="n">
        <v>46079</v>
      </c>
      <c r="B329" s="58" t="inlineStr">
        <is>
          <t>Antes-Projeto</t>
        </is>
      </c>
      <c r="C329" s="59" t="inlineStr">
        <is>
          <t>Acolhim. + Atend. Urgência + Atend. UPA</t>
        </is>
      </c>
      <c r="D329" s="60">
        <f>SUM(D330:D332)</f>
        <v/>
      </c>
      <c r="E329" s="60">
        <f>SUM(E330:E332)</f>
        <v/>
      </c>
      <c r="F329" s="60">
        <f>SUM(F330:F332)</f>
        <v/>
      </c>
      <c r="G329" s="60">
        <f>SUM(G330:G332)</f>
        <v/>
      </c>
      <c r="H329" s="60">
        <f>SUM(H330:H332)</f>
        <v/>
      </c>
      <c r="I329" s="60">
        <f>SUM(I330:I332)</f>
        <v/>
      </c>
      <c r="J329" s="60">
        <f>SUM(J330:J332)</f>
        <v/>
      </c>
      <c r="K329" s="60">
        <f>SUM(K330:K332)</f>
        <v/>
      </c>
      <c r="L329" s="60">
        <f>SUM(L330:L332)</f>
        <v/>
      </c>
      <c r="M329" s="60">
        <f>SUM(M330:M332)</f>
        <v/>
      </c>
      <c r="N329" s="60">
        <f>SUM(N330:N332)</f>
        <v/>
      </c>
      <c r="O329" s="60">
        <f>SUM(O330:O332)</f>
        <v/>
      </c>
      <c r="P329" s="60">
        <f>SUM(P330:P332)</f>
        <v/>
      </c>
    </row>
    <row r="330" ht="15.75" customHeight="1" s="45">
      <c r="A330" s="61" t="n">
        <v>46079</v>
      </c>
      <c r="B330" s="62" t="inlineStr">
        <is>
          <t>Antes-Projeto</t>
        </is>
      </c>
      <c r="C330" s="65" t="inlineStr">
        <is>
          <t>Acolhimento c/ Classif. de Risco</t>
        </is>
      </c>
      <c r="D330" s="66" t="n">
        <v>188</v>
      </c>
      <c r="E330" s="66" t="n">
        <v>135</v>
      </c>
      <c r="F330" s="66" t="n">
        <v>147</v>
      </c>
      <c r="G330" s="66" t="n">
        <v>112</v>
      </c>
      <c r="H330" s="66" t="n">
        <v>138</v>
      </c>
      <c r="I330" s="66" t="n">
        <v>170</v>
      </c>
      <c r="J330" s="66" t="n">
        <v>111</v>
      </c>
      <c r="K330" s="66" t="n">
        <v>236</v>
      </c>
      <c r="L330" s="66" t="n">
        <v>123</v>
      </c>
      <c r="M330" s="66" t="n">
        <v>184</v>
      </c>
      <c r="N330" s="66" t="n">
        <v>187</v>
      </c>
      <c r="O330" s="66" t="n">
        <v>234</v>
      </c>
      <c r="P330" s="66" t="n">
        <v>192</v>
      </c>
    </row>
    <row r="331" ht="15.75" customHeight="1" s="45">
      <c r="A331" s="61" t="n">
        <v>46079</v>
      </c>
      <c r="B331" s="62" t="inlineStr">
        <is>
          <t>Antes-Projeto</t>
        </is>
      </c>
      <c r="C331" s="63" t="inlineStr">
        <is>
          <t>Atend. Urgência Obs. ≤ 24h</t>
        </is>
      </c>
      <c r="D331" s="64" t="n">
        <v>18</v>
      </c>
      <c r="E331" s="64" t="n">
        <v>22</v>
      </c>
      <c r="F331" s="64" t="n">
        <v>21</v>
      </c>
      <c r="G331" s="64" t="n">
        <v>20</v>
      </c>
      <c r="H331" s="64" t="n">
        <v>14</v>
      </c>
      <c r="I331" s="64" t="n">
        <v>11</v>
      </c>
      <c r="J331" s="64" t="n">
        <v>15</v>
      </c>
      <c r="K331" s="64" t="n">
        <v>31</v>
      </c>
      <c r="L331" s="64" t="n">
        <v>54</v>
      </c>
      <c r="M331" s="64" t="n">
        <v>13</v>
      </c>
      <c r="N331" s="64" t="n">
        <v>35</v>
      </c>
      <c r="O331" s="64" t="n">
        <v>12</v>
      </c>
      <c r="P331" s="64" t="n">
        <v>22</v>
      </c>
    </row>
    <row r="332" ht="15.75" customHeight="1" s="45">
      <c r="A332" s="61" t="n">
        <v>46079</v>
      </c>
      <c r="B332" s="62" t="inlineStr">
        <is>
          <t>Antes-Projeto</t>
        </is>
      </c>
      <c r="C332" s="65" t="inlineStr">
        <is>
          <t>Atend. Médico em UPA</t>
        </is>
      </c>
      <c r="D332" s="66" t="n">
        <v>160</v>
      </c>
      <c r="E332" s="66" t="n">
        <v>72</v>
      </c>
      <c r="F332" s="66" t="n">
        <v>102</v>
      </c>
      <c r="G332" s="66" t="n">
        <v>64</v>
      </c>
      <c r="H332" s="66" t="n">
        <v>98</v>
      </c>
      <c r="I332" s="66" t="n">
        <v>140</v>
      </c>
      <c r="J332" s="66" t="n">
        <v>113</v>
      </c>
      <c r="K332" s="66" t="n">
        <v>208</v>
      </c>
      <c r="L332" s="66" t="n">
        <v>85</v>
      </c>
      <c r="M332" s="66" t="n">
        <v>101</v>
      </c>
      <c r="N332" s="66" t="n">
        <v>175</v>
      </c>
      <c r="O332" s="66" t="n">
        <v>195</v>
      </c>
      <c r="P332" s="66" t="n">
        <v>105</v>
      </c>
    </row>
    <row r="333" ht="15.75" customHeight="1" s="45">
      <c r="A333" s="61" t="n">
        <v>46079</v>
      </c>
      <c r="B333" s="62" t="inlineStr">
        <is>
          <t>Antes-Projeto</t>
        </is>
      </c>
      <c r="C333" s="63" t="inlineStr">
        <is>
          <t>Exames Laboratoriais</t>
        </is>
      </c>
      <c r="D333" s="64" t="n">
        <v>569</v>
      </c>
      <c r="E333" s="64" t="n">
        <v>283</v>
      </c>
      <c r="F333" s="64" t="n">
        <v>118</v>
      </c>
      <c r="G333" s="64" t="n">
        <v>391</v>
      </c>
      <c r="H333" s="64" t="n">
        <v>252</v>
      </c>
      <c r="I333" s="64" t="n">
        <v>489</v>
      </c>
      <c r="J333" s="64" t="n">
        <v>239</v>
      </c>
      <c r="K333" s="64" t="n">
        <v>791</v>
      </c>
      <c r="L333" s="64" t="n">
        <v>503</v>
      </c>
      <c r="M333" s="64" t="n">
        <v>649</v>
      </c>
      <c r="N333" s="64" t="n">
        <v>502</v>
      </c>
      <c r="O333" s="64" t="n">
        <v>342</v>
      </c>
      <c r="P333" s="64" t="n">
        <v>439</v>
      </c>
    </row>
    <row r="334" ht="15.75" customHeight="1" s="45">
      <c r="A334" s="61" t="n">
        <v>46079</v>
      </c>
      <c r="B334" s="62" t="inlineStr">
        <is>
          <t>Antes-Projeto</t>
        </is>
      </c>
      <c r="C334" s="65" t="inlineStr">
        <is>
          <t>Radiografias</t>
        </is>
      </c>
      <c r="D334" s="66" t="n">
        <v>26</v>
      </c>
      <c r="E334" s="67" t="n">
        <v>0</v>
      </c>
      <c r="F334" s="66" t="n">
        <v>35</v>
      </c>
      <c r="G334" s="66" t="n">
        <v>27</v>
      </c>
      <c r="H334" s="66" t="n">
        <v>7</v>
      </c>
      <c r="I334" s="66" t="n">
        <v>21</v>
      </c>
      <c r="J334" s="66" t="n">
        <v>10</v>
      </c>
      <c r="K334" s="66" t="n">
        <v>37</v>
      </c>
      <c r="L334" s="66" t="n">
        <v>31</v>
      </c>
      <c r="M334" s="66" t="n">
        <v>39</v>
      </c>
      <c r="N334" s="66" t="n">
        <v>26</v>
      </c>
      <c r="O334" s="66" t="n">
        <v>41</v>
      </c>
      <c r="P334" s="66" t="n">
        <v>51</v>
      </c>
    </row>
    <row r="335" ht="15.75" customHeight="1" s="45">
      <c r="A335" s="61" t="n">
        <v>46079</v>
      </c>
      <c r="B335" s="62" t="inlineStr">
        <is>
          <t>Antes-Projeto</t>
        </is>
      </c>
      <c r="C335" s="63" t="inlineStr">
        <is>
          <t>Eletrocardiogramas</t>
        </is>
      </c>
      <c r="D335" s="64" t="n">
        <v>21</v>
      </c>
      <c r="E335" s="64" t="n">
        <v>12</v>
      </c>
      <c r="F335" s="64" t="n">
        <v>25</v>
      </c>
      <c r="G335" s="64" t="n">
        <v>16</v>
      </c>
      <c r="H335" s="64" t="n">
        <v>7</v>
      </c>
      <c r="I335" s="64" t="n">
        <v>17</v>
      </c>
      <c r="J335" s="64" t="n">
        <v>8</v>
      </c>
      <c r="K335" s="64" t="n">
        <v>17</v>
      </c>
      <c r="L335" s="64" t="n">
        <v>10</v>
      </c>
      <c r="M335" s="64" t="n">
        <v>16</v>
      </c>
      <c r="N335" s="64" t="n">
        <v>17</v>
      </c>
      <c r="O335" s="64" t="n">
        <v>8</v>
      </c>
      <c r="P335" s="64" t="n">
        <v>20</v>
      </c>
    </row>
    <row r="336" ht="15.75" customHeight="1" s="45">
      <c r="A336" s="61" t="n">
        <v>46079</v>
      </c>
      <c r="B336" s="62" t="inlineStr">
        <is>
          <t>Antes-Projeto</t>
        </is>
      </c>
      <c r="C336" s="68" t="inlineStr">
        <is>
          <t>GAEs Abertas</t>
        </is>
      </c>
      <c r="D336" s="69" t="n">
        <v>190</v>
      </c>
      <c r="E336" s="69" t="n">
        <v>160</v>
      </c>
      <c r="F336" s="69" t="n">
        <v>157</v>
      </c>
      <c r="G336" s="69" t="n">
        <v>113</v>
      </c>
      <c r="H336" s="69" t="n">
        <v>142</v>
      </c>
      <c r="I336" s="69" t="n">
        <v>177</v>
      </c>
      <c r="J336" s="69" t="n">
        <v>114</v>
      </c>
      <c r="K336" s="69" t="n">
        <v>252</v>
      </c>
      <c r="L336" s="69" t="n">
        <v>124</v>
      </c>
      <c r="M336" s="69" t="n">
        <v>217</v>
      </c>
      <c r="N336" s="69" t="n">
        <v>187</v>
      </c>
      <c r="O336" s="69" t="n">
        <v>250</v>
      </c>
      <c r="P336" s="69" t="n">
        <v>199</v>
      </c>
    </row>
    <row r="337" ht="15.75" customHeight="1" s="45">
      <c r="A337" s="61" t="n">
        <v>46079</v>
      </c>
      <c r="B337" s="62" t="inlineStr">
        <is>
          <t>Antes-Projeto</t>
        </is>
      </c>
      <c r="C337" s="68" t="inlineStr">
        <is>
          <t>GAEs Classificadas</t>
        </is>
      </c>
      <c r="D337" s="69" t="n">
        <v>186</v>
      </c>
      <c r="E337" s="69" t="n">
        <v>136</v>
      </c>
      <c r="F337" s="69" t="n">
        <v>147</v>
      </c>
      <c r="G337" s="69" t="n">
        <v>113</v>
      </c>
      <c r="H337" s="69" t="n">
        <v>137</v>
      </c>
      <c r="I337" s="69" t="n">
        <v>169</v>
      </c>
      <c r="J337" s="69" t="n">
        <v>111</v>
      </c>
      <c r="K337" s="69" t="n">
        <v>236</v>
      </c>
      <c r="L337" s="69" t="n">
        <v>121</v>
      </c>
      <c r="M337" s="69" t="n">
        <v>182</v>
      </c>
      <c r="N337" s="69" t="n">
        <v>177</v>
      </c>
      <c r="O337" s="69" t="n">
        <v>232</v>
      </c>
      <c r="P337" s="69" t="n">
        <v>192</v>
      </c>
    </row>
    <row r="338" ht="15.75" customHeight="1" s="45">
      <c r="A338" s="61" t="n">
        <v>46079</v>
      </c>
      <c r="B338" s="62" t="inlineStr">
        <is>
          <t>Antes-Projeto</t>
        </is>
      </c>
      <c r="C338" s="70" t="inlineStr">
        <is>
          <t>Percentual de GAEs abertas classificadas</t>
        </is>
      </c>
      <c r="D338" s="71">
        <f>IFERROR(D337/D336,"-")</f>
        <v/>
      </c>
      <c r="E338" s="71">
        <f>IFERROR(E337/E336,"-")</f>
        <v/>
      </c>
      <c r="F338" s="71">
        <f>IFERROR(F337/F336,"-")</f>
        <v/>
      </c>
      <c r="G338" s="71">
        <f>IFERROR(G337/G336,"-")</f>
        <v/>
      </c>
      <c r="H338" s="71">
        <f>IFERROR(H337/H336,"-")</f>
        <v/>
      </c>
      <c r="I338" s="71">
        <f>IFERROR(I337/I336,"-")</f>
        <v/>
      </c>
      <c r="J338" s="71">
        <f>IFERROR(J337/J336,"-")</f>
        <v/>
      </c>
      <c r="K338" s="71">
        <f>IFERROR(K337/K336,"-")</f>
        <v/>
      </c>
      <c r="L338" s="71">
        <f>IFERROR(L337/L336,"-")</f>
        <v/>
      </c>
      <c r="M338" s="71">
        <f>IFERROR(M337/M336,"-")</f>
        <v/>
      </c>
      <c r="N338" s="71">
        <f>IFERROR(N337/N336,"-")</f>
        <v/>
      </c>
      <c r="O338" s="71">
        <f>IFERROR(O337/O336,"-")</f>
        <v/>
      </c>
      <c r="P338" s="71">
        <f>IFERROR(P337/P336,"-")</f>
        <v/>
      </c>
    </row>
    <row r="339" ht="15.75" customHeight="1" s="45">
      <c r="A339" s="61" t="n">
        <v>46079</v>
      </c>
      <c r="B339" s="62" t="inlineStr">
        <is>
          <t>Antes-Projeto</t>
        </is>
      </c>
      <c r="C339" s="72" t="inlineStr">
        <is>
          <t>Tempo Médio — 🟡 Amarelo (hh:mm)</t>
        </is>
      </c>
      <c r="D339" s="73" t="n">
        <v>0.02484953703703704</v>
      </c>
      <c r="E339" s="73" t="n">
        <v>0.04059027777777778</v>
      </c>
      <c r="F339" s="73" t="n">
        <v>0.05556712962962963</v>
      </c>
      <c r="G339" s="73" t="n">
        <v>0.03268518518518519</v>
      </c>
      <c r="H339" s="73" t="n">
        <v>0.06627314814814815</v>
      </c>
      <c r="I339" s="73" t="n">
        <v>0.04269675925925926</v>
      </c>
      <c r="J339" s="73" t="n">
        <v>0.02188657407407408</v>
      </c>
      <c r="K339" s="73" t="n">
        <v>0.03795138888888889</v>
      </c>
      <c r="L339" s="73" t="n">
        <v>0.1022916666666667</v>
      </c>
      <c r="M339" s="73" t="n">
        <v>0.01321759259259259</v>
      </c>
      <c r="N339" s="73" t="n">
        <v>0.09600694444444445</v>
      </c>
      <c r="O339" s="73" t="n">
        <v>0.02180555555555556</v>
      </c>
      <c r="P339" s="73" t="n">
        <v>0.06503472222222222</v>
      </c>
    </row>
    <row r="340" ht="15.75" customHeight="1" s="45">
      <c r="A340" s="61" t="n">
        <v>46079</v>
      </c>
      <c r="B340" s="62" t="inlineStr">
        <is>
          <t>Antes-Projeto</t>
        </is>
      </c>
      <c r="C340" s="74" t="inlineStr">
        <is>
          <t>Tempo Médio — 🟠 Laranja (hh:mm)</t>
        </is>
      </c>
      <c r="D340" s="75" t="n">
        <v>0.005451388888888889</v>
      </c>
      <c r="E340" s="75" t="n">
        <v>0.02434027777777778</v>
      </c>
      <c r="F340" s="75" t="n">
        <v>0.0100462962962963</v>
      </c>
      <c r="G340" s="75" t="n">
        <v>0.01462962962962963</v>
      </c>
      <c r="H340" s="75" t="n">
        <v>0.00244212962962963</v>
      </c>
      <c r="I340" s="75" t="n">
        <v>0.006064814814814815</v>
      </c>
      <c r="J340" s="75" t="n">
        <v>0.005497685185185185</v>
      </c>
      <c r="K340" s="75" t="n">
        <v>0.008877314814814815</v>
      </c>
      <c r="L340" s="75" t="n">
        <v>0.01819444444444444</v>
      </c>
      <c r="M340" s="75" t="n">
        <v>0.04539351851851852</v>
      </c>
      <c r="N340" s="75" t="n">
        <v>0.01100694444444444</v>
      </c>
      <c r="O340" s="75" t="n">
        <v>0.008923611111111111</v>
      </c>
      <c r="P340" s="75" t="n">
        <v>0.02520833333333333</v>
      </c>
    </row>
    <row r="341" ht="15.75" customHeight="1" s="45">
      <c r="A341" s="76" t="n">
        <v>46079</v>
      </c>
      <c r="B341" s="77" t="inlineStr">
        <is>
          <t>Antes-Projeto</t>
        </is>
      </c>
      <c r="C341" s="78" t="inlineStr">
        <is>
          <t>Tempo Médio — 🟢 Verde   (hh:mm)</t>
        </is>
      </c>
      <c r="D341" s="79" t="n">
        <v>0.0578125</v>
      </c>
      <c r="E341" s="79" t="n">
        <v>0.07284722222222222</v>
      </c>
      <c r="F341" s="79" t="n">
        <v>0.1065046296296296</v>
      </c>
      <c r="G341" s="79" t="n">
        <v>0.05787037037037037</v>
      </c>
      <c r="H341" s="79" t="n">
        <v>0.1374305555555556</v>
      </c>
      <c r="I341" s="79" t="n">
        <v>0.1266782407407407</v>
      </c>
      <c r="J341" s="79" t="n">
        <v>0.06771990740740741</v>
      </c>
      <c r="K341" s="79" t="n">
        <v>0.09627314814814815</v>
      </c>
      <c r="L341" s="79" t="n">
        <v>0.1514930555555556</v>
      </c>
      <c r="M341" s="79" t="n">
        <v>0.01747685185185185</v>
      </c>
      <c r="N341" s="79" t="n">
        <v>0.09759259259259259</v>
      </c>
      <c r="O341" s="79" t="n">
        <v>0.0362962962962963</v>
      </c>
      <c r="P341" s="79" t="n">
        <v>0.1107638888888889</v>
      </c>
    </row>
    <row r="342" ht="15.75" customHeight="1" s="45">
      <c r="A342" s="57" t="n">
        <v>46080</v>
      </c>
      <c r="B342" s="58" t="inlineStr">
        <is>
          <t>Antes-Projeto</t>
        </is>
      </c>
      <c r="C342" s="59" t="inlineStr">
        <is>
          <t>Acolhim. + Atend. Urgência + Atend. UPA</t>
        </is>
      </c>
      <c r="D342" s="60">
        <f>SUM(D343:D345)</f>
        <v/>
      </c>
      <c r="E342" s="60">
        <f>SUM(E343:E345)</f>
        <v/>
      </c>
      <c r="F342" s="60">
        <f>SUM(F343:F345)</f>
        <v/>
      </c>
      <c r="G342" s="60">
        <f>SUM(G343:G345)</f>
        <v/>
      </c>
      <c r="H342" s="60">
        <f>SUM(H343:H345)</f>
        <v/>
      </c>
      <c r="I342" s="60">
        <f>SUM(I343:I345)</f>
        <v/>
      </c>
      <c r="J342" s="60">
        <f>SUM(J343:J345)</f>
        <v/>
      </c>
      <c r="K342" s="60">
        <f>SUM(K343:K345)</f>
        <v/>
      </c>
      <c r="L342" s="60">
        <f>SUM(L343:L345)</f>
        <v/>
      </c>
      <c r="M342" s="60">
        <f>SUM(M343:M345)</f>
        <v/>
      </c>
      <c r="N342" s="60">
        <f>SUM(N343:N345)</f>
        <v/>
      </c>
      <c r="O342" s="60">
        <f>SUM(O343:O345)</f>
        <v/>
      </c>
      <c r="P342" s="60">
        <f>SUM(P343:P345)</f>
        <v/>
      </c>
    </row>
    <row r="343" ht="15.75" customHeight="1" s="45">
      <c r="A343" s="61" t="n">
        <v>46080</v>
      </c>
      <c r="B343" s="62" t="inlineStr">
        <is>
          <t>Antes-Projeto</t>
        </is>
      </c>
      <c r="C343" s="63" t="inlineStr">
        <is>
          <t>Acolhimento c/ Classif. de Risco</t>
        </is>
      </c>
      <c r="D343" s="64" t="n">
        <v>219</v>
      </c>
      <c r="E343" s="64" t="n">
        <v>129</v>
      </c>
      <c r="F343" s="64" t="n">
        <v>154</v>
      </c>
      <c r="G343" s="64" t="n">
        <v>113</v>
      </c>
      <c r="H343" s="64" t="n">
        <v>109</v>
      </c>
      <c r="I343" s="64" t="n">
        <v>161</v>
      </c>
      <c r="J343" s="64" t="n">
        <v>117</v>
      </c>
      <c r="K343" s="64" t="n">
        <v>258</v>
      </c>
      <c r="L343" s="64" t="n">
        <v>125</v>
      </c>
      <c r="M343" s="64" t="n">
        <v>225</v>
      </c>
      <c r="N343" s="64" t="n">
        <v>182</v>
      </c>
      <c r="O343" s="64" t="n">
        <v>242</v>
      </c>
      <c r="P343" s="64" t="n">
        <v>228</v>
      </c>
    </row>
    <row r="344" ht="15.75" customHeight="1" s="45">
      <c r="A344" s="61" t="n">
        <v>46080</v>
      </c>
      <c r="B344" s="62" t="inlineStr">
        <is>
          <t>Antes-Projeto</t>
        </is>
      </c>
      <c r="C344" s="65" t="inlineStr">
        <is>
          <t>Atend. Urgência Obs. ≤ 24h</t>
        </is>
      </c>
      <c r="D344" s="66" t="n">
        <v>16</v>
      </c>
      <c r="E344" s="66" t="n">
        <v>16</v>
      </c>
      <c r="F344" s="66" t="n">
        <v>19</v>
      </c>
      <c r="G344" s="66" t="n">
        <v>13</v>
      </c>
      <c r="H344" s="66" t="n">
        <v>10</v>
      </c>
      <c r="I344" s="66" t="n">
        <v>9</v>
      </c>
      <c r="J344" s="66" t="n">
        <v>19</v>
      </c>
      <c r="K344" s="66" t="n">
        <v>29</v>
      </c>
      <c r="L344" s="66" t="n">
        <v>32</v>
      </c>
      <c r="M344" s="66" t="n">
        <v>27</v>
      </c>
      <c r="N344" s="66" t="n">
        <v>46</v>
      </c>
      <c r="O344" s="66" t="n">
        <v>4</v>
      </c>
      <c r="P344" s="66" t="n">
        <v>24</v>
      </c>
    </row>
    <row r="345" ht="15.75" customHeight="1" s="45">
      <c r="A345" s="61" t="n">
        <v>46080</v>
      </c>
      <c r="B345" s="62" t="inlineStr">
        <is>
          <t>Antes-Projeto</t>
        </is>
      </c>
      <c r="C345" s="63" t="inlineStr">
        <is>
          <t>Atend. Médico em UPA</t>
        </is>
      </c>
      <c r="D345" s="64" t="n">
        <v>186</v>
      </c>
      <c r="E345" s="64" t="n">
        <v>44</v>
      </c>
      <c r="F345" s="64" t="n">
        <v>72</v>
      </c>
      <c r="G345" s="64" t="n">
        <v>64</v>
      </c>
      <c r="H345" s="64" t="n">
        <v>64</v>
      </c>
      <c r="I345" s="64" t="n">
        <v>132</v>
      </c>
      <c r="J345" s="64" t="n">
        <v>83</v>
      </c>
      <c r="K345" s="64" t="n">
        <v>188</v>
      </c>
      <c r="L345" s="64" t="n">
        <v>108</v>
      </c>
      <c r="M345" s="64" t="n">
        <v>130</v>
      </c>
      <c r="N345" s="64" t="n">
        <v>184</v>
      </c>
      <c r="O345" s="64" t="n">
        <v>202</v>
      </c>
      <c r="P345" s="64" t="n">
        <v>110</v>
      </c>
    </row>
    <row r="346" ht="15.75" customHeight="1" s="45">
      <c r="A346" s="61" t="n">
        <v>46080</v>
      </c>
      <c r="B346" s="62" t="inlineStr">
        <is>
          <t>Antes-Projeto</t>
        </is>
      </c>
      <c r="C346" s="65" t="inlineStr">
        <is>
          <t>Exames Laboratoriais</t>
        </is>
      </c>
      <c r="D346" s="66" t="n">
        <v>557</v>
      </c>
      <c r="E346" s="66" t="n">
        <v>311</v>
      </c>
      <c r="F346" s="66" t="n">
        <v>270</v>
      </c>
      <c r="G346" s="66" t="n">
        <v>419</v>
      </c>
      <c r="H346" s="66" t="n">
        <v>352</v>
      </c>
      <c r="I346" s="66" t="n">
        <v>459</v>
      </c>
      <c r="J346" s="66" t="n">
        <v>294</v>
      </c>
      <c r="K346" s="66" t="n">
        <v>837</v>
      </c>
      <c r="L346" s="66" t="n">
        <v>585</v>
      </c>
      <c r="M346" s="66" t="n">
        <v>593</v>
      </c>
      <c r="N346" s="66" t="n">
        <v>547</v>
      </c>
      <c r="O346" s="66" t="n">
        <v>273</v>
      </c>
      <c r="P346" s="66" t="n">
        <v>698</v>
      </c>
    </row>
    <row r="347" ht="15.75" customHeight="1" s="45">
      <c r="A347" s="61" t="n">
        <v>46080</v>
      </c>
      <c r="B347" s="62" t="inlineStr">
        <is>
          <t>Antes-Projeto</t>
        </is>
      </c>
      <c r="C347" s="63" t="inlineStr">
        <is>
          <t>Radiografias</t>
        </is>
      </c>
      <c r="D347" s="64" t="n">
        <v>31</v>
      </c>
      <c r="E347" s="67" t="n">
        <v>0</v>
      </c>
      <c r="F347" s="64" t="n">
        <v>14</v>
      </c>
      <c r="G347" s="64" t="n">
        <v>21</v>
      </c>
      <c r="H347" s="64" t="n">
        <v>12</v>
      </c>
      <c r="I347" s="64" t="n">
        <v>17</v>
      </c>
      <c r="J347" s="64" t="n">
        <v>11</v>
      </c>
      <c r="K347" s="64" t="n">
        <v>49</v>
      </c>
      <c r="L347" s="64" t="n">
        <v>17</v>
      </c>
      <c r="M347" s="64" t="n">
        <v>56</v>
      </c>
      <c r="N347" s="64" t="n">
        <v>30</v>
      </c>
      <c r="O347" s="64" t="n">
        <v>31</v>
      </c>
      <c r="P347" s="64" t="n">
        <v>43</v>
      </c>
    </row>
    <row r="348" ht="15.75" customHeight="1" s="45">
      <c r="A348" s="61" t="n">
        <v>46080</v>
      </c>
      <c r="B348" s="62" t="inlineStr">
        <is>
          <t>Antes-Projeto</t>
        </is>
      </c>
      <c r="C348" s="65" t="inlineStr">
        <is>
          <t>Eletrocardiogramas</t>
        </is>
      </c>
      <c r="D348" s="66" t="n">
        <v>9</v>
      </c>
      <c r="E348" s="66" t="n">
        <v>3</v>
      </c>
      <c r="F348" s="66" t="n">
        <v>12</v>
      </c>
      <c r="G348" s="66" t="n">
        <v>9</v>
      </c>
      <c r="H348" s="66" t="n">
        <v>9</v>
      </c>
      <c r="I348" s="66" t="n">
        <v>21</v>
      </c>
      <c r="J348" s="66" t="n">
        <v>7</v>
      </c>
      <c r="K348" s="66" t="n">
        <v>21</v>
      </c>
      <c r="L348" s="66" t="n">
        <v>14</v>
      </c>
      <c r="M348" s="66" t="n">
        <v>15</v>
      </c>
      <c r="N348" s="66" t="n">
        <v>17</v>
      </c>
      <c r="O348" s="66" t="n">
        <v>14</v>
      </c>
      <c r="P348" s="66" t="n">
        <v>19</v>
      </c>
    </row>
    <row r="349" ht="15.75" customHeight="1" s="45">
      <c r="A349" s="61" t="n">
        <v>46080</v>
      </c>
      <c r="B349" s="62" t="inlineStr">
        <is>
          <t>Antes-Projeto</t>
        </is>
      </c>
      <c r="C349" s="68" t="inlineStr">
        <is>
          <t>GAEs Abertas</t>
        </is>
      </c>
      <c r="D349" s="69" t="n">
        <v>223</v>
      </c>
      <c r="E349" s="69" t="n">
        <v>133</v>
      </c>
      <c r="F349" s="69" t="n">
        <v>161</v>
      </c>
      <c r="G349" s="69" t="n">
        <v>117</v>
      </c>
      <c r="H349" s="69" t="n">
        <v>112</v>
      </c>
      <c r="I349" s="69" t="n">
        <v>168</v>
      </c>
      <c r="J349" s="69" t="n">
        <v>119</v>
      </c>
      <c r="K349" s="69" t="n">
        <v>271</v>
      </c>
      <c r="L349" s="69" t="n">
        <v>128</v>
      </c>
      <c r="M349" s="69" t="n">
        <v>250</v>
      </c>
      <c r="N349" s="69" t="n">
        <v>182</v>
      </c>
      <c r="O349" s="69" t="n">
        <v>252</v>
      </c>
      <c r="P349" s="69" t="n">
        <v>234</v>
      </c>
    </row>
    <row r="350" ht="15.75" customHeight="1" s="45">
      <c r="A350" s="61" t="n">
        <v>46080</v>
      </c>
      <c r="B350" s="62" t="inlineStr">
        <is>
          <t>Antes-Projeto</t>
        </is>
      </c>
      <c r="C350" s="68" t="inlineStr">
        <is>
          <t>GAEs Classificadas</t>
        </is>
      </c>
      <c r="D350" s="69" t="n">
        <v>219</v>
      </c>
      <c r="E350" s="69" t="n">
        <v>128</v>
      </c>
      <c r="F350" s="69" t="n">
        <v>154</v>
      </c>
      <c r="G350" s="69" t="n">
        <v>114</v>
      </c>
      <c r="H350" s="69" t="n">
        <v>109</v>
      </c>
      <c r="I350" s="69" t="n">
        <v>158</v>
      </c>
      <c r="J350" s="69" t="n">
        <v>118</v>
      </c>
      <c r="K350" s="69" t="n">
        <v>258</v>
      </c>
      <c r="L350" s="69" t="n">
        <v>127</v>
      </c>
      <c r="M350" s="69" t="n">
        <v>227</v>
      </c>
      <c r="N350" s="69" t="n">
        <v>167</v>
      </c>
      <c r="O350" s="69" t="n">
        <v>247</v>
      </c>
      <c r="P350" s="69" t="n">
        <v>225</v>
      </c>
    </row>
    <row r="351" ht="15.75" customHeight="1" s="45">
      <c r="A351" s="61" t="n">
        <v>46080</v>
      </c>
      <c r="B351" s="62" t="inlineStr">
        <is>
          <t>Antes-Projeto</t>
        </is>
      </c>
      <c r="C351" s="70" t="inlineStr">
        <is>
          <t>Percentual de GAEs abertas classificadas</t>
        </is>
      </c>
      <c r="D351" s="71">
        <f>IFERROR(D350/D349,"-")</f>
        <v/>
      </c>
      <c r="E351" s="71">
        <f>IFERROR(E350/E349,"-")</f>
        <v/>
      </c>
      <c r="F351" s="71">
        <f>IFERROR(F350/F349,"-")</f>
        <v/>
      </c>
      <c r="G351" s="71">
        <f>IFERROR(G350/G349,"-")</f>
        <v/>
      </c>
      <c r="H351" s="71">
        <f>IFERROR(H350/H349,"-")</f>
        <v/>
      </c>
      <c r="I351" s="71">
        <f>IFERROR(I350/I349,"-")</f>
        <v/>
      </c>
      <c r="J351" s="71">
        <f>IFERROR(J350/J349,"-")</f>
        <v/>
      </c>
      <c r="K351" s="71">
        <f>IFERROR(K350/K349,"-")</f>
        <v/>
      </c>
      <c r="L351" s="71">
        <f>IFERROR(L350/L349,"-")</f>
        <v/>
      </c>
      <c r="M351" s="71">
        <f>IFERROR(M350/M349,"-")</f>
        <v/>
      </c>
      <c r="N351" s="71">
        <f>IFERROR(N350/N349,"-")</f>
        <v/>
      </c>
      <c r="O351" s="71">
        <f>IFERROR(O350/O349,"-")</f>
        <v/>
      </c>
      <c r="P351" s="71">
        <f>IFERROR(P350/P349,"-")</f>
        <v/>
      </c>
    </row>
    <row r="352" ht="15.75" customHeight="1" s="45">
      <c r="A352" s="61" t="n">
        <v>46080</v>
      </c>
      <c r="B352" s="62" t="inlineStr">
        <is>
          <t>Antes-Projeto</t>
        </is>
      </c>
      <c r="C352" s="72" t="inlineStr">
        <is>
          <t>Tempo Médio — 🟡 Amarelo (hh:mm)</t>
        </is>
      </c>
      <c r="D352" s="73" t="n">
        <v>0.03826388888888889</v>
      </c>
      <c r="E352" s="73" t="n">
        <v>0.07490740740740741</v>
      </c>
      <c r="F352" s="73" t="n">
        <v>0.0994212962962963</v>
      </c>
      <c r="G352" s="73" t="n">
        <v>0.05265046296296296</v>
      </c>
      <c r="H352" s="73" t="n">
        <v>0.1058333333333333</v>
      </c>
      <c r="I352" s="73" t="n">
        <v>0.04966435185185185</v>
      </c>
      <c r="J352" s="73" t="n">
        <v>0.09579861111111111</v>
      </c>
      <c r="K352" s="73" t="n">
        <v>0.08783564814814815</v>
      </c>
      <c r="L352" s="73" t="n">
        <v>0.06832175925925926</v>
      </c>
      <c r="M352" s="73" t="n">
        <v>0.05930555555555556</v>
      </c>
      <c r="N352" s="73" t="n">
        <v>0.03667824074074074</v>
      </c>
      <c r="O352" s="73" t="n">
        <v>0.04695601851851852</v>
      </c>
      <c r="P352" s="73" t="n">
        <v>0.1300810185185185</v>
      </c>
    </row>
    <row r="353" ht="15.75" customHeight="1" s="45">
      <c r="A353" s="61" t="n">
        <v>46080</v>
      </c>
      <c r="B353" s="62" t="inlineStr">
        <is>
          <t>Antes-Projeto</t>
        </is>
      </c>
      <c r="C353" s="74" t="inlineStr">
        <is>
          <t>Tempo Médio — 🟠 Laranja (hh:mm)</t>
        </is>
      </c>
      <c r="D353" s="75" t="n">
        <v>0.007118055555555555</v>
      </c>
      <c r="E353" s="75" t="n">
        <v>0.04145833333333333</v>
      </c>
      <c r="F353" s="75" t="n">
        <v>0.01091435185185185</v>
      </c>
      <c r="G353" s="75" t="n">
        <v>0.005324074074074074</v>
      </c>
      <c r="H353" s="75" t="n">
        <v>0.01248842592592593</v>
      </c>
      <c r="I353" s="75" t="n">
        <v>0.006597222222222222</v>
      </c>
      <c r="J353" s="75" t="n">
        <v>0.009710648148148149</v>
      </c>
      <c r="K353" s="75" t="n">
        <v>0.01509259259259259</v>
      </c>
      <c r="L353" s="75" t="n">
        <v>0.0134837962962963</v>
      </c>
      <c r="M353" s="75" t="n">
        <v>0.01356481481481481</v>
      </c>
      <c r="N353" s="75" t="n">
        <v>0.01732638888888889</v>
      </c>
      <c r="O353" s="75" t="n">
        <v>0.01028935185185185</v>
      </c>
      <c r="P353" s="75" t="n">
        <v>0.01650462962962963</v>
      </c>
    </row>
    <row r="354" ht="15.75" customHeight="1" s="45">
      <c r="A354" s="76" t="n">
        <v>46080</v>
      </c>
      <c r="B354" s="77" t="inlineStr">
        <is>
          <t>Antes-Projeto</t>
        </is>
      </c>
      <c r="C354" s="78" t="inlineStr">
        <is>
          <t>Tempo Médio — 🟢 Verde   (hh:mm)</t>
        </is>
      </c>
      <c r="D354" s="79" t="n">
        <v>0.08332175925925926</v>
      </c>
      <c r="E354" s="79" t="n">
        <v>0.1907638888888889</v>
      </c>
      <c r="F354" s="79" t="n">
        <v>0.1488310185185185</v>
      </c>
      <c r="G354" s="79" t="n">
        <v>0.07152777777777777</v>
      </c>
      <c r="H354" s="79" t="n">
        <v>0.07898148148148149</v>
      </c>
      <c r="I354" s="79" t="n">
        <v>0.05405092592592593</v>
      </c>
      <c r="J354" s="79" t="n">
        <v>0.1983796296296296</v>
      </c>
      <c r="K354" s="79" t="n">
        <v>0.08104166666666666</v>
      </c>
      <c r="L354" s="79" t="n">
        <v>0.1840046296296296</v>
      </c>
      <c r="M354" s="79" t="n">
        <v>0.1241666666666667</v>
      </c>
      <c r="N354" s="79" t="n">
        <v>0.07096064814814815</v>
      </c>
      <c r="O354" s="79" t="n">
        <v>0.07633101851851852</v>
      </c>
      <c r="P354" s="79" t="n">
        <v>0.1099421296296296</v>
      </c>
    </row>
    <row r="355" ht="15.75" customHeight="1" s="45">
      <c r="A355" s="57" t="n">
        <v>46081</v>
      </c>
      <c r="B355" s="58" t="inlineStr">
        <is>
          <t>Antes-Projeto</t>
        </is>
      </c>
      <c r="C355" s="59" t="inlineStr">
        <is>
          <t>Acolhim. + Atend. Urgência + Atend. UPA</t>
        </is>
      </c>
      <c r="D355" s="60">
        <f>SUM(D356:D358)</f>
        <v/>
      </c>
      <c r="E355" s="60">
        <f>SUM(E356:E358)</f>
        <v/>
      </c>
      <c r="F355" s="60">
        <f>SUM(F356:F358)</f>
        <v/>
      </c>
      <c r="G355" s="60">
        <f>SUM(G356:G358)</f>
        <v/>
      </c>
      <c r="H355" s="60">
        <f>SUM(H356:H358)</f>
        <v/>
      </c>
      <c r="I355" s="60">
        <f>SUM(I356:I358)</f>
        <v/>
      </c>
      <c r="J355" s="60">
        <f>SUM(J356:J358)</f>
        <v/>
      </c>
      <c r="K355" s="60">
        <f>SUM(K356:K358)</f>
        <v/>
      </c>
      <c r="L355" s="60">
        <f>SUM(L356:L358)</f>
        <v/>
      </c>
      <c r="M355" s="60">
        <f>SUM(M356:M358)</f>
        <v/>
      </c>
      <c r="N355" s="60">
        <f>SUM(N356:N358)</f>
        <v/>
      </c>
      <c r="O355" s="60">
        <f>SUM(O356:O358)</f>
        <v/>
      </c>
      <c r="P355" s="60">
        <f>SUM(P356:P358)</f>
        <v/>
      </c>
    </row>
    <row r="356" ht="15.75" customHeight="1" s="45">
      <c r="A356" s="61" t="n">
        <v>46081</v>
      </c>
      <c r="B356" s="62" t="inlineStr">
        <is>
          <t>Antes-Projeto</t>
        </is>
      </c>
      <c r="C356" s="65" t="inlineStr">
        <is>
          <t>Acolhimento c/ Classif. de Risco</t>
        </is>
      </c>
      <c r="D356" s="66" t="n">
        <v>168</v>
      </c>
      <c r="E356" s="66" t="n">
        <v>97</v>
      </c>
      <c r="F356" s="66" t="n">
        <v>149</v>
      </c>
      <c r="G356" s="66" t="n">
        <v>111</v>
      </c>
      <c r="H356" s="66" t="n">
        <v>94</v>
      </c>
      <c r="I356" s="66" t="n">
        <v>158</v>
      </c>
      <c r="J356" s="66" t="n">
        <v>119</v>
      </c>
      <c r="K356" s="66" t="n">
        <v>231</v>
      </c>
      <c r="L356" s="66" t="n">
        <v>142</v>
      </c>
      <c r="M356" s="66" t="n">
        <v>215</v>
      </c>
      <c r="N356" s="66" t="n">
        <v>203</v>
      </c>
      <c r="O356" s="66" t="n">
        <v>211</v>
      </c>
      <c r="P356" s="66" t="n">
        <v>197</v>
      </c>
    </row>
    <row r="357" ht="15.75" customHeight="1" s="45">
      <c r="A357" s="61" t="n">
        <v>46081</v>
      </c>
      <c r="B357" s="62" t="inlineStr">
        <is>
          <t>Antes-Projeto</t>
        </is>
      </c>
      <c r="C357" s="63" t="inlineStr">
        <is>
          <t>Atend. Urgência Obs. ≤ 24h</t>
        </is>
      </c>
      <c r="D357" s="64" t="n">
        <v>15</v>
      </c>
      <c r="E357" s="64" t="n">
        <v>7</v>
      </c>
      <c r="F357" s="64" t="n">
        <v>22</v>
      </c>
      <c r="G357" s="64" t="n">
        <v>8</v>
      </c>
      <c r="H357" s="64" t="n">
        <v>6</v>
      </c>
      <c r="I357" s="64" t="n">
        <v>17</v>
      </c>
      <c r="J357" s="64" t="n">
        <v>16</v>
      </c>
      <c r="K357" s="64" t="n">
        <v>25</v>
      </c>
      <c r="L357" s="64" t="n">
        <v>40</v>
      </c>
      <c r="M357" s="64" t="n">
        <v>24</v>
      </c>
      <c r="N357" s="64" t="n">
        <v>30</v>
      </c>
      <c r="O357" s="64" t="n">
        <v>10</v>
      </c>
      <c r="P357" s="64" t="n">
        <v>9</v>
      </c>
    </row>
    <row r="358" ht="15.75" customHeight="1" s="45">
      <c r="A358" s="61" t="n">
        <v>46081</v>
      </c>
      <c r="B358" s="62" t="inlineStr">
        <is>
          <t>Antes-Projeto</t>
        </is>
      </c>
      <c r="C358" s="65" t="inlineStr">
        <is>
          <t>Atend. Médico em UPA</t>
        </is>
      </c>
      <c r="D358" s="66" t="n">
        <v>122</v>
      </c>
      <c r="E358" s="66" t="n">
        <v>62</v>
      </c>
      <c r="F358" s="66" t="n">
        <v>77</v>
      </c>
      <c r="G358" s="66" t="n">
        <v>61</v>
      </c>
      <c r="H358" s="66" t="n">
        <v>66</v>
      </c>
      <c r="I358" s="66" t="n">
        <v>128</v>
      </c>
      <c r="J358" s="66" t="n">
        <v>101</v>
      </c>
      <c r="K358" s="66" t="n">
        <v>125</v>
      </c>
      <c r="L358" s="66" t="n">
        <v>98</v>
      </c>
      <c r="M358" s="66" t="n">
        <v>116</v>
      </c>
      <c r="N358" s="66" t="n">
        <v>184</v>
      </c>
      <c r="O358" s="66" t="n">
        <v>185</v>
      </c>
      <c r="P358" s="66" t="n">
        <v>91</v>
      </c>
    </row>
    <row r="359" ht="15.75" customHeight="1" s="45">
      <c r="A359" s="61" t="n">
        <v>46081</v>
      </c>
      <c r="B359" s="62" t="inlineStr">
        <is>
          <t>Antes-Projeto</t>
        </is>
      </c>
      <c r="C359" s="63" t="inlineStr">
        <is>
          <t>Exames Laboratoriais</t>
        </is>
      </c>
      <c r="D359" s="64" t="n">
        <v>569</v>
      </c>
      <c r="E359" s="64" t="n">
        <v>293</v>
      </c>
      <c r="F359" s="64" t="n">
        <v>229</v>
      </c>
      <c r="G359" s="64" t="n">
        <v>418</v>
      </c>
      <c r="H359" s="64" t="n">
        <v>233</v>
      </c>
      <c r="I359" s="64" t="n">
        <v>520</v>
      </c>
      <c r="J359" s="64" t="n">
        <v>324</v>
      </c>
      <c r="K359" s="64" t="n">
        <v>785</v>
      </c>
      <c r="L359" s="64" t="n">
        <v>465</v>
      </c>
      <c r="M359" s="64" t="n">
        <v>555</v>
      </c>
      <c r="N359" s="64" t="n">
        <v>595</v>
      </c>
      <c r="O359" s="64" t="n">
        <v>485</v>
      </c>
      <c r="P359" s="64" t="n">
        <v>483</v>
      </c>
    </row>
    <row r="360" ht="15.75" customHeight="1" s="45">
      <c r="A360" s="61" t="n">
        <v>46081</v>
      </c>
      <c r="B360" s="62" t="inlineStr">
        <is>
          <t>Antes-Projeto</t>
        </is>
      </c>
      <c r="C360" s="65" t="inlineStr">
        <is>
          <t>Radiografias</t>
        </is>
      </c>
      <c r="D360" s="66" t="n">
        <v>22</v>
      </c>
      <c r="E360" s="67" t="n">
        <v>0</v>
      </c>
      <c r="F360" s="66" t="n">
        <v>12</v>
      </c>
      <c r="G360" s="66" t="n">
        <v>14</v>
      </c>
      <c r="H360" s="66" t="n">
        <v>9</v>
      </c>
      <c r="I360" s="66" t="n">
        <v>17</v>
      </c>
      <c r="J360" s="66" t="n">
        <v>17</v>
      </c>
      <c r="K360" s="66" t="n">
        <v>33</v>
      </c>
      <c r="L360" s="66" t="n">
        <v>28</v>
      </c>
      <c r="M360" s="66" t="n">
        <v>28</v>
      </c>
      <c r="N360" s="66" t="n">
        <v>25</v>
      </c>
      <c r="O360" s="66" t="n">
        <v>39</v>
      </c>
      <c r="P360" s="66" t="n">
        <v>32</v>
      </c>
    </row>
    <row r="361" ht="15.75" customHeight="1" s="45">
      <c r="A361" s="61" t="n">
        <v>46081</v>
      </c>
      <c r="B361" s="62" t="inlineStr">
        <is>
          <t>Antes-Projeto</t>
        </is>
      </c>
      <c r="C361" s="63" t="inlineStr">
        <is>
          <t>Eletrocardiogramas</t>
        </is>
      </c>
      <c r="D361" s="64" t="n">
        <v>7</v>
      </c>
      <c r="E361" s="64" t="n">
        <v>16</v>
      </c>
      <c r="F361" s="64" t="n">
        <v>13</v>
      </c>
      <c r="G361" s="64" t="n">
        <v>8</v>
      </c>
      <c r="H361" s="64" t="n">
        <v>4</v>
      </c>
      <c r="I361" s="64" t="n">
        <v>18</v>
      </c>
      <c r="J361" s="64" t="n">
        <v>2</v>
      </c>
      <c r="K361" s="64" t="n">
        <v>17</v>
      </c>
      <c r="L361" s="64" t="n">
        <v>13</v>
      </c>
      <c r="M361" s="64" t="n">
        <v>14</v>
      </c>
      <c r="N361" s="64" t="n">
        <v>11</v>
      </c>
      <c r="O361" s="64" t="n">
        <v>11</v>
      </c>
      <c r="P361" s="64" t="n">
        <v>13</v>
      </c>
    </row>
    <row r="362" ht="15.75" customHeight="1" s="45">
      <c r="A362" s="61" t="n">
        <v>46081</v>
      </c>
      <c r="B362" s="62" t="inlineStr">
        <is>
          <t>Antes-Projeto</t>
        </is>
      </c>
      <c r="C362" s="68" t="inlineStr">
        <is>
          <t>GAEs Abertas</t>
        </is>
      </c>
      <c r="D362" s="69" t="n">
        <v>173</v>
      </c>
      <c r="E362" s="69" t="n">
        <v>99</v>
      </c>
      <c r="F362" s="69" t="n">
        <v>159</v>
      </c>
      <c r="G362" s="69" t="n">
        <v>115</v>
      </c>
      <c r="H362" s="69" t="n">
        <v>97</v>
      </c>
      <c r="I362" s="69" t="n">
        <v>168</v>
      </c>
      <c r="J362" s="69" t="n">
        <v>121</v>
      </c>
      <c r="K362" s="69" t="n">
        <v>248</v>
      </c>
      <c r="L362" s="69" t="n">
        <v>145</v>
      </c>
      <c r="M362" s="69" t="n">
        <v>216</v>
      </c>
      <c r="N362" s="69" t="n">
        <v>203</v>
      </c>
      <c r="O362" s="69" t="n">
        <v>227</v>
      </c>
      <c r="P362" s="69" t="n">
        <v>203</v>
      </c>
    </row>
    <row r="363" ht="15.75" customHeight="1" s="45">
      <c r="A363" s="61" t="n">
        <v>46081</v>
      </c>
      <c r="B363" s="62" t="inlineStr">
        <is>
          <t>Antes-Projeto</t>
        </is>
      </c>
      <c r="C363" s="68" t="inlineStr">
        <is>
          <t>GAEs Classificadas</t>
        </is>
      </c>
      <c r="D363" s="69" t="n">
        <v>168</v>
      </c>
      <c r="E363" s="69" t="n">
        <v>98</v>
      </c>
      <c r="F363" s="69" t="n">
        <v>150</v>
      </c>
      <c r="G363" s="69" t="n">
        <v>111</v>
      </c>
      <c r="H363" s="69" t="n">
        <v>94</v>
      </c>
      <c r="I363" s="69" t="n">
        <v>155</v>
      </c>
      <c r="J363" s="69" t="n">
        <v>118</v>
      </c>
      <c r="K363" s="69" t="n">
        <v>229</v>
      </c>
      <c r="L363" s="69" t="n">
        <v>140</v>
      </c>
      <c r="M363" s="69" t="n">
        <v>211</v>
      </c>
      <c r="N363" s="69" t="n">
        <v>194</v>
      </c>
      <c r="O363" s="69" t="n">
        <v>205</v>
      </c>
      <c r="P363" s="69" t="n">
        <v>197</v>
      </c>
    </row>
    <row r="364" ht="15.75" customHeight="1" s="45">
      <c r="A364" s="61" t="n">
        <v>46081</v>
      </c>
      <c r="B364" s="62" t="inlineStr">
        <is>
          <t>Antes-Projeto</t>
        </is>
      </c>
      <c r="C364" s="70" t="inlineStr">
        <is>
          <t>Percentual de GAEs abertas classificadas</t>
        </is>
      </c>
      <c r="D364" s="71">
        <f>IFERROR(D363/D362,"-")</f>
        <v/>
      </c>
      <c r="E364" s="71">
        <f>IFERROR(E363/E362,"-")</f>
        <v/>
      </c>
      <c r="F364" s="71">
        <f>IFERROR(F363/F362,"-")</f>
        <v/>
      </c>
      <c r="G364" s="71">
        <f>IFERROR(G363/G362,"-")</f>
        <v/>
      </c>
      <c r="H364" s="71">
        <f>IFERROR(H363/H362,"-")</f>
        <v/>
      </c>
      <c r="I364" s="71">
        <f>IFERROR(I363/I362,"-")</f>
        <v/>
      </c>
      <c r="J364" s="71">
        <f>IFERROR(J363/J362,"-")</f>
        <v/>
      </c>
      <c r="K364" s="71">
        <f>IFERROR(K363/K362,"-")</f>
        <v/>
      </c>
      <c r="L364" s="71">
        <f>IFERROR(L363/L362,"-")</f>
        <v/>
      </c>
      <c r="M364" s="71">
        <f>IFERROR(M363/M362,"-")</f>
        <v/>
      </c>
      <c r="N364" s="71">
        <f>IFERROR(N363/N362,"-")</f>
        <v/>
      </c>
      <c r="O364" s="71">
        <f>IFERROR(O363/O362,"-")</f>
        <v/>
      </c>
      <c r="P364" s="71">
        <f>IFERROR(P363/P362,"-")</f>
        <v/>
      </c>
    </row>
    <row r="365" ht="15.75" customHeight="1" s="45">
      <c r="A365" s="61" t="n">
        <v>46081</v>
      </c>
      <c r="B365" s="62" t="inlineStr">
        <is>
          <t>Antes-Projeto</t>
        </is>
      </c>
      <c r="C365" s="72" t="inlineStr">
        <is>
          <t>Tempo Médio — 🟡 Amarelo (hh:mm)</t>
        </is>
      </c>
      <c r="D365" s="73" t="n">
        <v>0.03795138888888889</v>
      </c>
      <c r="E365" s="73" t="n">
        <v>0.1230324074074074</v>
      </c>
      <c r="F365" s="73" t="n">
        <v>0.09539351851851852</v>
      </c>
      <c r="G365" s="73" t="n">
        <v>0.07652777777777778</v>
      </c>
      <c r="H365" s="73" t="n">
        <v>0.05828703703703704</v>
      </c>
      <c r="I365" s="73" t="n">
        <v>0.06302083333333333</v>
      </c>
      <c r="J365" s="73" t="n">
        <v>0.0481712962962963</v>
      </c>
      <c r="K365" s="73" t="n">
        <v>0.1110648148148148</v>
      </c>
      <c r="L365" s="73" t="n">
        <v>0.06210648148148148</v>
      </c>
      <c r="M365" s="73" t="n">
        <v>0.04467592592592592</v>
      </c>
      <c r="N365" s="73" t="n">
        <v>0.0830324074074074</v>
      </c>
      <c r="O365" s="73" t="n">
        <v>0.05150462962962963</v>
      </c>
      <c r="P365" s="73" t="n">
        <v>0.1807060185185185</v>
      </c>
    </row>
    <row r="366" ht="15.75" customHeight="1" s="45">
      <c r="A366" s="61" t="n">
        <v>46081</v>
      </c>
      <c r="B366" s="62" t="inlineStr">
        <is>
          <t>Antes-Projeto</t>
        </is>
      </c>
      <c r="C366" s="74" t="inlineStr">
        <is>
          <t>Tempo Médio — 🟠 Laranja (hh:mm)</t>
        </is>
      </c>
      <c r="D366" s="75" t="n">
        <v>0.007592592592592593</v>
      </c>
      <c r="E366" s="75" t="n">
        <v>0.01130787037037037</v>
      </c>
      <c r="F366" s="75" t="n">
        <v>0.01696759259259259</v>
      </c>
      <c r="G366" s="75" t="n">
        <v>0.005856481481481482</v>
      </c>
      <c r="H366" s="75" t="n">
        <v>0.0006597222222222222</v>
      </c>
      <c r="I366" s="75" t="n">
        <v>0.006493055555555556</v>
      </c>
      <c r="J366" s="75" t="n">
        <v>0.006597222222222222</v>
      </c>
      <c r="K366" s="75" t="n">
        <v>0.01652777777777778</v>
      </c>
      <c r="L366" s="75" t="n">
        <v>0.007615740740740741</v>
      </c>
      <c r="M366" s="75" t="n">
        <v>0.01298611111111111</v>
      </c>
      <c r="N366" s="75" t="n">
        <v>0.01854166666666667</v>
      </c>
      <c r="O366" s="75" t="n">
        <v>0.01322916666666667</v>
      </c>
      <c r="P366" s="75" t="n">
        <v>0.03012731481481482</v>
      </c>
    </row>
    <row r="367" ht="15.75" customHeight="1" s="45">
      <c r="A367" s="76" t="n">
        <v>46081</v>
      </c>
      <c r="B367" s="77" t="inlineStr">
        <is>
          <t>Antes-Projeto</t>
        </is>
      </c>
      <c r="C367" s="78" t="inlineStr">
        <is>
          <t>Tempo Médio — 🟢 Verde   (hh:mm)</t>
        </is>
      </c>
      <c r="D367" s="79" t="n">
        <v>0.0933449074074074</v>
      </c>
      <c r="E367" s="79" t="n">
        <v>0.1940856481481482</v>
      </c>
      <c r="F367" s="79" t="n">
        <v>0.1706481481481482</v>
      </c>
      <c r="G367" s="79" t="n">
        <v>0.1120949074074074</v>
      </c>
      <c r="H367" s="79" t="n">
        <v>0.1117013888888889</v>
      </c>
      <c r="I367" s="79" t="n">
        <v>0.1387037037037037</v>
      </c>
      <c r="J367" s="79" t="n">
        <v>0.1023148148148148</v>
      </c>
      <c r="K367" s="79" t="n">
        <v>0.1361111111111111</v>
      </c>
      <c r="L367" s="79" t="n">
        <v>0.08386574074074074</v>
      </c>
      <c r="M367" s="79" t="n">
        <v>0.04675925925925926</v>
      </c>
      <c r="N367" s="79" t="n">
        <v>0.1361111111111111</v>
      </c>
      <c r="O367" s="79" t="n">
        <v>0.1018287037037037</v>
      </c>
      <c r="P367" s="79" t="n">
        <v>0.1093287037037037</v>
      </c>
    </row>
    <row r="368" ht="15.75" customHeight="1" s="45"/>
    <row r="380" ht="15.75" customHeight="1" s="45"/>
    <row r="381" ht="15.75" customHeight="1" s="45"/>
    <row r="393" ht="15.75" customHeight="1" s="45"/>
    <row r="394" ht="15.75" customHeight="1" s="45"/>
  </sheetData>
  <autoFilter ref="A3:P367"/>
  <mergeCells count="4">
    <mergeCell ref="K2:P2"/>
    <mergeCell ref="A1:P1"/>
    <mergeCell ref="A2:C2"/>
    <mergeCell ref="D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P4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44" min="1" max="1"/>
    <col width="12" customWidth="1" style="44" min="2" max="2"/>
    <col width="36.71" customWidth="1" style="44" min="3" max="3"/>
    <col width="15" customWidth="1" style="44" min="4" max="16"/>
  </cols>
  <sheetData>
    <row r="1" ht="31.5" customHeight="1" s="45">
      <c r="A1" s="46" t="inlineStr">
        <is>
          <t>ANÁLISE COMPARATIVA DE INDICADORES — UPAs PORTE I e PORTE III — ANTES e APÓS O PROJETO</t>
        </is>
      </c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8" t="n"/>
    </row>
    <row r="2" ht="25.5" customHeight="1" s="45">
      <c r="A2" s="49" t="inlineStr">
        <is>
          <t>Obs.: O indicador TAXA DE MORTALIDADE é de responsabilidade da SUPPH.</t>
        </is>
      </c>
      <c r="B2" s="47" t="n"/>
      <c r="C2" s="50" t="n"/>
      <c r="D2" s="51" t="inlineStr">
        <is>
          <t>— PORTE I —</t>
        </is>
      </c>
      <c r="E2" s="47" t="n"/>
      <c r="F2" s="47" t="n"/>
      <c r="G2" s="47" t="n"/>
      <c r="H2" s="47" t="n"/>
      <c r="I2" s="47" t="n"/>
      <c r="J2" s="50" t="n"/>
      <c r="K2" s="52" t="inlineStr">
        <is>
          <t>— PORTE III —</t>
        </is>
      </c>
      <c r="L2" s="47" t="n"/>
      <c r="M2" s="47" t="n"/>
      <c r="N2" s="47" t="n"/>
      <c r="O2" s="47" t="n"/>
      <c r="P2" s="53" t="n"/>
    </row>
    <row r="3" ht="36" customHeight="1" s="45">
      <c r="A3" s="54" t="inlineStr">
        <is>
          <t>Data</t>
        </is>
      </c>
      <c r="B3" s="54" t="inlineStr">
        <is>
          <t>Fase</t>
        </is>
      </c>
      <c r="C3" s="54" t="inlineStr">
        <is>
          <t>Indicador</t>
        </is>
      </c>
      <c r="D3" s="55" t="inlineStr">
        <is>
          <t>UPA
CEILÂNDIA II</t>
        </is>
      </c>
      <c r="E3" s="55" t="inlineStr">
        <is>
          <t>UPA
PARANOÁ</t>
        </is>
      </c>
      <c r="F3" s="55" t="inlineStr">
        <is>
          <t>UPA
GAMA</t>
        </is>
      </c>
      <c r="G3" s="55" t="inlineStr">
        <is>
          <t>UPA
PLANALTINA</t>
        </is>
      </c>
      <c r="H3" s="55" t="inlineStr">
        <is>
          <t>UPA RIACHO FUNDO II</t>
        </is>
      </c>
      <c r="I3" s="55" t="inlineStr">
        <is>
          <t>UPA VICENTE PIRES</t>
        </is>
      </c>
      <c r="J3" s="55" t="inlineStr">
        <is>
          <t>UPA BRAZLÂNDIA</t>
        </is>
      </c>
      <c r="K3" s="56" t="inlineStr">
        <is>
          <t>UPA
CEILÂNDIA</t>
        </is>
      </c>
      <c r="L3" s="56" t="inlineStr">
        <is>
          <t>UPA NÚCLEO BANDEIRANTE</t>
        </is>
      </c>
      <c r="M3" s="56" t="inlineStr">
        <is>
          <t>UPA RECANTO DAS EMAS</t>
        </is>
      </c>
      <c r="N3" s="56" t="inlineStr">
        <is>
          <t>UPA SAMAMBAIA</t>
        </is>
      </c>
      <c r="O3" s="56" t="inlineStr">
        <is>
          <t>UPA
SÃO SEBASTIÃO</t>
        </is>
      </c>
      <c r="P3" s="56" t="inlineStr">
        <is>
          <t>UPA SOBRADINHO</t>
        </is>
      </c>
    </row>
    <row r="4" ht="15.75" customHeight="1" s="45">
      <c r="A4" s="57" t="n">
        <v>46082</v>
      </c>
      <c r="B4" s="58" t="inlineStr">
        <is>
          <t>Antes-Projeto</t>
        </is>
      </c>
      <c r="C4" s="59" t="inlineStr">
        <is>
          <t>Acolhim. + Atend. Urgência + Atend. UPA</t>
        </is>
      </c>
      <c r="D4" s="60">
        <f>SUM(D5:D7)</f>
        <v/>
      </c>
      <c r="E4" s="60">
        <f>SUM(E5:E7)</f>
        <v/>
      </c>
      <c r="F4" s="60">
        <f>SUM(F5:F7)</f>
        <v/>
      </c>
      <c r="G4" s="60">
        <f>SUM(G5:G7)</f>
        <v/>
      </c>
      <c r="H4" s="60">
        <f>SUM(H5:H7)</f>
        <v/>
      </c>
      <c r="I4" s="60">
        <f>SUM(I5:I7)</f>
        <v/>
      </c>
      <c r="J4" s="60">
        <f>SUM(J5:J7)</f>
        <v/>
      </c>
      <c r="K4" s="60">
        <f>SUM(K5:K7)</f>
        <v/>
      </c>
      <c r="L4" s="60">
        <f>SUM(L5:L7)</f>
        <v/>
      </c>
      <c r="M4" s="60">
        <f>SUM(M5:M7)</f>
        <v/>
      </c>
      <c r="N4" s="60">
        <f>SUM(N5:N7)</f>
        <v/>
      </c>
      <c r="O4" s="60">
        <f>SUM(O5:O7)</f>
        <v/>
      </c>
      <c r="P4" s="60">
        <f>SUM(P5:P7)</f>
        <v/>
      </c>
    </row>
    <row r="5" ht="15.75" customHeight="1" s="45">
      <c r="A5" s="61" t="n">
        <v>46082</v>
      </c>
      <c r="B5" s="62" t="inlineStr">
        <is>
          <t>Antes-Projeto</t>
        </is>
      </c>
      <c r="C5" s="63" t="inlineStr">
        <is>
          <t>Acolhimento c/ Classif. de Risco</t>
        </is>
      </c>
      <c r="D5" s="64" t="n">
        <v>193</v>
      </c>
      <c r="E5" s="64" t="n">
        <v>116</v>
      </c>
      <c r="F5" s="64" t="n">
        <v>144</v>
      </c>
      <c r="G5" s="64" t="n">
        <v>108</v>
      </c>
      <c r="H5" s="64" t="n">
        <v>111</v>
      </c>
      <c r="I5" s="64" t="n">
        <v>184</v>
      </c>
      <c r="J5" s="64" t="n">
        <v>40</v>
      </c>
      <c r="K5" s="64" t="n">
        <v>267</v>
      </c>
      <c r="L5" s="64" t="n">
        <v>127</v>
      </c>
      <c r="M5" s="64" t="n">
        <v>196</v>
      </c>
      <c r="N5" s="64" t="n">
        <v>188</v>
      </c>
      <c r="O5" s="64" t="n">
        <v>201</v>
      </c>
      <c r="P5" s="64" t="n">
        <v>183</v>
      </c>
    </row>
    <row r="6" ht="15.75" customHeight="1" s="45">
      <c r="A6" s="61" t="n">
        <v>46082</v>
      </c>
      <c r="B6" s="62" t="inlineStr">
        <is>
          <t>Antes-Projeto</t>
        </is>
      </c>
      <c r="C6" s="65" t="inlineStr">
        <is>
          <t>Atend. Urgência Obs. ≤ 24h</t>
        </is>
      </c>
      <c r="D6" s="66" t="n">
        <v>66</v>
      </c>
      <c r="E6" s="66" t="n">
        <v>18</v>
      </c>
      <c r="F6" s="66" t="n">
        <v>5</v>
      </c>
      <c r="G6" s="66" t="n">
        <v>76</v>
      </c>
      <c r="H6" s="66" t="n">
        <v>21</v>
      </c>
      <c r="I6" s="66" t="n">
        <v>10</v>
      </c>
      <c r="J6" s="66" t="n">
        <v>28</v>
      </c>
      <c r="K6" s="66" t="n">
        <v>84</v>
      </c>
      <c r="L6" s="66" t="n">
        <v>17</v>
      </c>
      <c r="M6" s="66" t="n">
        <v>50</v>
      </c>
      <c r="N6" s="66" t="n">
        <v>127</v>
      </c>
      <c r="O6" s="66" t="n">
        <v>11</v>
      </c>
      <c r="P6" s="66" t="n">
        <v>42</v>
      </c>
    </row>
    <row r="7" ht="15.75" customHeight="1" s="45">
      <c r="A7" s="61" t="n">
        <v>46082</v>
      </c>
      <c r="B7" s="62" t="inlineStr">
        <is>
          <t>Antes-Projeto</t>
        </is>
      </c>
      <c r="C7" s="63" t="inlineStr">
        <is>
          <t>Atend. Médico em UPA</t>
        </is>
      </c>
      <c r="D7" s="64" t="n">
        <v>140</v>
      </c>
      <c r="E7" s="64" t="n">
        <v>67</v>
      </c>
      <c r="F7" s="64" t="n">
        <v>94</v>
      </c>
      <c r="G7" s="64" t="n">
        <v>79</v>
      </c>
      <c r="H7" s="64" t="n">
        <v>84</v>
      </c>
      <c r="I7" s="64" t="n">
        <v>122</v>
      </c>
      <c r="J7" s="64" t="n">
        <v>56</v>
      </c>
      <c r="K7" s="64" t="n">
        <v>85</v>
      </c>
      <c r="L7" s="64" t="n">
        <v>75</v>
      </c>
      <c r="M7" s="64" t="n">
        <v>101</v>
      </c>
      <c r="N7" s="64" t="n">
        <v>206</v>
      </c>
      <c r="O7" s="64" t="n">
        <v>146</v>
      </c>
      <c r="P7" s="64" t="n">
        <v>98</v>
      </c>
    </row>
    <row r="8" ht="15.75" customHeight="1" s="45">
      <c r="A8" s="61" t="n">
        <v>46082</v>
      </c>
      <c r="B8" s="62" t="inlineStr">
        <is>
          <t>Antes-Projeto</t>
        </is>
      </c>
      <c r="C8" s="65" t="inlineStr">
        <is>
          <t>Exames Laboratoriais</t>
        </is>
      </c>
      <c r="D8" s="66" t="n">
        <v>904</v>
      </c>
      <c r="E8" s="66" t="n">
        <v>503</v>
      </c>
      <c r="F8" s="66" t="n">
        <v>362</v>
      </c>
      <c r="G8" s="66" t="n">
        <v>533</v>
      </c>
      <c r="H8" s="66" t="n">
        <v>329</v>
      </c>
      <c r="I8" s="66" t="n">
        <v>513</v>
      </c>
      <c r="J8" s="66" t="n">
        <v>241</v>
      </c>
      <c r="K8" s="66" t="n">
        <v>673</v>
      </c>
      <c r="L8" s="66" t="n">
        <v>468</v>
      </c>
      <c r="M8" s="66" t="n">
        <v>513</v>
      </c>
      <c r="N8" s="66" t="n">
        <v>509</v>
      </c>
      <c r="O8" s="66" t="n">
        <v>413</v>
      </c>
      <c r="P8" s="66" t="n">
        <v>554</v>
      </c>
    </row>
    <row r="9" ht="15.75" customHeight="1" s="45">
      <c r="A9" s="61" t="n">
        <v>46082</v>
      </c>
      <c r="B9" s="62" t="inlineStr">
        <is>
          <t>Antes-Projeto</t>
        </is>
      </c>
      <c r="C9" s="63" t="inlineStr">
        <is>
          <t>Radiografias</t>
        </is>
      </c>
      <c r="D9" s="64" t="n">
        <v>18</v>
      </c>
      <c r="E9" s="67" t="n">
        <v>0</v>
      </c>
      <c r="F9" s="64" t="n">
        <v>15</v>
      </c>
      <c r="G9" s="64" t="n">
        <v>12</v>
      </c>
      <c r="H9" s="64" t="n">
        <v>21</v>
      </c>
      <c r="I9" s="64" t="n">
        <v>29</v>
      </c>
      <c r="J9" s="64" t="n">
        <v>5</v>
      </c>
      <c r="K9" s="64" t="n">
        <v>33</v>
      </c>
      <c r="L9" s="64" t="n">
        <v>21</v>
      </c>
      <c r="M9" s="64" t="n">
        <v>41</v>
      </c>
      <c r="N9" s="64" t="n">
        <v>27</v>
      </c>
      <c r="O9" s="64" t="n">
        <v>46</v>
      </c>
      <c r="P9" s="64" t="n">
        <v>25</v>
      </c>
    </row>
    <row r="10" ht="15.75" customHeight="1" s="45">
      <c r="A10" s="61" t="n">
        <v>46082</v>
      </c>
      <c r="B10" s="62" t="inlineStr">
        <is>
          <t>Antes-Projeto</t>
        </is>
      </c>
      <c r="C10" s="65" t="inlineStr">
        <is>
          <t>Eletrocardiogramas</t>
        </is>
      </c>
      <c r="D10" s="66" t="n">
        <v>14</v>
      </c>
      <c r="E10" s="66" t="n">
        <v>12</v>
      </c>
      <c r="F10" s="66" t="n">
        <v>9</v>
      </c>
      <c r="G10" s="66" t="n">
        <v>16</v>
      </c>
      <c r="H10" s="66" t="n">
        <v>13</v>
      </c>
      <c r="I10" s="66" t="n">
        <v>18</v>
      </c>
      <c r="J10" s="66" t="n">
        <v>6</v>
      </c>
      <c r="K10" s="66" t="n">
        <v>11</v>
      </c>
      <c r="L10" s="66" t="n">
        <v>11</v>
      </c>
      <c r="M10" s="66" t="n">
        <v>16</v>
      </c>
      <c r="N10" s="66" t="n">
        <v>3</v>
      </c>
      <c r="O10" s="66" t="n">
        <v>15</v>
      </c>
      <c r="P10" s="66" t="n">
        <v>9</v>
      </c>
    </row>
    <row r="11" ht="15.75" customHeight="1" s="45">
      <c r="A11" s="61" t="n">
        <v>46082</v>
      </c>
      <c r="B11" s="62" t="inlineStr">
        <is>
          <t>Antes-Projeto</t>
        </is>
      </c>
      <c r="C11" s="68" t="inlineStr">
        <is>
          <t>GAEs Abertas</t>
        </is>
      </c>
      <c r="D11" s="69" t="n">
        <v>208</v>
      </c>
      <c r="E11" s="69" t="n">
        <v>122</v>
      </c>
      <c r="F11" s="69" t="n">
        <v>165</v>
      </c>
      <c r="G11" s="69" t="n">
        <v>115</v>
      </c>
      <c r="H11" s="69" t="n">
        <v>113</v>
      </c>
      <c r="I11" s="69" t="n">
        <v>200</v>
      </c>
      <c r="J11" s="69" t="n">
        <v>43</v>
      </c>
      <c r="K11" s="69" t="n">
        <v>281</v>
      </c>
      <c r="L11" s="69" t="n">
        <v>136</v>
      </c>
      <c r="M11" s="69" t="n">
        <v>210</v>
      </c>
      <c r="N11" s="69" t="n">
        <v>190</v>
      </c>
      <c r="O11" s="69" t="n">
        <v>213</v>
      </c>
      <c r="P11" s="69" t="n">
        <v>211</v>
      </c>
    </row>
    <row r="12" ht="15.75" customHeight="1" s="45">
      <c r="A12" s="61" t="n">
        <v>46082</v>
      </c>
      <c r="B12" s="62" t="inlineStr">
        <is>
          <t>Antes-Projeto</t>
        </is>
      </c>
      <c r="C12" s="68" t="inlineStr">
        <is>
          <t>GAEs Classificadas</t>
        </is>
      </c>
      <c r="D12" s="69" t="n">
        <v>193</v>
      </c>
      <c r="E12" s="69" t="n">
        <v>116</v>
      </c>
      <c r="F12" s="69" t="n">
        <v>156</v>
      </c>
      <c r="G12" s="69" t="n">
        <v>108</v>
      </c>
      <c r="H12" s="69" t="n">
        <v>112</v>
      </c>
      <c r="I12" s="69" t="n">
        <v>186</v>
      </c>
      <c r="J12" s="69" t="n">
        <v>40</v>
      </c>
      <c r="K12" s="69" t="n">
        <v>269</v>
      </c>
      <c r="L12" s="69" t="n">
        <v>126</v>
      </c>
      <c r="M12" s="69" t="n">
        <v>198</v>
      </c>
      <c r="N12" s="69" t="n">
        <v>182</v>
      </c>
      <c r="O12" s="69" t="n">
        <v>202</v>
      </c>
      <c r="P12" s="69" t="n">
        <v>199</v>
      </c>
    </row>
    <row r="13" ht="15.75" customHeight="1" s="45">
      <c r="A13" s="61" t="n">
        <v>46082</v>
      </c>
      <c r="B13" s="62" t="inlineStr">
        <is>
          <t>Antes-Projeto</t>
        </is>
      </c>
      <c r="C13" s="70" t="inlineStr">
        <is>
          <t>Percentual de GAEs abertas classificadas</t>
        </is>
      </c>
      <c r="D13" s="71">
        <f>IFERROR(D12/D11,"-")</f>
        <v/>
      </c>
      <c r="E13" s="71">
        <f>IFERROR(E12/E11,"-")</f>
        <v/>
      </c>
      <c r="F13" s="71">
        <f>IFERROR(F12/F11,"-")</f>
        <v/>
      </c>
      <c r="G13" s="71">
        <f>IFERROR(G12/G11,"-")</f>
        <v/>
      </c>
      <c r="H13" s="71">
        <f>IFERROR(H12/H11,"-")</f>
        <v/>
      </c>
      <c r="I13" s="71">
        <f>IFERROR(I12/I11,"-")</f>
        <v/>
      </c>
      <c r="J13" s="71">
        <f>IFERROR(J12/J11,"-")</f>
        <v/>
      </c>
      <c r="K13" s="71">
        <f>IFERROR(K12/K11,"-")</f>
        <v/>
      </c>
      <c r="L13" s="71">
        <f>IFERROR(L12/L11,"-")</f>
        <v/>
      </c>
      <c r="M13" s="71">
        <f>IFERROR(M12/M11,"-")</f>
        <v/>
      </c>
      <c r="N13" s="71">
        <f>IFERROR(N12/N11,"-")</f>
        <v/>
      </c>
      <c r="O13" s="71">
        <f>IFERROR(O12/O11,"-")</f>
        <v/>
      </c>
      <c r="P13" s="71">
        <f>IFERROR(P12/P11,"-")</f>
        <v/>
      </c>
    </row>
    <row r="14" ht="15.75" customHeight="1" s="45">
      <c r="A14" s="61" t="n">
        <v>46082</v>
      </c>
      <c r="B14" s="62" t="inlineStr">
        <is>
          <t>Antes-Projeto</t>
        </is>
      </c>
      <c r="C14" s="72" t="inlineStr">
        <is>
          <t>Tempo Médio — 🟡 Amarelo (hh:mm)</t>
        </is>
      </c>
      <c r="D14" s="73" t="n">
        <v>0.114212962962963</v>
      </c>
      <c r="E14" s="73" t="n">
        <v>0.1192361111111111</v>
      </c>
      <c r="F14" s="73" t="n">
        <v>0.1225810185185185</v>
      </c>
      <c r="G14" s="73" t="n">
        <v>0.08203703703703703</v>
      </c>
      <c r="H14" s="73" t="n">
        <v>0.03655092592592592</v>
      </c>
      <c r="I14" s="73" t="n">
        <v>0.09684027777777778</v>
      </c>
      <c r="J14" s="73" t="n">
        <v>0.0890625</v>
      </c>
      <c r="K14" s="73" t="n">
        <v>0.1286226851851852</v>
      </c>
      <c r="L14" s="73" t="n">
        <v>0.05346064814814815</v>
      </c>
      <c r="M14" s="73" t="n">
        <v>0.01289351851851852</v>
      </c>
      <c r="N14" s="73" t="n">
        <v>0.09931712962962963</v>
      </c>
      <c r="O14" s="73" t="n">
        <v>0.05350694444444445</v>
      </c>
      <c r="P14" s="73" t="n">
        <v>0.04677083333333333</v>
      </c>
    </row>
    <row r="15" ht="15.75" customHeight="1" s="45">
      <c r="A15" s="61" t="n">
        <v>46082</v>
      </c>
      <c r="B15" s="62" t="inlineStr">
        <is>
          <t>Antes-Projeto</t>
        </is>
      </c>
      <c r="C15" s="74" t="inlineStr">
        <is>
          <t>Tempo Médio — 🟠 Laranja (hh:mm)</t>
        </is>
      </c>
      <c r="D15" s="75" t="n">
        <v>0.01134259259259259</v>
      </c>
      <c r="E15" s="75" t="n">
        <v>0.0542824074074074</v>
      </c>
      <c r="F15" s="75" t="n">
        <v>0.008356481481481482</v>
      </c>
      <c r="G15" s="75" t="n">
        <v>0.006064814814814815</v>
      </c>
      <c r="H15" s="75" t="n">
        <v>0.02422453703703704</v>
      </c>
      <c r="I15" s="75" t="n">
        <v>0.01395833333333333</v>
      </c>
      <c r="J15" s="75" t="n"/>
      <c r="K15" s="75" t="n">
        <v>0.01836805555555555</v>
      </c>
      <c r="L15" s="75" t="n">
        <v>0.009027777777777777</v>
      </c>
      <c r="M15" s="75" t="n">
        <v>0.006678240740740741</v>
      </c>
      <c r="N15" s="75" t="n">
        <v>0.008842592592592593</v>
      </c>
      <c r="O15" s="75" t="n">
        <v>0.01684027777777778</v>
      </c>
      <c r="P15" s="75" t="n">
        <v>0.0152662037037037</v>
      </c>
    </row>
    <row r="16" ht="15.75" customHeight="1" s="45">
      <c r="A16" s="76" t="n">
        <v>46082</v>
      </c>
      <c r="B16" s="77" t="inlineStr">
        <is>
          <t>Antes-Projeto</t>
        </is>
      </c>
      <c r="C16" s="78" t="inlineStr">
        <is>
          <t>Tempo Médio — 🟢 Verde   (hh:mm)</t>
        </is>
      </c>
      <c r="D16" s="79" t="n">
        <v>0.08393518518518518</v>
      </c>
      <c r="E16" s="79" t="n">
        <v>0.1761921296296296</v>
      </c>
      <c r="F16" s="79" t="n">
        <v>0.2105439814814815</v>
      </c>
      <c r="G16" s="79" t="n">
        <v>0.1414236111111111</v>
      </c>
      <c r="H16" s="79" t="n">
        <v>0.1029166666666667</v>
      </c>
      <c r="I16" s="79" t="n">
        <v>0.1511574074074074</v>
      </c>
      <c r="J16" s="79" t="n">
        <v>0.2548032407407407</v>
      </c>
      <c r="K16" s="79" t="n">
        <v>0.1247569444444444</v>
      </c>
      <c r="L16" s="79" t="n">
        <v>0.1139699074074074</v>
      </c>
      <c r="M16" s="79" t="n">
        <v>0.01986111111111111</v>
      </c>
      <c r="N16" s="79" t="n">
        <v>0.3271064814814815</v>
      </c>
      <c r="O16" s="79" t="n">
        <v>0.07387731481481481</v>
      </c>
      <c r="P16" s="79" t="n">
        <v>0.08627314814814815</v>
      </c>
    </row>
    <row r="17" ht="15.75" customHeight="1" s="45">
      <c r="A17" s="57" t="n">
        <v>46083</v>
      </c>
      <c r="B17" s="58" t="inlineStr">
        <is>
          <t>Antes-Projeto</t>
        </is>
      </c>
      <c r="C17" s="59" t="inlineStr">
        <is>
          <t>Acolhim. + Atend. Urgência + Atend. UPA</t>
        </is>
      </c>
      <c r="D17" s="60">
        <f>SUM(D18:D20)</f>
        <v/>
      </c>
      <c r="E17" s="60">
        <f>SUM(E18:E20)</f>
        <v/>
      </c>
      <c r="F17" s="60">
        <f>SUM(F18:F20)</f>
        <v/>
      </c>
      <c r="G17" s="60">
        <f>SUM(G18:G20)</f>
        <v/>
      </c>
      <c r="H17" s="60">
        <f>SUM(H18:H20)</f>
        <v/>
      </c>
      <c r="I17" s="60">
        <f>SUM(I18:I20)</f>
        <v/>
      </c>
      <c r="J17" s="60">
        <f>SUM(J18:J20)</f>
        <v/>
      </c>
      <c r="K17" s="60">
        <f>SUM(K18:K20)</f>
        <v/>
      </c>
      <c r="L17" s="60">
        <f>SUM(L18:L20)</f>
        <v/>
      </c>
      <c r="M17" s="60">
        <f>SUM(M18:M20)</f>
        <v/>
      </c>
      <c r="N17" s="60">
        <f>SUM(N18:N20)</f>
        <v/>
      </c>
      <c r="O17" s="60">
        <f>SUM(O18:O20)</f>
        <v/>
      </c>
      <c r="P17" s="60">
        <f>SUM(P18:P20)</f>
        <v/>
      </c>
    </row>
    <row r="18" ht="15.75" customHeight="1" s="45">
      <c r="A18" s="61" t="n">
        <v>46083</v>
      </c>
      <c r="B18" s="62" t="inlineStr">
        <is>
          <t>Antes-Projeto</t>
        </is>
      </c>
      <c r="C18" s="65" t="inlineStr">
        <is>
          <t>Acolhimento c/ Classif. de Risco</t>
        </is>
      </c>
      <c r="D18" s="66" t="n">
        <v>272</v>
      </c>
      <c r="E18" s="66" t="n">
        <v>186</v>
      </c>
      <c r="F18" s="66" t="n">
        <v>160</v>
      </c>
      <c r="G18" s="66" t="n">
        <v>150</v>
      </c>
      <c r="H18" s="66" t="n">
        <v>142</v>
      </c>
      <c r="I18" s="66" t="n">
        <v>204</v>
      </c>
      <c r="J18" s="66" t="n">
        <v>152</v>
      </c>
      <c r="K18" s="66" t="n">
        <v>324</v>
      </c>
      <c r="L18" s="66" t="n">
        <v>186</v>
      </c>
      <c r="M18" s="66" t="n">
        <v>312</v>
      </c>
      <c r="N18" s="66" t="n">
        <v>252</v>
      </c>
      <c r="O18" s="66" t="n">
        <v>305</v>
      </c>
      <c r="P18" s="66" t="n">
        <v>278</v>
      </c>
    </row>
    <row r="19" ht="15.75" customHeight="1" s="45">
      <c r="A19" s="61" t="n">
        <v>46083</v>
      </c>
      <c r="B19" s="62" t="inlineStr">
        <is>
          <t>Antes-Projeto</t>
        </is>
      </c>
      <c r="C19" s="63" t="inlineStr">
        <is>
          <t>Atend. Urgência Obs. ≤ 24h</t>
        </is>
      </c>
      <c r="D19" s="64" t="n">
        <v>16</v>
      </c>
      <c r="E19" s="64" t="n">
        <v>13</v>
      </c>
      <c r="F19" s="64" t="n">
        <v>27</v>
      </c>
      <c r="G19" s="64" t="n">
        <v>108</v>
      </c>
      <c r="H19" s="64" t="n">
        <v>1</v>
      </c>
      <c r="I19" s="64" t="n">
        <v>17</v>
      </c>
      <c r="J19" s="64" t="n">
        <v>79</v>
      </c>
      <c r="K19" s="64" t="n">
        <v>310</v>
      </c>
      <c r="L19" s="64" t="n">
        <v>19</v>
      </c>
      <c r="M19" s="64" t="n">
        <v>134</v>
      </c>
      <c r="N19" s="64" t="n">
        <v>40</v>
      </c>
      <c r="O19" s="64" t="n">
        <v>25</v>
      </c>
      <c r="P19" s="64" t="n">
        <v>20</v>
      </c>
    </row>
    <row r="20" ht="15.75" customHeight="1" s="45">
      <c r="A20" s="61" t="n">
        <v>46083</v>
      </c>
      <c r="B20" s="62" t="inlineStr">
        <is>
          <t>Antes-Projeto</t>
        </is>
      </c>
      <c r="C20" s="65" t="inlineStr">
        <is>
          <t>Atend. Médico em UPA</t>
        </is>
      </c>
      <c r="D20" s="66" t="n">
        <v>154</v>
      </c>
      <c r="E20" s="66" t="n">
        <v>61</v>
      </c>
      <c r="F20" s="66" t="n">
        <v>98</v>
      </c>
      <c r="G20" s="66" t="n">
        <v>87</v>
      </c>
      <c r="H20" s="66" t="n">
        <v>69</v>
      </c>
      <c r="I20" s="66" t="n">
        <v>156</v>
      </c>
      <c r="J20" s="66" t="n">
        <v>108</v>
      </c>
      <c r="K20" s="66" t="n">
        <v>155</v>
      </c>
      <c r="L20" s="66" t="n">
        <v>72</v>
      </c>
      <c r="M20" s="66" t="n">
        <v>167</v>
      </c>
      <c r="N20" s="66" t="n">
        <v>255</v>
      </c>
      <c r="O20" s="66" t="n">
        <v>197</v>
      </c>
      <c r="P20" s="66" t="n">
        <v>106</v>
      </c>
    </row>
    <row r="21" ht="15.75" customHeight="1" s="45">
      <c r="A21" s="61" t="n">
        <v>46083</v>
      </c>
      <c r="B21" s="62" t="inlineStr">
        <is>
          <t>Antes-Projeto</t>
        </is>
      </c>
      <c r="C21" s="63" t="inlineStr">
        <is>
          <t>Exames Laboratoriais</t>
        </is>
      </c>
      <c r="D21" s="64" t="n">
        <v>589</v>
      </c>
      <c r="E21" s="64" t="n">
        <v>267</v>
      </c>
      <c r="F21" s="64" t="n">
        <v>163</v>
      </c>
      <c r="G21" s="64" t="n">
        <v>417</v>
      </c>
      <c r="H21" s="64" t="n">
        <v>264</v>
      </c>
      <c r="I21" s="64" t="n">
        <v>732</v>
      </c>
      <c r="J21" s="64" t="n">
        <v>281</v>
      </c>
      <c r="K21" s="64" t="n">
        <v>1037</v>
      </c>
      <c r="L21" s="64" t="n">
        <v>493</v>
      </c>
      <c r="M21" s="64" t="n">
        <v>651</v>
      </c>
      <c r="N21" s="64" t="n">
        <v>737</v>
      </c>
      <c r="O21" s="64" t="n">
        <v>435</v>
      </c>
      <c r="P21" s="64" t="n">
        <v>521</v>
      </c>
    </row>
    <row r="22" ht="15.75" customHeight="1" s="45">
      <c r="A22" s="61" t="n">
        <v>46083</v>
      </c>
      <c r="B22" s="62" t="inlineStr">
        <is>
          <t>Antes-Projeto</t>
        </is>
      </c>
      <c r="C22" s="65" t="inlineStr">
        <is>
          <t>Radiografias</t>
        </is>
      </c>
      <c r="D22" s="66" t="n">
        <v>27</v>
      </c>
      <c r="E22" s="67" t="n">
        <v>0</v>
      </c>
      <c r="F22" s="66" t="n">
        <v>18</v>
      </c>
      <c r="G22" s="66" t="n">
        <v>32</v>
      </c>
      <c r="H22" s="66" t="n">
        <v>7</v>
      </c>
      <c r="I22" s="66" t="n">
        <v>37</v>
      </c>
      <c r="J22" s="66" t="n">
        <v>14</v>
      </c>
      <c r="K22" s="66" t="n">
        <v>40</v>
      </c>
      <c r="L22" s="66" t="n">
        <v>25</v>
      </c>
      <c r="M22" s="66" t="n">
        <v>51</v>
      </c>
      <c r="N22" s="66" t="n">
        <v>39</v>
      </c>
      <c r="O22" s="66" t="n">
        <v>47</v>
      </c>
      <c r="P22" s="66" t="n">
        <v>43</v>
      </c>
    </row>
    <row r="23" ht="15.75" customHeight="1" s="45">
      <c r="A23" s="61" t="n">
        <v>46083</v>
      </c>
      <c r="B23" s="62" t="inlineStr">
        <is>
          <t>Antes-Projeto</t>
        </is>
      </c>
      <c r="C23" s="63" t="inlineStr">
        <is>
          <t>Eletrocardiogramas</t>
        </is>
      </c>
      <c r="D23" s="64" t="n">
        <v>19</v>
      </c>
      <c r="E23" s="64" t="n">
        <v>6</v>
      </c>
      <c r="F23" s="64" t="n">
        <v>17</v>
      </c>
      <c r="G23" s="64" t="n">
        <v>17</v>
      </c>
      <c r="H23" s="64" t="n">
        <v>6</v>
      </c>
      <c r="I23" s="64" t="n">
        <v>6</v>
      </c>
      <c r="J23" s="64" t="n">
        <v>6</v>
      </c>
      <c r="K23" s="64" t="n">
        <v>18</v>
      </c>
      <c r="L23" s="64" t="n">
        <v>14</v>
      </c>
      <c r="M23" s="64" t="n">
        <v>23</v>
      </c>
      <c r="N23" s="64" t="n">
        <v>10</v>
      </c>
      <c r="O23" s="64" t="n">
        <v>10</v>
      </c>
      <c r="P23" s="64" t="n">
        <v>23</v>
      </c>
    </row>
    <row r="24" ht="15.75" customHeight="1" s="45">
      <c r="A24" s="61" t="n">
        <v>46083</v>
      </c>
      <c r="B24" s="62" t="inlineStr">
        <is>
          <t>Antes-Projeto</t>
        </is>
      </c>
      <c r="C24" s="68" t="inlineStr">
        <is>
          <t>GAEs Abertas</t>
        </is>
      </c>
      <c r="D24" s="69" t="n">
        <v>297</v>
      </c>
      <c r="E24" s="69" t="n">
        <v>194</v>
      </c>
      <c r="F24" s="69" t="n">
        <v>166</v>
      </c>
      <c r="G24" s="69" t="n">
        <v>154</v>
      </c>
      <c r="H24" s="69" t="n">
        <v>147</v>
      </c>
      <c r="I24" s="69" t="n">
        <v>226</v>
      </c>
      <c r="J24" s="69" t="n">
        <v>163</v>
      </c>
      <c r="K24" s="69" t="n">
        <v>354</v>
      </c>
      <c r="L24" s="69" t="n">
        <v>196</v>
      </c>
      <c r="M24" s="69" t="n">
        <v>341</v>
      </c>
      <c r="N24" s="69" t="n">
        <v>252</v>
      </c>
      <c r="O24" s="69" t="n">
        <v>358</v>
      </c>
      <c r="P24" s="69" t="n">
        <v>272</v>
      </c>
    </row>
    <row r="25" ht="15.75" customHeight="1" s="45">
      <c r="A25" s="61" t="n">
        <v>46083</v>
      </c>
      <c r="B25" s="62" t="inlineStr">
        <is>
          <t>Antes-Projeto</t>
        </is>
      </c>
      <c r="C25" s="68" t="inlineStr">
        <is>
          <t>GAEs Classificadas</t>
        </is>
      </c>
      <c r="D25" s="69" t="n">
        <v>271</v>
      </c>
      <c r="E25" s="69" t="n">
        <v>185</v>
      </c>
      <c r="F25" s="69" t="n">
        <v>160</v>
      </c>
      <c r="G25" s="69" t="n">
        <v>150</v>
      </c>
      <c r="H25" s="69" t="n">
        <v>141</v>
      </c>
      <c r="I25" s="69" t="n">
        <v>201</v>
      </c>
      <c r="J25" s="69" t="n">
        <v>156</v>
      </c>
      <c r="K25" s="69" t="n">
        <v>325</v>
      </c>
      <c r="L25" s="69" t="n">
        <v>186</v>
      </c>
      <c r="M25" s="69" t="n">
        <v>313</v>
      </c>
      <c r="N25" s="69" t="n">
        <v>236</v>
      </c>
      <c r="O25" s="69" t="n">
        <v>304</v>
      </c>
      <c r="P25" s="69" t="n">
        <v>268</v>
      </c>
    </row>
    <row r="26" ht="15.75" customHeight="1" s="45">
      <c r="A26" s="61" t="n">
        <v>46083</v>
      </c>
      <c r="B26" s="62" t="inlineStr">
        <is>
          <t>Antes-Projeto</t>
        </is>
      </c>
      <c r="C26" s="70" t="inlineStr">
        <is>
          <t>Percentual de GAEs abertas classificadas</t>
        </is>
      </c>
      <c r="D26" s="71">
        <f>IFERROR(D25/D24,"-")</f>
        <v/>
      </c>
      <c r="E26" s="71">
        <f>IFERROR(E25/E24,"-")</f>
        <v/>
      </c>
      <c r="F26" s="71">
        <f>IFERROR(F25/F24,"-")</f>
        <v/>
      </c>
      <c r="G26" s="71">
        <f>IFERROR(G25/G24,"-")</f>
        <v/>
      </c>
      <c r="H26" s="71">
        <f>IFERROR(H25/H24,"-")</f>
        <v/>
      </c>
      <c r="I26" s="71">
        <f>IFERROR(I25/I24,"-")</f>
        <v/>
      </c>
      <c r="J26" s="71">
        <f>IFERROR(J25/J24,"-")</f>
        <v/>
      </c>
      <c r="K26" s="71">
        <f>IFERROR(K25/K24,"-")</f>
        <v/>
      </c>
      <c r="L26" s="71">
        <f>IFERROR(L25/L24,"-")</f>
        <v/>
      </c>
      <c r="M26" s="71">
        <f>IFERROR(M25/M24,"-")</f>
        <v/>
      </c>
      <c r="N26" s="71">
        <f>IFERROR(N25/N24,"-")</f>
        <v/>
      </c>
      <c r="O26" s="71">
        <f>IFERROR(O25/O24,"-")</f>
        <v/>
      </c>
      <c r="P26" s="71">
        <f>IFERROR(P25/P24,"-")</f>
        <v/>
      </c>
    </row>
    <row r="27" ht="15.75" customHeight="1" s="45">
      <c r="A27" s="61" t="n">
        <v>46083</v>
      </c>
      <c r="B27" s="62" t="inlineStr">
        <is>
          <t>Antes-Projeto</t>
        </is>
      </c>
      <c r="C27" s="72" t="inlineStr">
        <is>
          <t>Tempo Médio — 🟡 Amarelo (hh:mm)</t>
        </is>
      </c>
      <c r="D27" s="73" t="n">
        <v>0.04946759259259259</v>
      </c>
      <c r="E27" s="73" t="n">
        <v>0.1378587962962963</v>
      </c>
      <c r="F27" s="73" t="n">
        <v>0.04236111111111111</v>
      </c>
      <c r="G27" s="73" t="n">
        <v>0.05724537037037037</v>
      </c>
      <c r="H27" s="73" t="n">
        <v>0.04201388888888889</v>
      </c>
      <c r="I27" s="73" t="n">
        <v>0.05293981481481481</v>
      </c>
      <c r="J27" s="73" t="n">
        <v>0.06923611111111111</v>
      </c>
      <c r="K27" s="73" t="n">
        <v>0.1575347222222222</v>
      </c>
      <c r="L27" s="73" t="n">
        <v>0.1618865740740741</v>
      </c>
      <c r="M27" s="73" t="n">
        <v>0.03208333333333333</v>
      </c>
      <c r="N27" s="73" t="n">
        <v>0.08653935185185185</v>
      </c>
      <c r="O27" s="73" t="n">
        <v>0.07817129629629629</v>
      </c>
      <c r="P27" s="73" t="n">
        <v>0.07342592592592592</v>
      </c>
    </row>
    <row r="28" ht="15.75" customHeight="1" s="45">
      <c r="A28" s="61" t="n">
        <v>46083</v>
      </c>
      <c r="B28" s="62" t="inlineStr">
        <is>
          <t>Antes-Projeto</t>
        </is>
      </c>
      <c r="C28" s="74" t="inlineStr">
        <is>
          <t>Tempo Médio — 🟠 Laranja (hh:mm)</t>
        </is>
      </c>
      <c r="D28" s="75" t="n">
        <v>0.008078703703703704</v>
      </c>
      <c r="E28" s="75" t="n">
        <v>0.04049768518518519</v>
      </c>
      <c r="F28" s="75" t="n">
        <v>0.01113425925925926</v>
      </c>
      <c r="G28" s="75" t="n">
        <v>0.007199074074074074</v>
      </c>
      <c r="H28" s="75" t="n">
        <v>0.005057870370370371</v>
      </c>
      <c r="I28" s="75" t="n">
        <v>0.02009259259259259</v>
      </c>
      <c r="J28" s="75" t="n">
        <v>0.02134259259259259</v>
      </c>
      <c r="K28" s="75" t="n">
        <v>0.01606481481481482</v>
      </c>
      <c r="L28" s="75" t="n">
        <v>0.007083333333333333</v>
      </c>
      <c r="M28" s="75" t="n">
        <v>0.01074074074074074</v>
      </c>
      <c r="N28" s="75" t="n">
        <v>0.02194444444444444</v>
      </c>
      <c r="O28" s="75" t="n">
        <v>0.01332175925925926</v>
      </c>
      <c r="P28" s="75" t="n">
        <v>0.01422453703703704</v>
      </c>
    </row>
    <row r="29" ht="15.75" customHeight="1" s="45">
      <c r="A29" s="76" t="n">
        <v>46083</v>
      </c>
      <c r="B29" s="77" t="inlineStr">
        <is>
          <t>Antes-Projeto</t>
        </is>
      </c>
      <c r="C29" s="78" t="inlineStr">
        <is>
          <t>Tempo Médio — 🟢 Verde   (hh:mm)</t>
        </is>
      </c>
      <c r="D29" s="79" t="n">
        <v>0.03372685185185186</v>
      </c>
      <c r="E29" s="79" t="n">
        <v>0.1929861111111111</v>
      </c>
      <c r="F29" s="79" t="n">
        <v>0.09050925925925926</v>
      </c>
      <c r="G29" s="79" t="n">
        <v>0.1300578703703704</v>
      </c>
      <c r="H29" s="79" t="n">
        <v>0.1209027777777778</v>
      </c>
      <c r="I29" s="79" t="n">
        <v>0.1332407407407407</v>
      </c>
      <c r="J29" s="79" t="n">
        <v>0.1338657407407407</v>
      </c>
      <c r="K29" s="79" t="n">
        <v>0.1449189814814815</v>
      </c>
      <c r="L29" s="79" t="n">
        <v>0.1720023148148148</v>
      </c>
      <c r="M29" s="79" t="n">
        <v>0.09364583333333333</v>
      </c>
      <c r="N29" s="79" t="n">
        <v>0.1098032407407407</v>
      </c>
      <c r="O29" s="79" t="n">
        <v>0.1009606481481481</v>
      </c>
      <c r="P29" s="79" t="n">
        <v>0.09194444444444444</v>
      </c>
    </row>
    <row r="30" ht="15.75" customHeight="1" s="45">
      <c r="A30" s="57" t="n">
        <v>46084</v>
      </c>
      <c r="B30" s="58" t="inlineStr">
        <is>
          <t>Antes-Projeto</t>
        </is>
      </c>
      <c r="C30" s="59" t="inlineStr">
        <is>
          <t>Acolhim. + Atend. Urgência + Atend. UPA</t>
        </is>
      </c>
      <c r="D30" s="60">
        <f>SUM(D31:D33)</f>
        <v/>
      </c>
      <c r="E30" s="60">
        <f>SUM(E31:E33)</f>
        <v/>
      </c>
      <c r="F30" s="60">
        <f>SUM(F31:F33)</f>
        <v/>
      </c>
      <c r="G30" s="60">
        <f>SUM(G31:G33)</f>
        <v/>
      </c>
      <c r="H30" s="60">
        <f>SUM(H31:H33)</f>
        <v/>
      </c>
      <c r="I30" s="60">
        <f>SUM(I31:I33)</f>
        <v/>
      </c>
      <c r="J30" s="60">
        <f>SUM(J31:J33)</f>
        <v/>
      </c>
      <c r="K30" s="60">
        <f>SUM(K31:K33)</f>
        <v/>
      </c>
      <c r="L30" s="60">
        <f>SUM(L31:L33)</f>
        <v/>
      </c>
      <c r="M30" s="60">
        <f>SUM(M31:M33)</f>
        <v/>
      </c>
      <c r="N30" s="60">
        <f>SUM(N31:N33)</f>
        <v/>
      </c>
      <c r="O30" s="60">
        <f>SUM(O31:O33)</f>
        <v/>
      </c>
      <c r="P30" s="60">
        <f>SUM(P31:P33)</f>
        <v/>
      </c>
    </row>
    <row r="31" ht="15.75" customHeight="1" s="45">
      <c r="A31" s="61" t="n">
        <v>46084</v>
      </c>
      <c r="B31" s="62" t="inlineStr">
        <is>
          <t>Antes-Projeto</t>
        </is>
      </c>
      <c r="C31" s="63" t="inlineStr">
        <is>
          <t>Acolhimento c/ Classif. de Risco</t>
        </is>
      </c>
      <c r="D31" s="64" t="n">
        <v>230</v>
      </c>
      <c r="E31" s="64" t="n">
        <v>143</v>
      </c>
      <c r="F31" s="64" t="n">
        <v>157</v>
      </c>
      <c r="G31" s="64" t="n">
        <v>140</v>
      </c>
      <c r="H31" s="64" t="n">
        <v>127</v>
      </c>
      <c r="I31" s="64" t="n">
        <v>186</v>
      </c>
      <c r="J31" s="64" t="n">
        <v>123</v>
      </c>
      <c r="K31" s="64" t="n">
        <v>305</v>
      </c>
      <c r="L31" s="64" t="n">
        <v>148</v>
      </c>
      <c r="M31" s="64" t="n">
        <v>254</v>
      </c>
      <c r="N31" s="64" t="n">
        <v>188</v>
      </c>
      <c r="O31" s="64" t="n">
        <v>272</v>
      </c>
      <c r="P31" s="64" t="n">
        <v>248</v>
      </c>
    </row>
    <row r="32" ht="15.75" customHeight="1" s="45">
      <c r="A32" s="61" t="n">
        <v>46084</v>
      </c>
      <c r="B32" s="62" t="inlineStr">
        <is>
          <t>Antes-Projeto</t>
        </is>
      </c>
      <c r="C32" s="65" t="inlineStr">
        <is>
          <t>Atend. Urgência Obs. ≤ 24h</t>
        </is>
      </c>
      <c r="D32" s="66" t="n">
        <v>14</v>
      </c>
      <c r="E32" s="66" t="n">
        <v>10</v>
      </c>
      <c r="F32" s="66" t="n">
        <v>19</v>
      </c>
      <c r="G32" s="66" t="n">
        <v>148</v>
      </c>
      <c r="H32" s="66" t="n">
        <v>17</v>
      </c>
      <c r="I32" s="66" t="n">
        <v>16</v>
      </c>
      <c r="J32" s="66" t="n">
        <v>90</v>
      </c>
      <c r="K32" s="66" t="n">
        <v>142</v>
      </c>
      <c r="L32" s="66" t="n">
        <v>39</v>
      </c>
      <c r="M32" s="66" t="n">
        <v>141</v>
      </c>
      <c r="N32" s="66" t="n">
        <v>29</v>
      </c>
      <c r="O32" s="66" t="n">
        <v>13</v>
      </c>
      <c r="P32" s="66" t="n">
        <v>16</v>
      </c>
    </row>
    <row r="33" ht="15.75" customHeight="1" s="45">
      <c r="A33" s="61" t="n">
        <v>46084</v>
      </c>
      <c r="B33" s="62" t="inlineStr">
        <is>
          <t>Antes-Projeto</t>
        </is>
      </c>
      <c r="C33" s="63" t="inlineStr">
        <is>
          <t>Atend. Médico em UPA</t>
        </is>
      </c>
      <c r="D33" s="64" t="n">
        <v>115</v>
      </c>
      <c r="E33" s="64" t="n">
        <v>120</v>
      </c>
      <c r="F33" s="64" t="n">
        <v>123</v>
      </c>
      <c r="G33" s="64" t="n">
        <v>71</v>
      </c>
      <c r="H33" s="64" t="n">
        <v>72</v>
      </c>
      <c r="I33" s="64" t="n">
        <v>153</v>
      </c>
      <c r="J33" s="64" t="n">
        <v>60</v>
      </c>
      <c r="K33" s="64" t="n">
        <v>218</v>
      </c>
      <c r="L33" s="64" t="n">
        <v>101</v>
      </c>
      <c r="M33" s="64" t="n">
        <v>159</v>
      </c>
      <c r="N33" s="64" t="n">
        <v>193</v>
      </c>
      <c r="O33" s="64" t="n">
        <v>176</v>
      </c>
      <c r="P33" s="64" t="n">
        <v>107</v>
      </c>
    </row>
    <row r="34" ht="15.75" customHeight="1" s="45">
      <c r="A34" s="61" t="n">
        <v>46084</v>
      </c>
      <c r="B34" s="62" t="inlineStr">
        <is>
          <t>Antes-Projeto</t>
        </is>
      </c>
      <c r="C34" s="65" t="inlineStr">
        <is>
          <t>Exames Laboratoriais</t>
        </is>
      </c>
      <c r="D34" s="66" t="n">
        <v>525</v>
      </c>
      <c r="E34" s="66" t="n">
        <v>389</v>
      </c>
      <c r="F34" s="66" t="n">
        <v>449</v>
      </c>
      <c r="G34" s="66" t="n">
        <v>196</v>
      </c>
      <c r="H34" s="66" t="n">
        <v>267</v>
      </c>
      <c r="I34" s="66" t="n">
        <v>401</v>
      </c>
      <c r="J34" s="66" t="n">
        <v>307</v>
      </c>
      <c r="K34" s="66" t="n">
        <v>938</v>
      </c>
      <c r="L34" s="66" t="n">
        <v>716</v>
      </c>
      <c r="M34" s="66" t="n">
        <v>627</v>
      </c>
      <c r="N34" s="66" t="n">
        <v>432</v>
      </c>
      <c r="O34" s="66" t="n">
        <v>548</v>
      </c>
      <c r="P34" s="66" t="n">
        <v>784</v>
      </c>
    </row>
    <row r="35" ht="15.75" customHeight="1" s="45">
      <c r="A35" s="61" t="n">
        <v>46084</v>
      </c>
      <c r="B35" s="62" t="inlineStr">
        <is>
          <t>Antes-Projeto</t>
        </is>
      </c>
      <c r="C35" s="63" t="inlineStr">
        <is>
          <t>Radiografias</t>
        </is>
      </c>
      <c r="D35" s="64" t="n">
        <v>17</v>
      </c>
      <c r="E35" s="67" t="n">
        <v>0</v>
      </c>
      <c r="F35" s="64" t="n">
        <v>22</v>
      </c>
      <c r="G35" s="64" t="n">
        <v>25</v>
      </c>
      <c r="H35" s="64" t="n">
        <v>14</v>
      </c>
      <c r="I35" s="64" t="n">
        <v>27</v>
      </c>
      <c r="J35" s="64" t="n">
        <v>20</v>
      </c>
      <c r="K35" s="64" t="n">
        <v>57</v>
      </c>
      <c r="L35" s="64" t="n">
        <v>34</v>
      </c>
      <c r="M35" s="64" t="n">
        <v>38</v>
      </c>
      <c r="N35" s="64" t="n">
        <v>29</v>
      </c>
      <c r="O35" s="64" t="n">
        <v>51</v>
      </c>
      <c r="P35" s="64" t="n">
        <v>44</v>
      </c>
    </row>
    <row r="36" ht="15.75" customHeight="1" s="45">
      <c r="A36" s="61" t="n">
        <v>46084</v>
      </c>
      <c r="B36" s="62" t="inlineStr">
        <is>
          <t>Antes-Projeto</t>
        </is>
      </c>
      <c r="C36" s="65" t="inlineStr">
        <is>
          <t>Eletrocardiogramas</t>
        </is>
      </c>
      <c r="D36" s="66" t="n">
        <v>20</v>
      </c>
      <c r="E36" s="66" t="n">
        <v>8</v>
      </c>
      <c r="F36" s="66" t="n">
        <v>18</v>
      </c>
      <c r="G36" s="66" t="n">
        <v>17</v>
      </c>
      <c r="H36" s="66" t="n">
        <v>4</v>
      </c>
      <c r="I36" s="66" t="n">
        <v>21</v>
      </c>
      <c r="J36" s="66" t="n">
        <v>10</v>
      </c>
      <c r="K36" s="66" t="n">
        <v>29</v>
      </c>
      <c r="L36" s="66" t="n">
        <v>19</v>
      </c>
      <c r="M36" s="66" t="n">
        <v>18</v>
      </c>
      <c r="N36" s="66" t="n">
        <v>21</v>
      </c>
      <c r="O36" s="66" t="n">
        <v>15</v>
      </c>
      <c r="P36" s="66" t="n">
        <v>18</v>
      </c>
    </row>
    <row r="37" ht="15.75" customHeight="1" s="45">
      <c r="A37" s="61" t="n">
        <v>46084</v>
      </c>
      <c r="B37" s="62" t="inlineStr">
        <is>
          <t>Antes-Projeto</t>
        </is>
      </c>
      <c r="C37" s="68" t="inlineStr">
        <is>
          <t>GAEs Abertas</t>
        </is>
      </c>
      <c r="D37" s="69" t="n">
        <v>245</v>
      </c>
      <c r="E37" s="69" t="n">
        <v>146</v>
      </c>
      <c r="F37" s="69" t="n">
        <v>167</v>
      </c>
      <c r="G37" s="69" t="n">
        <v>148</v>
      </c>
      <c r="H37" s="69" t="n">
        <v>127</v>
      </c>
      <c r="I37" s="69" t="n">
        <v>192</v>
      </c>
      <c r="J37" s="69" t="n">
        <v>124</v>
      </c>
      <c r="K37" s="69" t="n">
        <v>328</v>
      </c>
      <c r="L37" s="69" t="n">
        <v>152</v>
      </c>
      <c r="M37" s="69" t="n">
        <v>279</v>
      </c>
      <c r="N37" s="69" t="n">
        <v>188</v>
      </c>
      <c r="O37" s="69" t="n">
        <v>290</v>
      </c>
      <c r="P37" s="69" t="n">
        <v>250</v>
      </c>
    </row>
    <row r="38" ht="15.75" customHeight="1" s="45">
      <c r="A38" s="61" t="n">
        <v>46084</v>
      </c>
      <c r="B38" s="62" t="inlineStr">
        <is>
          <t>Antes-Projeto</t>
        </is>
      </c>
      <c r="C38" s="68" t="inlineStr">
        <is>
          <t>GAEs Classificadas</t>
        </is>
      </c>
      <c r="D38" s="69" t="n">
        <v>235</v>
      </c>
      <c r="E38" s="69" t="n">
        <v>143</v>
      </c>
      <c r="F38" s="69" t="n">
        <v>157</v>
      </c>
      <c r="G38" s="69" t="n">
        <v>146</v>
      </c>
      <c r="H38" s="69" t="n">
        <v>127</v>
      </c>
      <c r="I38" s="69" t="n">
        <v>180</v>
      </c>
      <c r="J38" s="69" t="n">
        <v>122</v>
      </c>
      <c r="K38" s="69" t="n">
        <v>298</v>
      </c>
      <c r="L38" s="69" t="n">
        <v>148</v>
      </c>
      <c r="M38" s="69" t="n">
        <v>252</v>
      </c>
      <c r="N38" s="69" t="n">
        <v>182</v>
      </c>
      <c r="O38" s="69" t="n">
        <v>273</v>
      </c>
      <c r="P38" s="69" t="n">
        <v>244</v>
      </c>
    </row>
    <row r="39" ht="15.75" customHeight="1" s="45">
      <c r="A39" s="61" t="n">
        <v>46084</v>
      </c>
      <c r="B39" s="62" t="inlineStr">
        <is>
          <t>Antes-Projeto</t>
        </is>
      </c>
      <c r="C39" s="70" t="inlineStr">
        <is>
          <t>Percentual de GAEs abertas classificadas</t>
        </is>
      </c>
      <c r="D39" s="71">
        <f>IFERROR(D38/D37,"-")</f>
        <v/>
      </c>
      <c r="E39" s="71">
        <f>IFERROR(E38/E37,"-")</f>
        <v/>
      </c>
      <c r="F39" s="71">
        <f>IFERROR(F38/F37,"-")</f>
        <v/>
      </c>
      <c r="G39" s="71">
        <f>IFERROR(G38/G37,"-")</f>
        <v/>
      </c>
      <c r="H39" s="71">
        <f>IFERROR(H38/H37,"-")</f>
        <v/>
      </c>
      <c r="I39" s="71">
        <f>IFERROR(I38/I37,"-")</f>
        <v/>
      </c>
      <c r="J39" s="71">
        <f>IFERROR(J38/J37,"-")</f>
        <v/>
      </c>
      <c r="K39" s="71">
        <f>IFERROR(K38/K37,"-")</f>
        <v/>
      </c>
      <c r="L39" s="71">
        <f>IFERROR(L38/L37,"-")</f>
        <v/>
      </c>
      <c r="M39" s="71">
        <f>IFERROR(M38/M37,"-")</f>
        <v/>
      </c>
      <c r="N39" s="71">
        <f>IFERROR(N38/N37,"-")</f>
        <v/>
      </c>
      <c r="O39" s="71">
        <f>IFERROR(O38/O37,"-")</f>
        <v/>
      </c>
      <c r="P39" s="71">
        <f>IFERROR(P38/P37,"-")</f>
        <v/>
      </c>
    </row>
    <row r="40" ht="15.75" customHeight="1" s="45">
      <c r="A40" s="61" t="n">
        <v>46084</v>
      </c>
      <c r="B40" s="62" t="inlineStr">
        <is>
          <t>Antes-Projeto</t>
        </is>
      </c>
      <c r="C40" s="72" t="inlineStr">
        <is>
          <t>Tempo Médio — 🟡 Amarelo (hh:mm)</t>
        </is>
      </c>
      <c r="D40" s="73" t="n">
        <v>0.109375</v>
      </c>
      <c r="E40" s="73" t="n">
        <v>0.05646990740740741</v>
      </c>
      <c r="F40" s="73" t="n">
        <v>0.01511574074074074</v>
      </c>
      <c r="G40" s="73" t="n">
        <v>0.03996527777777778</v>
      </c>
      <c r="H40" s="73" t="n">
        <v>0.07511574074074075</v>
      </c>
      <c r="I40" s="73" t="n">
        <v>0.1094907407407407</v>
      </c>
      <c r="J40" s="73" t="n">
        <v>0.06349537037037037</v>
      </c>
      <c r="K40" s="73" t="n">
        <v>0.09751157407407407</v>
      </c>
      <c r="L40" s="73" t="n">
        <v>0.09929398148148148</v>
      </c>
      <c r="M40" s="73" t="n">
        <v>0.01923611111111111</v>
      </c>
      <c r="N40" s="73" t="n">
        <v>0.0808912037037037</v>
      </c>
      <c r="O40" s="73" t="n">
        <v>0.04702546296296296</v>
      </c>
      <c r="P40" s="73" t="n">
        <v>0.1178819444444444</v>
      </c>
    </row>
    <row r="41" ht="15.75" customHeight="1" s="45">
      <c r="A41" s="61" t="n">
        <v>46084</v>
      </c>
      <c r="B41" s="62" t="inlineStr">
        <is>
          <t>Antes-Projeto</t>
        </is>
      </c>
      <c r="C41" s="74" t="inlineStr">
        <is>
          <t>Tempo Médio — 🟠 Laranja (hh:mm)</t>
        </is>
      </c>
      <c r="D41" s="75" t="n">
        <v>0.01229166666666667</v>
      </c>
      <c r="E41" s="75" t="n">
        <v>0.008842592592592593</v>
      </c>
      <c r="F41" s="75" t="n">
        <v>0.005798611111111111</v>
      </c>
      <c r="G41" s="75" t="n">
        <v>0.01534722222222222</v>
      </c>
      <c r="H41" s="75" t="n">
        <v>0.004756944444444445</v>
      </c>
      <c r="I41" s="75" t="n">
        <v>0.008067129629629629</v>
      </c>
      <c r="J41" s="75" t="n">
        <v>0.003923611111111111</v>
      </c>
      <c r="K41" s="75" t="n">
        <v>0.01378472222222222</v>
      </c>
      <c r="L41" s="75" t="n">
        <v>0.0166087962962963</v>
      </c>
      <c r="M41" s="75" t="n">
        <v>0.01127314814814815</v>
      </c>
      <c r="N41" s="75" t="n">
        <v>0.00886574074074074</v>
      </c>
      <c r="O41" s="75" t="n">
        <v>0.0103125</v>
      </c>
      <c r="P41" s="75" t="n">
        <v>0.01564814814814815</v>
      </c>
    </row>
    <row r="42" ht="15.75" customHeight="1" s="45">
      <c r="A42" s="76" t="n">
        <v>46084</v>
      </c>
      <c r="B42" s="77" t="inlineStr">
        <is>
          <t>Antes-Projeto</t>
        </is>
      </c>
      <c r="C42" s="78" t="inlineStr">
        <is>
          <t>Tempo Médio — 🟢 Verde   (hh:mm)</t>
        </is>
      </c>
      <c r="D42" s="79" t="n">
        <v>0.1075578703703704</v>
      </c>
      <c r="E42" s="79" t="n">
        <v>0.1600231481481481</v>
      </c>
      <c r="F42" s="79" t="n">
        <v>0.06122685185185185</v>
      </c>
      <c r="G42" s="79" t="n">
        <v>0.1063425925925926</v>
      </c>
      <c r="H42" s="79" t="n">
        <v>0.1296180555555556</v>
      </c>
      <c r="I42" s="79" t="n">
        <v>0.1397453703703704</v>
      </c>
      <c r="J42" s="79" t="n">
        <v>0.09515046296296296</v>
      </c>
      <c r="K42" s="79" t="n">
        <v>0.1177777777777778</v>
      </c>
      <c r="L42" s="79" t="n">
        <v>0.1387037037037037</v>
      </c>
      <c r="M42" s="79" t="n">
        <v>0.0770138888888889</v>
      </c>
      <c r="N42" s="79" t="n">
        <v>0.1207407407407407</v>
      </c>
      <c r="O42" s="79" t="n">
        <v>0.1487268518518519</v>
      </c>
      <c r="P42" s="79" t="n">
        <v>0.1200694444444445</v>
      </c>
    </row>
    <row r="43" ht="15.75" customHeight="1" s="45">
      <c r="A43" s="57" t="n">
        <v>46085</v>
      </c>
      <c r="B43" s="58" t="inlineStr">
        <is>
          <t>Antes-Projeto</t>
        </is>
      </c>
      <c r="C43" s="59" t="inlineStr">
        <is>
          <t>Acolhim. + Atend. Urgência + Atend. UPA</t>
        </is>
      </c>
      <c r="D43" s="60">
        <f>SUM(D44:D46)</f>
        <v/>
      </c>
      <c r="E43" s="60">
        <f>SUM(E44:E46)</f>
        <v/>
      </c>
      <c r="F43" s="60">
        <f>SUM(F44:F46)</f>
        <v/>
      </c>
      <c r="G43" s="60">
        <f>SUM(G44:G46)</f>
        <v/>
      </c>
      <c r="H43" s="60">
        <f>SUM(H44:H46)</f>
        <v/>
      </c>
      <c r="I43" s="60">
        <f>SUM(I44:I46)</f>
        <v/>
      </c>
      <c r="J43" s="60">
        <f>SUM(J44:J46)</f>
        <v/>
      </c>
      <c r="K43" s="60">
        <f>SUM(K44:K46)</f>
        <v/>
      </c>
      <c r="L43" s="60">
        <f>SUM(L44:L46)</f>
        <v/>
      </c>
      <c r="M43" s="60">
        <f>SUM(M44:M46)</f>
        <v/>
      </c>
      <c r="N43" s="60">
        <f>SUM(N44:N46)</f>
        <v/>
      </c>
      <c r="O43" s="60">
        <f>SUM(O44:O46)</f>
        <v/>
      </c>
      <c r="P43" s="60">
        <f>SUM(P44:P46)</f>
        <v/>
      </c>
    </row>
    <row r="44" ht="15.75" customHeight="1" s="45">
      <c r="A44" s="61" t="n">
        <v>46085</v>
      </c>
      <c r="B44" s="62" t="inlineStr">
        <is>
          <t>Antes-Projeto</t>
        </is>
      </c>
      <c r="C44" s="65" t="inlineStr">
        <is>
          <t>Acolhimento c/ Classif. de Risco</t>
        </is>
      </c>
      <c r="D44" s="66" t="n">
        <v>237</v>
      </c>
      <c r="E44" s="66" t="n">
        <v>155</v>
      </c>
      <c r="F44" s="66" t="n">
        <v>146</v>
      </c>
      <c r="G44" s="66" t="n">
        <v>139</v>
      </c>
      <c r="H44" s="66" t="n">
        <v>123</v>
      </c>
      <c r="I44" s="66" t="n">
        <v>166</v>
      </c>
      <c r="J44" s="66" t="n">
        <v>94</v>
      </c>
      <c r="K44" s="66" t="n">
        <v>312</v>
      </c>
      <c r="L44" s="66" t="n">
        <v>140</v>
      </c>
      <c r="M44" s="66" t="n">
        <v>249</v>
      </c>
      <c r="N44" s="66" t="n">
        <v>221</v>
      </c>
      <c r="O44" s="66" t="n">
        <v>255</v>
      </c>
      <c r="P44" s="66" t="n">
        <v>234</v>
      </c>
    </row>
    <row r="45" ht="15.75" customHeight="1" s="45">
      <c r="A45" s="61" t="n">
        <v>46085</v>
      </c>
      <c r="B45" s="62" t="inlineStr">
        <is>
          <t>Antes-Projeto</t>
        </is>
      </c>
      <c r="C45" s="63" t="inlineStr">
        <is>
          <t>Atend. Urgência Obs. ≤ 24h</t>
        </is>
      </c>
      <c r="D45" s="64" t="n">
        <v>13</v>
      </c>
      <c r="E45" s="64" t="n">
        <v>26</v>
      </c>
      <c r="F45" s="64" t="n">
        <v>19</v>
      </c>
      <c r="G45" s="64" t="n">
        <v>35</v>
      </c>
      <c r="H45" s="64" t="n">
        <v>14</v>
      </c>
      <c r="I45" s="64" t="n">
        <v>16</v>
      </c>
      <c r="J45" s="64" t="n">
        <v>29</v>
      </c>
      <c r="K45" s="64" t="n">
        <v>186</v>
      </c>
      <c r="L45" s="64" t="n">
        <v>52</v>
      </c>
      <c r="M45" s="64" t="n">
        <v>77</v>
      </c>
      <c r="N45" s="64" t="n">
        <v>46</v>
      </c>
      <c r="O45" s="64" t="n">
        <v>4</v>
      </c>
      <c r="P45" s="64" t="n">
        <v>18</v>
      </c>
    </row>
    <row r="46" ht="15.75" customHeight="1" s="45">
      <c r="A46" s="61" t="n">
        <v>46085</v>
      </c>
      <c r="B46" s="62" t="inlineStr">
        <is>
          <t>Antes-Projeto</t>
        </is>
      </c>
      <c r="C46" s="65" t="inlineStr">
        <is>
          <t>Atend. Médico em UPA</t>
        </is>
      </c>
      <c r="D46" s="66" t="n">
        <v>150</v>
      </c>
      <c r="E46" s="66" t="n">
        <v>86</v>
      </c>
      <c r="F46" s="66" t="n">
        <v>110</v>
      </c>
      <c r="G46" s="66" t="n">
        <v>86</v>
      </c>
      <c r="H46" s="66" t="n">
        <v>61</v>
      </c>
      <c r="I46" s="66" t="n">
        <v>153</v>
      </c>
      <c r="J46" s="66" t="n">
        <v>80</v>
      </c>
      <c r="K46" s="66" t="n">
        <v>203</v>
      </c>
      <c r="L46" s="66" t="n">
        <v>90</v>
      </c>
      <c r="M46" s="66" t="n">
        <v>155</v>
      </c>
      <c r="N46" s="66" t="n">
        <v>203</v>
      </c>
      <c r="O46" s="66" t="n">
        <v>202</v>
      </c>
      <c r="P46" s="66" t="n">
        <v>105</v>
      </c>
    </row>
    <row r="47" ht="15.75" customHeight="1" s="45">
      <c r="A47" s="61" t="n">
        <v>46085</v>
      </c>
      <c r="B47" s="62" t="inlineStr">
        <is>
          <t>Antes-Projeto</t>
        </is>
      </c>
      <c r="C47" s="63" t="inlineStr">
        <is>
          <t>Exames Laboratoriais</t>
        </is>
      </c>
      <c r="D47" s="64" t="n">
        <v>588</v>
      </c>
      <c r="E47" s="64" t="n">
        <v>294</v>
      </c>
      <c r="F47" s="64" t="n">
        <v>330</v>
      </c>
      <c r="G47" s="64" t="n">
        <v>366</v>
      </c>
      <c r="H47" s="64" t="n">
        <v>335</v>
      </c>
      <c r="I47" s="64" t="n">
        <v>555</v>
      </c>
      <c r="J47" s="64" t="n">
        <v>257</v>
      </c>
      <c r="K47" s="64" t="n">
        <v>986</v>
      </c>
      <c r="L47" s="64" t="n">
        <v>622</v>
      </c>
      <c r="M47" s="64" t="n">
        <v>627</v>
      </c>
      <c r="N47" s="64" t="n">
        <v>488</v>
      </c>
      <c r="O47" s="64" t="n">
        <v>457</v>
      </c>
      <c r="P47" s="64" t="n">
        <v>262</v>
      </c>
    </row>
    <row r="48" ht="15.75" customHeight="1" s="45">
      <c r="A48" s="61" t="n">
        <v>46085</v>
      </c>
      <c r="B48" s="62" t="inlineStr">
        <is>
          <t>Antes-Projeto</t>
        </is>
      </c>
      <c r="C48" s="65" t="inlineStr">
        <is>
          <t>Radiografias</t>
        </is>
      </c>
      <c r="D48" s="66" t="n">
        <v>23</v>
      </c>
      <c r="E48" s="67" t="n">
        <v>0</v>
      </c>
      <c r="F48" s="66" t="n">
        <v>26</v>
      </c>
      <c r="G48" s="66" t="n">
        <v>23</v>
      </c>
      <c r="H48" s="66" t="n">
        <v>16</v>
      </c>
      <c r="I48" s="66" t="n">
        <v>25</v>
      </c>
      <c r="J48" s="66" t="n">
        <v>10</v>
      </c>
      <c r="K48" s="66" t="n">
        <v>51</v>
      </c>
      <c r="L48" s="66" t="n">
        <v>32</v>
      </c>
      <c r="M48" s="66" t="n">
        <v>62</v>
      </c>
      <c r="N48" s="66" t="n">
        <v>24</v>
      </c>
      <c r="O48" s="66" t="n">
        <v>41</v>
      </c>
      <c r="P48" s="66" t="n">
        <v>36</v>
      </c>
    </row>
    <row r="49" ht="15.75" customHeight="1" s="45">
      <c r="A49" s="61" t="n">
        <v>46085</v>
      </c>
      <c r="B49" s="62" t="inlineStr">
        <is>
          <t>Antes-Projeto</t>
        </is>
      </c>
      <c r="C49" s="63" t="inlineStr">
        <is>
          <t>Eletrocardiogramas</t>
        </is>
      </c>
      <c r="D49" s="64" t="n">
        <v>14</v>
      </c>
      <c r="E49" s="64" t="n">
        <v>15</v>
      </c>
      <c r="F49" s="64" t="n">
        <v>17</v>
      </c>
      <c r="G49" s="64" t="n">
        <v>18</v>
      </c>
      <c r="H49" s="64" t="n">
        <v>9</v>
      </c>
      <c r="I49" s="64" t="n">
        <v>18</v>
      </c>
      <c r="J49" s="64" t="n">
        <v>6</v>
      </c>
      <c r="K49" s="64" t="n">
        <v>40</v>
      </c>
      <c r="L49" s="64" t="n">
        <v>25</v>
      </c>
      <c r="M49" s="64" t="n">
        <v>20</v>
      </c>
      <c r="N49" s="64" t="n">
        <v>12</v>
      </c>
      <c r="O49" s="64" t="n">
        <v>16</v>
      </c>
      <c r="P49" s="64" t="n">
        <v>14</v>
      </c>
    </row>
    <row r="50" ht="15.75" customHeight="1" s="45">
      <c r="A50" s="61" t="n">
        <v>46085</v>
      </c>
      <c r="B50" s="62" t="inlineStr">
        <is>
          <t>Antes-Projeto</t>
        </is>
      </c>
      <c r="C50" s="68" t="inlineStr">
        <is>
          <t>GAEs Abertas</t>
        </is>
      </c>
      <c r="D50" s="69" t="n">
        <v>253</v>
      </c>
      <c r="E50" s="69" t="n">
        <v>162</v>
      </c>
      <c r="F50" s="69" t="n">
        <v>152</v>
      </c>
      <c r="G50" s="69" t="n">
        <v>140</v>
      </c>
      <c r="H50" s="69" t="n">
        <v>128</v>
      </c>
      <c r="I50" s="69" t="n">
        <v>185</v>
      </c>
      <c r="J50" s="69" t="n">
        <v>97</v>
      </c>
      <c r="K50" s="69" t="n">
        <v>340</v>
      </c>
      <c r="L50" s="69" t="n">
        <v>144</v>
      </c>
      <c r="M50" s="69" t="n">
        <v>262</v>
      </c>
      <c r="N50" s="69" t="n">
        <v>219</v>
      </c>
      <c r="O50" s="69" t="n">
        <v>284</v>
      </c>
      <c r="P50" s="69" t="n">
        <v>244</v>
      </c>
    </row>
    <row r="51" ht="15.75" customHeight="1" s="45">
      <c r="A51" s="61" t="n">
        <v>46085</v>
      </c>
      <c r="B51" s="62" t="inlineStr">
        <is>
          <t>Antes-Projeto</t>
        </is>
      </c>
      <c r="C51" s="68" t="inlineStr">
        <is>
          <t>GAEs Classificadas</t>
        </is>
      </c>
      <c r="D51" s="69" t="n">
        <v>233</v>
      </c>
      <c r="E51" s="69" t="n">
        <v>157</v>
      </c>
      <c r="F51" s="69" t="n">
        <v>146</v>
      </c>
      <c r="G51" s="69" t="n">
        <v>139</v>
      </c>
      <c r="H51" s="69" t="n">
        <v>124</v>
      </c>
      <c r="I51" s="69" t="n">
        <v>167</v>
      </c>
      <c r="J51" s="69" t="n">
        <v>94</v>
      </c>
      <c r="K51" s="69" t="n">
        <v>319</v>
      </c>
      <c r="L51" s="69" t="n">
        <v>139</v>
      </c>
      <c r="M51" s="69" t="n">
        <v>249</v>
      </c>
      <c r="N51" s="69" t="n">
        <v>209</v>
      </c>
      <c r="O51" s="69" t="n">
        <v>255</v>
      </c>
      <c r="P51" s="69" t="n">
        <v>236</v>
      </c>
    </row>
    <row r="52" ht="15.75" customHeight="1" s="45">
      <c r="A52" s="61" t="n">
        <v>46085</v>
      </c>
      <c r="B52" s="62" t="inlineStr">
        <is>
          <t>Antes-Projeto</t>
        </is>
      </c>
      <c r="C52" s="70" t="inlineStr">
        <is>
          <t>Percentual de GAEs abertas classificadas</t>
        </is>
      </c>
      <c r="D52" s="71">
        <f>IFERROR(D51/D50,"-")</f>
        <v/>
      </c>
      <c r="E52" s="71">
        <f>IFERROR(E51/E50,"-")</f>
        <v/>
      </c>
      <c r="F52" s="71">
        <f>IFERROR(F51/F50,"-")</f>
        <v/>
      </c>
      <c r="G52" s="71">
        <f>IFERROR(G51/G50,"-")</f>
        <v/>
      </c>
      <c r="H52" s="71">
        <f>IFERROR(H51/H50,"-")</f>
        <v/>
      </c>
      <c r="I52" s="71">
        <f>IFERROR(I51/I50,"-")</f>
        <v/>
      </c>
      <c r="J52" s="71">
        <f>IFERROR(J51/J50,"-")</f>
        <v/>
      </c>
      <c r="K52" s="71">
        <f>IFERROR(K51/K50,"-")</f>
        <v/>
      </c>
      <c r="L52" s="71">
        <f>IFERROR(L51/L50,"-")</f>
        <v/>
      </c>
      <c r="M52" s="71">
        <f>IFERROR(M51/M50,"-")</f>
        <v/>
      </c>
      <c r="N52" s="71">
        <f>IFERROR(N51/N50,"-")</f>
        <v/>
      </c>
      <c r="O52" s="71">
        <f>IFERROR(O51/O50,"-")</f>
        <v/>
      </c>
      <c r="P52" s="71">
        <f>IFERROR(P51/P50,"-")</f>
        <v/>
      </c>
    </row>
    <row r="53" ht="15.75" customHeight="1" s="45">
      <c r="A53" s="61" t="n">
        <v>46085</v>
      </c>
      <c r="B53" s="62" t="inlineStr">
        <is>
          <t>Antes-Projeto</t>
        </is>
      </c>
      <c r="C53" s="72" t="inlineStr">
        <is>
          <t>Tempo Médio — 🟡 Amarelo (hh:mm)</t>
        </is>
      </c>
      <c r="D53" s="73" t="n">
        <v>0.02924768518518519</v>
      </c>
      <c r="E53" s="73" t="n">
        <v>0.3745370370370371</v>
      </c>
      <c r="F53" s="73" t="n">
        <v>0.0487037037037037</v>
      </c>
      <c r="G53" s="73" t="n">
        <v>0.02453703703703704</v>
      </c>
      <c r="H53" s="73" t="n">
        <v>0.07143518518518518</v>
      </c>
      <c r="I53" s="73" t="n">
        <v>0.09130787037037037</v>
      </c>
      <c r="J53" s="73" t="n">
        <v>0.03246527777777778</v>
      </c>
      <c r="K53" s="73" t="n">
        <v>0.06598379629629629</v>
      </c>
      <c r="L53" s="73" t="n">
        <v>0.1156018518518519</v>
      </c>
      <c r="M53" s="73" t="n">
        <v>0.02116898148148148</v>
      </c>
      <c r="N53" s="73" t="n">
        <v>0.1711226851851852</v>
      </c>
      <c r="O53" s="73" t="n">
        <v>0.07464120370370371</v>
      </c>
      <c r="P53" s="73" t="n">
        <v>0.07439814814814814</v>
      </c>
    </row>
    <row r="54" ht="15.75" customHeight="1" s="45">
      <c r="A54" s="61" t="n">
        <v>46085</v>
      </c>
      <c r="B54" s="62" t="inlineStr">
        <is>
          <t>Antes-Projeto</t>
        </is>
      </c>
      <c r="C54" s="74" t="inlineStr">
        <is>
          <t>Tempo Médio — 🟠 Laranja (hh:mm)</t>
        </is>
      </c>
      <c r="D54" s="75" t="n">
        <v>0.007268518518518519</v>
      </c>
      <c r="E54" s="75" t="n">
        <v>0.03206018518518518</v>
      </c>
      <c r="F54" s="75" t="n">
        <v>0.009872685185185186</v>
      </c>
      <c r="G54" s="75" t="n">
        <v>0.003518518518518518</v>
      </c>
      <c r="H54" s="75" t="n">
        <v>0.005972222222222223</v>
      </c>
      <c r="I54" s="75" t="n">
        <v>0.006180555555555555</v>
      </c>
      <c r="J54" s="75" t="n">
        <v>0.004664351851851852</v>
      </c>
      <c r="K54" s="75" t="n">
        <v>0.015</v>
      </c>
      <c r="L54" s="75" t="n">
        <v>0.02483796296296296</v>
      </c>
      <c r="M54" s="75" t="n">
        <v>0.004351851851851852</v>
      </c>
      <c r="N54" s="75" t="n">
        <v>0.02231481481481482</v>
      </c>
      <c r="O54" s="75" t="n">
        <v>0.01483796296296296</v>
      </c>
      <c r="P54" s="75" t="n">
        <v>0.01109953703703704</v>
      </c>
    </row>
    <row r="55" ht="15.75" customHeight="1" s="45">
      <c r="A55" s="76" t="n">
        <v>46085</v>
      </c>
      <c r="B55" s="77" t="inlineStr">
        <is>
          <t>Antes-Projeto</t>
        </is>
      </c>
      <c r="C55" s="78" t="inlineStr">
        <is>
          <t>Tempo Médio — 🟢 Verde   (hh:mm)</t>
        </is>
      </c>
      <c r="D55" s="79" t="n">
        <v>0.07140046296296296</v>
      </c>
      <c r="E55" s="79" t="n">
        <v>0.1986111111111111</v>
      </c>
      <c r="F55" s="79" t="n">
        <v>0.119224537037037</v>
      </c>
      <c r="G55" s="79" t="n">
        <v>0.04197916666666666</v>
      </c>
      <c r="H55" s="79" t="n">
        <v>0.09565972222222222</v>
      </c>
      <c r="I55" s="79" t="n">
        <v>0.1425925925925926</v>
      </c>
      <c r="J55" s="79" t="n">
        <v>0.06685185185185186</v>
      </c>
      <c r="K55" s="79" t="n">
        <v>0.1060185185185185</v>
      </c>
      <c r="L55" s="79" t="n">
        <v>0.250787037037037</v>
      </c>
      <c r="M55" s="79" t="n">
        <v>0.09196759259259259</v>
      </c>
      <c r="N55" s="79" t="n">
        <v>0.1533217592592593</v>
      </c>
      <c r="O55" s="79" t="n">
        <v>0.1127430555555556</v>
      </c>
      <c r="P55" s="79" t="n">
        <v>0.1271412037037037</v>
      </c>
    </row>
    <row r="56" ht="15.75" customHeight="1" s="45">
      <c r="A56" s="57" t="n">
        <v>46086</v>
      </c>
      <c r="B56" s="58" t="inlineStr">
        <is>
          <t>Antes-Projeto</t>
        </is>
      </c>
      <c r="C56" s="59" t="inlineStr">
        <is>
          <t>Acolhim. + Atend. Urgência + Atend. UPA</t>
        </is>
      </c>
      <c r="D56" s="60">
        <f>SUM(D57:D59)</f>
        <v/>
      </c>
      <c r="E56" s="60">
        <f>SUM(E57:E59)</f>
        <v/>
      </c>
      <c r="F56" s="60">
        <f>SUM(F57:F59)</f>
        <v/>
      </c>
      <c r="G56" s="60">
        <f>SUM(G57:G59)</f>
        <v/>
      </c>
      <c r="H56" s="60">
        <f>SUM(H57:H59)</f>
        <v/>
      </c>
      <c r="I56" s="60">
        <f>SUM(I57:I59)</f>
        <v/>
      </c>
      <c r="J56" s="60">
        <f>SUM(J57:J59)</f>
        <v/>
      </c>
      <c r="K56" s="60">
        <f>SUM(K57:K59)</f>
        <v/>
      </c>
      <c r="L56" s="60">
        <f>SUM(L57:L59)</f>
        <v/>
      </c>
      <c r="M56" s="60">
        <f>SUM(M57:M59)</f>
        <v/>
      </c>
      <c r="N56" s="60">
        <f>SUM(N57:N59)</f>
        <v/>
      </c>
      <c r="O56" s="60">
        <f>SUM(O57:O59)</f>
        <v/>
      </c>
      <c r="P56" s="60">
        <f>SUM(P57:P59)</f>
        <v/>
      </c>
    </row>
    <row r="57" ht="15.75" customHeight="1" s="45">
      <c r="A57" s="61" t="n">
        <v>46086</v>
      </c>
      <c r="B57" s="62" t="inlineStr">
        <is>
          <t>Antes-Projeto</t>
        </is>
      </c>
      <c r="C57" s="63" t="inlineStr">
        <is>
          <t>Acolhimento c/ Classif. de Risco</t>
        </is>
      </c>
      <c r="D57" s="64" t="n">
        <v>230</v>
      </c>
      <c r="E57" s="64" t="n">
        <v>134</v>
      </c>
      <c r="F57" s="64" t="n">
        <v>154</v>
      </c>
      <c r="G57" s="64" t="n">
        <v>121</v>
      </c>
      <c r="H57" s="64" t="n">
        <v>135</v>
      </c>
      <c r="I57" s="64" t="n">
        <v>198</v>
      </c>
      <c r="J57" s="64" t="n">
        <v>116</v>
      </c>
      <c r="K57" s="64" t="n">
        <v>276</v>
      </c>
      <c r="L57" s="64" t="n">
        <v>137</v>
      </c>
      <c r="M57" s="64" t="n">
        <v>243</v>
      </c>
      <c r="N57" s="64" t="n">
        <v>178</v>
      </c>
      <c r="O57" s="64" t="n">
        <v>283</v>
      </c>
      <c r="P57" s="64" t="n">
        <v>247</v>
      </c>
    </row>
    <row r="58" ht="15.75" customHeight="1" s="45">
      <c r="A58" s="61" t="n">
        <v>46086</v>
      </c>
      <c r="B58" s="62" t="inlineStr">
        <is>
          <t>Antes-Projeto</t>
        </is>
      </c>
      <c r="C58" s="65" t="inlineStr">
        <is>
          <t>Atend. Urgência Obs. ≤ 24h</t>
        </is>
      </c>
      <c r="D58" s="66" t="n">
        <v>9</v>
      </c>
      <c r="E58" s="66" t="n">
        <v>44</v>
      </c>
      <c r="F58" s="66" t="n">
        <v>16</v>
      </c>
      <c r="G58" s="66" t="n">
        <v>67</v>
      </c>
      <c r="H58" s="66" t="n">
        <v>13</v>
      </c>
      <c r="I58" s="66" t="n">
        <v>11</v>
      </c>
      <c r="J58" s="66" t="n">
        <v>27</v>
      </c>
      <c r="K58" s="66" t="n">
        <v>127</v>
      </c>
      <c r="L58" s="66" t="n">
        <v>47</v>
      </c>
      <c r="M58" s="66" t="n">
        <v>60</v>
      </c>
      <c r="N58" s="66" t="n">
        <v>54</v>
      </c>
      <c r="O58" s="66" t="n">
        <v>8</v>
      </c>
      <c r="P58" s="66" t="n">
        <v>26</v>
      </c>
    </row>
    <row r="59" ht="15.75" customHeight="1" s="45">
      <c r="A59" s="61" t="n">
        <v>46086</v>
      </c>
      <c r="B59" s="62" t="inlineStr">
        <is>
          <t>Antes-Projeto</t>
        </is>
      </c>
      <c r="C59" s="63" t="inlineStr">
        <is>
          <t>Atend. Médico em UPA</t>
        </is>
      </c>
      <c r="D59" s="64" t="n">
        <v>144</v>
      </c>
      <c r="E59" s="64" t="n">
        <v>69</v>
      </c>
      <c r="F59" s="64" t="n">
        <v>119</v>
      </c>
      <c r="G59" s="64" t="n">
        <v>77</v>
      </c>
      <c r="H59" s="64" t="n">
        <v>88</v>
      </c>
      <c r="I59" s="64" t="n">
        <v>133</v>
      </c>
      <c r="J59" s="64" t="n">
        <v>100</v>
      </c>
      <c r="K59" s="64" t="n">
        <v>165</v>
      </c>
      <c r="L59" s="64" t="n">
        <v>99</v>
      </c>
      <c r="M59" s="64" t="n">
        <v>130</v>
      </c>
      <c r="N59" s="64" t="n">
        <v>197</v>
      </c>
      <c r="O59" s="64" t="n">
        <v>217</v>
      </c>
      <c r="P59" s="64" t="n">
        <v>140</v>
      </c>
    </row>
    <row r="60" ht="15.75" customHeight="1" s="45">
      <c r="A60" s="61" t="n">
        <v>46086</v>
      </c>
      <c r="B60" s="62" t="inlineStr">
        <is>
          <t>Antes-Projeto</t>
        </is>
      </c>
      <c r="C60" s="65" t="inlineStr">
        <is>
          <t>Exames Laboratoriais</t>
        </is>
      </c>
      <c r="D60" s="66" t="n">
        <v>530</v>
      </c>
      <c r="E60" s="66" t="n">
        <v>427</v>
      </c>
      <c r="F60" s="66" t="n">
        <v>465</v>
      </c>
      <c r="G60" s="66" t="n">
        <v>247</v>
      </c>
      <c r="H60" s="66" t="n">
        <v>310</v>
      </c>
      <c r="I60" s="66" t="n">
        <v>408</v>
      </c>
      <c r="J60" s="66" t="n">
        <v>224</v>
      </c>
      <c r="K60" s="66" t="n">
        <v>738</v>
      </c>
      <c r="L60" s="66" t="n">
        <v>599</v>
      </c>
      <c r="M60" s="66" t="n">
        <v>743</v>
      </c>
      <c r="N60" s="66" t="n">
        <v>402</v>
      </c>
      <c r="O60" s="66" t="n">
        <v>354</v>
      </c>
      <c r="P60" s="66" t="n">
        <v>257</v>
      </c>
    </row>
    <row r="61" ht="15.75" customHeight="1" s="45">
      <c r="A61" s="61" t="n">
        <v>46086</v>
      </c>
      <c r="B61" s="62" t="inlineStr">
        <is>
          <t>Antes-Projeto</t>
        </is>
      </c>
      <c r="C61" s="63" t="inlineStr">
        <is>
          <t>Radiografias</t>
        </is>
      </c>
      <c r="D61" s="64" t="n">
        <v>30</v>
      </c>
      <c r="E61" s="67" t="n">
        <v>0</v>
      </c>
      <c r="F61" s="64" t="n">
        <v>27</v>
      </c>
      <c r="G61" s="64" t="n">
        <v>22</v>
      </c>
      <c r="H61" s="64" t="n">
        <v>13</v>
      </c>
      <c r="I61" s="64" t="n">
        <v>15</v>
      </c>
      <c r="J61" s="64" t="n">
        <v>10</v>
      </c>
      <c r="K61" s="64" t="n">
        <v>36</v>
      </c>
      <c r="L61" s="64" t="n">
        <v>37</v>
      </c>
      <c r="M61" s="64" t="n">
        <v>84</v>
      </c>
      <c r="N61" s="64" t="n">
        <v>27</v>
      </c>
      <c r="O61" s="64" t="n">
        <v>58</v>
      </c>
      <c r="P61" s="64" t="n">
        <v>41</v>
      </c>
    </row>
    <row r="62" ht="15.75" customHeight="1" s="45">
      <c r="A62" s="61" t="n">
        <v>46086</v>
      </c>
      <c r="B62" s="62" t="inlineStr">
        <is>
          <t>Antes-Projeto</t>
        </is>
      </c>
      <c r="C62" s="65" t="inlineStr">
        <is>
          <t>Eletrocardiogramas</t>
        </is>
      </c>
      <c r="D62" s="66" t="n">
        <v>23</v>
      </c>
      <c r="E62" s="66" t="n">
        <v>17</v>
      </c>
      <c r="F62" s="66" t="n">
        <v>33</v>
      </c>
      <c r="G62" s="66" t="n">
        <v>10</v>
      </c>
      <c r="H62" s="66" t="n">
        <v>10</v>
      </c>
      <c r="I62" s="66" t="n">
        <v>18</v>
      </c>
      <c r="J62" s="66" t="n">
        <v>5</v>
      </c>
      <c r="K62" s="66" t="n">
        <v>15</v>
      </c>
      <c r="L62" s="66" t="n">
        <v>13</v>
      </c>
      <c r="M62" s="66" t="n">
        <v>22</v>
      </c>
      <c r="N62" s="66" t="n">
        <v>6</v>
      </c>
      <c r="O62" s="66" t="n">
        <v>20</v>
      </c>
      <c r="P62" s="66" t="n">
        <v>32</v>
      </c>
    </row>
    <row r="63" ht="15.75" customHeight="1" s="45">
      <c r="A63" s="61" t="n">
        <v>46086</v>
      </c>
      <c r="B63" s="62" t="inlineStr">
        <is>
          <t>Antes-Projeto</t>
        </is>
      </c>
      <c r="C63" s="68" t="inlineStr">
        <is>
          <t>GAEs Abertas</t>
        </is>
      </c>
      <c r="D63" s="69" t="n">
        <v>256</v>
      </c>
      <c r="E63" s="69" t="n">
        <v>146</v>
      </c>
      <c r="F63" s="69" t="n">
        <v>158</v>
      </c>
      <c r="G63" s="69" t="n">
        <v>124</v>
      </c>
      <c r="H63" s="69" t="n">
        <v>137</v>
      </c>
      <c r="I63" s="69" t="n">
        <v>213</v>
      </c>
      <c r="J63" s="69" t="n">
        <v>122</v>
      </c>
      <c r="K63" s="69" t="n">
        <v>314</v>
      </c>
      <c r="L63" s="69" t="n">
        <v>146</v>
      </c>
      <c r="M63" s="69" t="n">
        <v>257</v>
      </c>
      <c r="N63" s="69" t="n">
        <v>178</v>
      </c>
      <c r="O63" s="69" t="n">
        <v>298</v>
      </c>
      <c r="P63" s="69" t="n">
        <v>253</v>
      </c>
    </row>
    <row r="64" ht="15.75" customHeight="1" s="45">
      <c r="A64" s="61" t="n">
        <v>46086</v>
      </c>
      <c r="B64" s="62" t="inlineStr">
        <is>
          <t>Antes-Projeto</t>
        </is>
      </c>
      <c r="C64" s="68" t="inlineStr">
        <is>
          <t>GAEs Classificadas</t>
        </is>
      </c>
      <c r="D64" s="69" t="n">
        <v>229</v>
      </c>
      <c r="E64" s="69" t="n">
        <v>134</v>
      </c>
      <c r="F64" s="69" t="n">
        <v>157</v>
      </c>
      <c r="G64" s="69" t="n">
        <v>120</v>
      </c>
      <c r="H64" s="69" t="n">
        <v>136</v>
      </c>
      <c r="I64" s="69" t="n">
        <v>193</v>
      </c>
      <c r="J64" s="69" t="n">
        <v>117</v>
      </c>
      <c r="K64" s="69" t="n">
        <v>273</v>
      </c>
      <c r="L64" s="69" t="n">
        <v>137</v>
      </c>
      <c r="M64" s="69" t="n">
        <v>244</v>
      </c>
      <c r="N64" s="69" t="n">
        <v>152</v>
      </c>
      <c r="O64" s="69" t="n">
        <v>283</v>
      </c>
      <c r="P64" s="69" t="n">
        <v>246</v>
      </c>
    </row>
    <row r="65" ht="15.75" customHeight="1" s="45">
      <c r="A65" s="61" t="n">
        <v>46086</v>
      </c>
      <c r="B65" s="62" t="inlineStr">
        <is>
          <t>Antes-Projeto</t>
        </is>
      </c>
      <c r="C65" s="70" t="inlineStr">
        <is>
          <t>Percentual de GAEs abertas classificadas</t>
        </is>
      </c>
      <c r="D65" s="71">
        <f>IFERROR(D64/D63,"-")</f>
        <v/>
      </c>
      <c r="E65" s="71">
        <f>IFERROR(E64/E63,"-")</f>
        <v/>
      </c>
      <c r="F65" s="71">
        <f>IFERROR(F64/F63,"-")</f>
        <v/>
      </c>
      <c r="G65" s="71">
        <f>IFERROR(G64/G63,"-")</f>
        <v/>
      </c>
      <c r="H65" s="71">
        <f>IFERROR(H64/H63,"-")</f>
        <v/>
      </c>
      <c r="I65" s="71">
        <f>IFERROR(I64/I63,"-")</f>
        <v/>
      </c>
      <c r="J65" s="71">
        <f>IFERROR(J64/J63,"-")</f>
        <v/>
      </c>
      <c r="K65" s="71">
        <f>IFERROR(K64/K63,"-")</f>
        <v/>
      </c>
      <c r="L65" s="71">
        <f>IFERROR(L64/L63,"-")</f>
        <v/>
      </c>
      <c r="M65" s="71">
        <f>IFERROR(M64/M63,"-")</f>
        <v/>
      </c>
      <c r="N65" s="71">
        <f>IFERROR(N64/N63,"-")</f>
        <v/>
      </c>
      <c r="O65" s="71">
        <f>IFERROR(O64/O63,"-")</f>
        <v/>
      </c>
      <c r="P65" s="71">
        <f>IFERROR(P64/P63,"-")</f>
        <v/>
      </c>
    </row>
    <row r="66" ht="15.75" customHeight="1" s="45">
      <c r="A66" s="61" t="n">
        <v>46086</v>
      </c>
      <c r="B66" s="62" t="inlineStr">
        <is>
          <t>Antes-Projeto</t>
        </is>
      </c>
      <c r="C66" s="72" t="inlineStr">
        <is>
          <t>Tempo Médio — 🟡 Amarelo (hh:mm)</t>
        </is>
      </c>
      <c r="D66" s="73" t="n">
        <v>0.1023148148148148</v>
      </c>
      <c r="E66" s="73" t="n">
        <v>0.1344097222222222</v>
      </c>
      <c r="F66" s="73" t="n">
        <v>0.02777777777777778</v>
      </c>
      <c r="G66" s="73" t="n">
        <v>0.01952546296296296</v>
      </c>
      <c r="H66" s="73" t="n">
        <v>0.08474537037037037</v>
      </c>
      <c r="I66" s="73" t="n">
        <v>0.185462962962963</v>
      </c>
      <c r="J66" s="73" t="n">
        <v>0.02387731481481482</v>
      </c>
      <c r="K66" s="73" t="n">
        <v>0.08225694444444444</v>
      </c>
      <c r="L66" s="73" t="n">
        <v>0.05665509259259259</v>
      </c>
      <c r="M66" s="73" t="n">
        <v>0.02828703703703704</v>
      </c>
      <c r="N66" s="73" t="n">
        <v>0.04467592592592592</v>
      </c>
      <c r="O66" s="73" t="n">
        <v>0.04982638888888889</v>
      </c>
      <c r="P66" s="73" t="n">
        <v>0.06045138888888889</v>
      </c>
    </row>
    <row r="67" ht="15.75" customHeight="1" s="45">
      <c r="A67" s="61" t="n">
        <v>46086</v>
      </c>
      <c r="B67" s="62" t="inlineStr">
        <is>
          <t>Antes-Projeto</t>
        </is>
      </c>
      <c r="C67" s="74" t="inlineStr">
        <is>
          <t>Tempo Médio — 🟠 Laranja (hh:mm)</t>
        </is>
      </c>
      <c r="D67" s="75" t="n">
        <v>0.01253472222222222</v>
      </c>
      <c r="E67" s="75" t="n">
        <v>0.01409722222222222</v>
      </c>
      <c r="F67" s="75" t="n">
        <v>0.01429398148148148</v>
      </c>
      <c r="G67" s="75" t="n">
        <v>0.01146990740740741</v>
      </c>
      <c r="H67" s="75" t="n">
        <v>0.004097222222222223</v>
      </c>
      <c r="I67" s="75" t="n">
        <v>0.01493055555555556</v>
      </c>
      <c r="J67" s="75" t="n">
        <v>0.003252314814814815</v>
      </c>
      <c r="K67" s="75" t="n">
        <v>0.04150462962962963</v>
      </c>
      <c r="L67" s="75" t="n">
        <v>0.01534722222222222</v>
      </c>
      <c r="M67" s="75" t="n">
        <v>0.0071875</v>
      </c>
      <c r="N67" s="75" t="n">
        <v>0.009328703703703704</v>
      </c>
      <c r="O67" s="75" t="n">
        <v>0.01087962962962963</v>
      </c>
      <c r="P67" s="75" t="n">
        <v>0.01295138888888889</v>
      </c>
    </row>
    <row r="68" ht="15.75" customHeight="1" s="45">
      <c r="A68" s="76" t="n">
        <v>46086</v>
      </c>
      <c r="B68" s="77" t="inlineStr">
        <is>
          <t>Antes-Projeto</t>
        </is>
      </c>
      <c r="C68" s="78" t="inlineStr">
        <is>
          <t>Tempo Médio — 🟢 Verde   (hh:mm)</t>
        </is>
      </c>
      <c r="D68" s="79" t="n">
        <v>0.06846064814814815</v>
      </c>
      <c r="E68" s="79" t="n">
        <v>0.3544560185185185</v>
      </c>
      <c r="F68" s="79" t="n">
        <v>0.08538194444444444</v>
      </c>
      <c r="G68" s="79" t="n">
        <v>0.05800925925925926</v>
      </c>
      <c r="H68" s="79" t="n">
        <v>0.1277199074074074</v>
      </c>
      <c r="I68" s="79" t="n">
        <v>0.1088541666666667</v>
      </c>
      <c r="J68" s="79" t="n">
        <v>0.103912037037037</v>
      </c>
      <c r="K68" s="79" t="n">
        <v>0.155775462962963</v>
      </c>
      <c r="L68" s="79" t="n">
        <v>0.09475694444444445</v>
      </c>
      <c r="M68" s="79" t="n">
        <v>0.07097222222222223</v>
      </c>
      <c r="N68" s="79" t="n">
        <v>0.1018634259259259</v>
      </c>
      <c r="O68" s="79" t="n">
        <v>0.1475925925925926</v>
      </c>
      <c r="P68" s="79" t="n">
        <v>0.106724537037037</v>
      </c>
    </row>
    <row r="69" ht="15.75" customHeight="1" s="45">
      <c r="A69" s="57" t="n">
        <v>46087</v>
      </c>
      <c r="B69" s="58" t="inlineStr">
        <is>
          <t>Antes-Projeto</t>
        </is>
      </c>
      <c r="C69" s="59" t="inlineStr">
        <is>
          <t>Acolhim. + Atend. Urgência + Atend. UPA</t>
        </is>
      </c>
      <c r="D69" s="60">
        <f>SUM(D70:D72)</f>
        <v/>
      </c>
      <c r="E69" s="60">
        <f>SUM(E70:E72)</f>
        <v/>
      </c>
      <c r="F69" s="60">
        <f>SUM(F70:F72)</f>
        <v/>
      </c>
      <c r="G69" s="60">
        <f>SUM(G70:G72)</f>
        <v/>
      </c>
      <c r="H69" s="60">
        <f>SUM(H70:H72)</f>
        <v/>
      </c>
      <c r="I69" s="60">
        <f>SUM(I70:I72)</f>
        <v/>
      </c>
      <c r="J69" s="60">
        <f>SUM(J70:J72)</f>
        <v/>
      </c>
      <c r="K69" s="60">
        <f>SUM(K70:K72)</f>
        <v/>
      </c>
      <c r="L69" s="60">
        <f>SUM(L70:L72)</f>
        <v/>
      </c>
      <c r="M69" s="60">
        <f>SUM(M70:M72)</f>
        <v/>
      </c>
      <c r="N69" s="60">
        <f>SUM(N70:N72)</f>
        <v/>
      </c>
      <c r="O69" s="60">
        <f>SUM(O70:O72)</f>
        <v/>
      </c>
      <c r="P69" s="60">
        <f>SUM(P70:P72)</f>
        <v/>
      </c>
    </row>
    <row r="70" ht="15.75" customHeight="1" s="45">
      <c r="A70" s="61" t="n">
        <v>46087</v>
      </c>
      <c r="B70" s="62" t="inlineStr">
        <is>
          <t>Antes-Projeto</t>
        </is>
      </c>
      <c r="C70" s="65" t="inlineStr">
        <is>
          <t>Acolhimento c/ Classif. de Risco</t>
        </is>
      </c>
      <c r="D70" s="66" t="n">
        <v>217</v>
      </c>
      <c r="E70" s="66" t="n">
        <v>140</v>
      </c>
      <c r="F70" s="66" t="n">
        <v>151</v>
      </c>
      <c r="G70" s="66" t="n">
        <v>110</v>
      </c>
      <c r="H70" s="66" t="n">
        <v>99</v>
      </c>
      <c r="I70" s="66" t="n">
        <v>157</v>
      </c>
      <c r="J70" s="66" t="n">
        <v>101</v>
      </c>
      <c r="K70" s="66" t="n">
        <v>283</v>
      </c>
      <c r="L70" s="66" t="n">
        <v>122</v>
      </c>
      <c r="M70" s="66" t="n">
        <v>204</v>
      </c>
      <c r="N70" s="66" t="n">
        <v>171</v>
      </c>
      <c r="O70" s="66" t="n">
        <v>230</v>
      </c>
      <c r="P70" s="66" t="n">
        <v>237</v>
      </c>
    </row>
    <row r="71" ht="15.75" customHeight="1" s="45">
      <c r="A71" s="61" t="n">
        <v>46087</v>
      </c>
      <c r="B71" s="62" t="inlineStr">
        <is>
          <t>Antes-Projeto</t>
        </is>
      </c>
      <c r="C71" s="63" t="inlineStr">
        <is>
          <t>Atend. Urgência Obs. ≤ 24h</t>
        </is>
      </c>
      <c r="D71" s="64" t="n">
        <v>16</v>
      </c>
      <c r="E71" s="64" t="n">
        <v>53</v>
      </c>
      <c r="F71" s="64" t="n">
        <v>15</v>
      </c>
      <c r="G71" s="64" t="n">
        <v>55</v>
      </c>
      <c r="H71" s="64" t="n">
        <v>11</v>
      </c>
      <c r="I71" s="64" t="n">
        <v>16</v>
      </c>
      <c r="J71" s="64" t="n">
        <v>39</v>
      </c>
      <c r="K71" s="64" t="n">
        <v>73</v>
      </c>
      <c r="L71" s="64" t="n">
        <v>40</v>
      </c>
      <c r="M71" s="64" t="n">
        <v>70</v>
      </c>
      <c r="N71" s="64" t="n">
        <v>31</v>
      </c>
      <c r="O71" s="64" t="n">
        <v>3</v>
      </c>
      <c r="P71" s="64" t="n">
        <v>37</v>
      </c>
    </row>
    <row r="72" ht="15.75" customHeight="1" s="45">
      <c r="A72" s="61" t="n">
        <v>46087</v>
      </c>
      <c r="B72" s="62" t="inlineStr">
        <is>
          <t>Antes-Projeto</t>
        </is>
      </c>
      <c r="C72" s="65" t="inlineStr">
        <is>
          <t>Atend. Médico em UPA</t>
        </is>
      </c>
      <c r="D72" s="66" t="n">
        <v>156</v>
      </c>
      <c r="E72" s="66" t="n">
        <v>85</v>
      </c>
      <c r="F72" s="66" t="n">
        <v>109</v>
      </c>
      <c r="G72" s="66" t="n">
        <v>49</v>
      </c>
      <c r="H72" s="66" t="n">
        <v>78</v>
      </c>
      <c r="I72" s="66" t="n">
        <v>156</v>
      </c>
      <c r="J72" s="66" t="n">
        <v>70</v>
      </c>
      <c r="K72" s="66" t="n">
        <v>158</v>
      </c>
      <c r="L72" s="66" t="n">
        <v>90</v>
      </c>
      <c r="M72" s="66" t="n">
        <v>114</v>
      </c>
      <c r="N72" s="66" t="n">
        <v>166</v>
      </c>
      <c r="O72" s="66" t="n">
        <v>199</v>
      </c>
      <c r="P72" s="66" t="n">
        <v>156</v>
      </c>
    </row>
    <row r="73" ht="15.75" customHeight="1" s="45">
      <c r="A73" s="61" t="n">
        <v>46087</v>
      </c>
      <c r="B73" s="62" t="inlineStr">
        <is>
          <t>Antes-Projeto</t>
        </is>
      </c>
      <c r="C73" s="63" t="inlineStr">
        <is>
          <t>Exames Laboratoriais</t>
        </is>
      </c>
      <c r="D73" s="64" t="n">
        <v>877</v>
      </c>
      <c r="E73" s="64" t="n">
        <v>396</v>
      </c>
      <c r="F73" s="64" t="n">
        <v>388</v>
      </c>
      <c r="G73" s="64" t="n">
        <v>216</v>
      </c>
      <c r="H73" s="64" t="n">
        <v>410</v>
      </c>
      <c r="I73" s="64" t="n">
        <v>562</v>
      </c>
      <c r="J73" s="64" t="n">
        <v>327</v>
      </c>
      <c r="K73" s="64" t="n">
        <v>793</v>
      </c>
      <c r="L73" s="64" t="n">
        <v>517</v>
      </c>
      <c r="M73" s="64" t="n">
        <v>447</v>
      </c>
      <c r="N73" s="64" t="n">
        <v>595</v>
      </c>
      <c r="O73" s="64" t="n">
        <v>254</v>
      </c>
      <c r="P73" s="64" t="n">
        <v>672</v>
      </c>
    </row>
    <row r="74" ht="15.75" customHeight="1" s="45">
      <c r="A74" s="61" t="n">
        <v>46087</v>
      </c>
      <c r="B74" s="62" t="inlineStr">
        <is>
          <t>Antes-Projeto</t>
        </is>
      </c>
      <c r="C74" s="65" t="inlineStr">
        <is>
          <t>Radiografias</t>
        </is>
      </c>
      <c r="D74" s="66" t="n">
        <v>30</v>
      </c>
      <c r="E74" s="66" t="n">
        <v>3</v>
      </c>
      <c r="F74" s="66" t="n">
        <v>16</v>
      </c>
      <c r="G74" s="66" t="n">
        <v>20</v>
      </c>
      <c r="H74" s="66" t="n">
        <v>12</v>
      </c>
      <c r="I74" s="66" t="n">
        <v>32</v>
      </c>
      <c r="J74" s="66" t="n">
        <v>22</v>
      </c>
      <c r="K74" s="66" t="n">
        <v>33</v>
      </c>
      <c r="L74" s="66" t="n">
        <v>28</v>
      </c>
      <c r="M74" s="66" t="n">
        <v>36</v>
      </c>
      <c r="N74" s="66" t="n">
        <v>32</v>
      </c>
      <c r="O74" s="66" t="n">
        <v>31</v>
      </c>
      <c r="P74" s="66" t="n">
        <v>55</v>
      </c>
    </row>
    <row r="75" ht="15.75" customHeight="1" s="45">
      <c r="A75" s="61" t="n">
        <v>46087</v>
      </c>
      <c r="B75" s="62" t="inlineStr">
        <is>
          <t>Antes-Projeto</t>
        </is>
      </c>
      <c r="C75" s="63" t="inlineStr">
        <is>
          <t>Eletrocardiogramas</t>
        </is>
      </c>
      <c r="D75" s="64" t="n">
        <v>36</v>
      </c>
      <c r="E75" s="64" t="n">
        <v>6</v>
      </c>
      <c r="F75" s="64" t="n">
        <v>18</v>
      </c>
      <c r="G75" s="64" t="n">
        <v>12</v>
      </c>
      <c r="H75" s="64" t="n">
        <v>13</v>
      </c>
      <c r="I75" s="64" t="n">
        <v>15</v>
      </c>
      <c r="J75" s="64" t="n">
        <v>7</v>
      </c>
      <c r="K75" s="64" t="n">
        <v>14</v>
      </c>
      <c r="L75" s="64" t="n">
        <v>20</v>
      </c>
      <c r="M75" s="64" t="n">
        <v>10</v>
      </c>
      <c r="N75" s="64" t="n">
        <v>13</v>
      </c>
      <c r="O75" s="64" t="n">
        <v>8</v>
      </c>
      <c r="P75" s="64" t="n">
        <v>24</v>
      </c>
    </row>
    <row r="76" ht="15.75" customHeight="1" s="45">
      <c r="A76" s="61" t="n">
        <v>46087</v>
      </c>
      <c r="B76" s="62" t="inlineStr">
        <is>
          <t>Antes-Projeto</t>
        </is>
      </c>
      <c r="C76" s="68" t="inlineStr">
        <is>
          <t>GAEs Abertas</t>
        </is>
      </c>
      <c r="D76" s="69" t="n">
        <v>247</v>
      </c>
      <c r="E76" s="69" t="n">
        <v>148</v>
      </c>
      <c r="F76" s="69" t="n">
        <v>151</v>
      </c>
      <c r="G76" s="69" t="n">
        <v>111</v>
      </c>
      <c r="H76" s="69" t="n">
        <v>106</v>
      </c>
      <c r="I76" s="69" t="n">
        <v>169</v>
      </c>
      <c r="J76" s="69" t="n">
        <v>105</v>
      </c>
      <c r="K76" s="69" t="n">
        <v>298</v>
      </c>
      <c r="L76" s="69" t="n">
        <v>130</v>
      </c>
      <c r="M76" s="69" t="n">
        <v>212</v>
      </c>
      <c r="N76" s="69" t="n">
        <v>172</v>
      </c>
      <c r="O76" s="69" t="n">
        <v>237</v>
      </c>
      <c r="P76" s="69" t="n">
        <v>241</v>
      </c>
    </row>
    <row r="77" ht="15.75" customHeight="1" s="45">
      <c r="A77" s="61" t="n">
        <v>46087</v>
      </c>
      <c r="B77" s="62" t="inlineStr">
        <is>
          <t>Antes-Projeto</t>
        </is>
      </c>
      <c r="C77" s="68" t="inlineStr">
        <is>
          <t>GAEs Classificadas</t>
        </is>
      </c>
      <c r="D77" s="69" t="n">
        <v>219</v>
      </c>
      <c r="E77" s="69" t="n">
        <v>141</v>
      </c>
      <c r="F77" s="69" t="n">
        <v>148</v>
      </c>
      <c r="G77" s="69" t="n">
        <v>110</v>
      </c>
      <c r="H77" s="69" t="n">
        <v>98</v>
      </c>
      <c r="I77" s="69" t="n">
        <v>157</v>
      </c>
      <c r="J77" s="69" t="n">
        <v>102</v>
      </c>
      <c r="K77" s="69" t="n">
        <v>279</v>
      </c>
      <c r="L77" s="69" t="n">
        <v>123</v>
      </c>
      <c r="M77" s="69" t="n">
        <v>201</v>
      </c>
      <c r="N77" s="69" t="n">
        <v>161</v>
      </c>
      <c r="O77" s="69" t="n">
        <v>230</v>
      </c>
      <c r="P77" s="69" t="n">
        <v>237</v>
      </c>
    </row>
    <row r="78" ht="15.75" customHeight="1" s="45">
      <c r="A78" s="61" t="n">
        <v>46087</v>
      </c>
      <c r="B78" s="62" t="inlineStr">
        <is>
          <t>Antes-Projeto</t>
        </is>
      </c>
      <c r="C78" s="70" t="inlineStr">
        <is>
          <t>Percentual de GAEs abertas classificadas</t>
        </is>
      </c>
      <c r="D78" s="71">
        <f>IFERROR(D77/D76,"-")</f>
        <v/>
      </c>
      <c r="E78" s="71">
        <f>IFERROR(E77/E76,"-")</f>
        <v/>
      </c>
      <c r="F78" s="71">
        <f>IFERROR(F77/F76,"-")</f>
        <v/>
      </c>
      <c r="G78" s="71">
        <f>IFERROR(G77/G76,"-")</f>
        <v/>
      </c>
      <c r="H78" s="71">
        <f>IFERROR(H77/H76,"-")</f>
        <v/>
      </c>
      <c r="I78" s="71">
        <f>IFERROR(I77/I76,"-")</f>
        <v/>
      </c>
      <c r="J78" s="71">
        <f>IFERROR(J77/J76,"-")</f>
        <v/>
      </c>
      <c r="K78" s="71">
        <f>IFERROR(K77/K76,"-")</f>
        <v/>
      </c>
      <c r="L78" s="71">
        <f>IFERROR(L77/L76,"-")</f>
        <v/>
      </c>
      <c r="M78" s="71">
        <f>IFERROR(M77/M76,"-")</f>
        <v/>
      </c>
      <c r="N78" s="71">
        <f>IFERROR(N77/N76,"-")</f>
        <v/>
      </c>
      <c r="O78" s="71">
        <f>IFERROR(O77/O76,"-")</f>
        <v/>
      </c>
      <c r="P78" s="71">
        <f>IFERROR(P77/P76,"-")</f>
        <v/>
      </c>
    </row>
    <row r="79" ht="15.75" customHeight="1" s="45">
      <c r="A79" s="61" t="n">
        <v>46087</v>
      </c>
      <c r="B79" s="62" t="inlineStr">
        <is>
          <t>Antes-Projeto</t>
        </is>
      </c>
      <c r="C79" s="72" t="inlineStr">
        <is>
          <t>Tempo Médio — 🟡 Amarelo (hh:mm)</t>
        </is>
      </c>
      <c r="D79" s="73" t="n">
        <v>0.07872685185185185</v>
      </c>
      <c r="E79" s="73" t="n">
        <v>0.1527314814814815</v>
      </c>
      <c r="F79" s="73" t="n">
        <v>0.05868055555555556</v>
      </c>
      <c r="G79" s="73" t="n">
        <v>0.112974537037037</v>
      </c>
      <c r="H79" s="73" t="n">
        <v>0.05853009259259259</v>
      </c>
      <c r="I79" s="73" t="n">
        <v>0.05784722222222222</v>
      </c>
      <c r="J79" s="73" t="n">
        <v>0.06554398148148148</v>
      </c>
      <c r="K79" s="73" t="n">
        <v>0.06217592592592593</v>
      </c>
      <c r="L79" s="73" t="n">
        <v>0.0394675925925926</v>
      </c>
      <c r="M79" s="73" t="n">
        <v>0.01815972222222222</v>
      </c>
      <c r="N79" s="73" t="n">
        <v>0.08167824074074075</v>
      </c>
      <c r="O79" s="73" t="n">
        <v>0.03101851851851852</v>
      </c>
      <c r="P79" s="73" t="n">
        <v>0.04351851851851852</v>
      </c>
    </row>
    <row r="80" ht="15.75" customHeight="1" s="45">
      <c r="A80" s="61" t="n">
        <v>46087</v>
      </c>
      <c r="B80" s="62" t="inlineStr">
        <is>
          <t>Antes-Projeto</t>
        </is>
      </c>
      <c r="C80" s="74" t="inlineStr">
        <is>
          <t>Tempo Médio — 🟠 Laranja (hh:mm)</t>
        </is>
      </c>
      <c r="D80" s="75" t="n">
        <v>0.01125</v>
      </c>
      <c r="E80" s="75" t="n">
        <v>0.01037037037037037</v>
      </c>
      <c r="F80" s="75" t="n">
        <v>0.01011574074074074</v>
      </c>
      <c r="G80" s="75" t="n">
        <v>0.0293287037037037</v>
      </c>
      <c r="H80" s="75" t="n">
        <v>0.01092592592592593</v>
      </c>
      <c r="I80" s="75" t="n">
        <v>0.006782407407407407</v>
      </c>
      <c r="J80" s="75" t="n">
        <v>0.005567129629629629</v>
      </c>
      <c r="K80" s="75" t="n">
        <v>0.02614583333333333</v>
      </c>
      <c r="L80" s="75" t="n">
        <v>0.008368055555555556</v>
      </c>
      <c r="M80" s="75" t="n">
        <v>0.006944444444444444</v>
      </c>
      <c r="N80" s="75" t="n">
        <v>0.01321759259259259</v>
      </c>
      <c r="O80" s="75" t="n">
        <v>0.01417824074074074</v>
      </c>
      <c r="P80" s="75" t="n">
        <v>0.01052083333333333</v>
      </c>
    </row>
    <row r="81" ht="15.75" customHeight="1" s="45">
      <c r="A81" s="76" t="n">
        <v>46087</v>
      </c>
      <c r="B81" s="77" t="inlineStr">
        <is>
          <t>Antes-Projeto</t>
        </is>
      </c>
      <c r="C81" s="78" t="inlineStr">
        <is>
          <t>Tempo Médio — 🟢 Verde   (hh:mm)</t>
        </is>
      </c>
      <c r="D81" s="79" t="n">
        <v>0.1134722222222222</v>
      </c>
      <c r="E81" s="79" t="n">
        <v>0.3636921296296297</v>
      </c>
      <c r="F81" s="79" t="n">
        <v>0.1100810185185185</v>
      </c>
      <c r="G81" s="79" t="n">
        <v>0.2023148148148148</v>
      </c>
      <c r="H81" s="79" t="n">
        <v>0.08210648148148147</v>
      </c>
      <c r="I81" s="79" t="n">
        <v>0.1202546296296296</v>
      </c>
      <c r="J81" s="79" t="n">
        <v>0.1605439814814815</v>
      </c>
      <c r="K81" s="79" t="n">
        <v>0.09282407407407407</v>
      </c>
      <c r="L81" s="79" t="n">
        <v>0.08651620370370371</v>
      </c>
      <c r="M81" s="79" t="n">
        <v>0.03909722222222222</v>
      </c>
      <c r="N81" s="79" t="n">
        <v>0.07648148148148148</v>
      </c>
      <c r="O81" s="79" t="n">
        <v>0.05196759259259259</v>
      </c>
      <c r="P81" s="79" t="n">
        <v>0.07238425925925926</v>
      </c>
    </row>
    <row r="82" ht="15.75" customHeight="1" s="45">
      <c r="A82" s="57" t="n">
        <v>46088</v>
      </c>
      <c r="B82" s="58" t="inlineStr">
        <is>
          <t>Antes-Projeto</t>
        </is>
      </c>
      <c r="C82" s="59" t="inlineStr">
        <is>
          <t>Acolhim. + Atend. Urgência + Atend. UPA</t>
        </is>
      </c>
      <c r="D82" s="60">
        <f>SUM(D83:D85)</f>
        <v/>
      </c>
      <c r="E82" s="60">
        <f>SUM(E83:E85)</f>
        <v/>
      </c>
      <c r="F82" s="60">
        <f>SUM(F83:F85)</f>
        <v/>
      </c>
      <c r="G82" s="60">
        <f>SUM(G83:G85)</f>
        <v/>
      </c>
      <c r="H82" s="60">
        <f>SUM(H83:H85)</f>
        <v/>
      </c>
      <c r="I82" s="60">
        <f>SUM(I83:I85)</f>
        <v/>
      </c>
      <c r="J82" s="60">
        <f>SUM(J83:J85)</f>
        <v/>
      </c>
      <c r="K82" s="60">
        <f>SUM(K83:K85)</f>
        <v/>
      </c>
      <c r="L82" s="60">
        <f>SUM(L83:L85)</f>
        <v/>
      </c>
      <c r="M82" s="60">
        <f>SUM(M83:M85)</f>
        <v/>
      </c>
      <c r="N82" s="60">
        <f>SUM(N83:N85)</f>
        <v/>
      </c>
      <c r="O82" s="60">
        <f>SUM(O83:O85)</f>
        <v/>
      </c>
      <c r="P82" s="60">
        <f>SUM(P83:P85)</f>
        <v/>
      </c>
    </row>
    <row r="83" ht="15.75" customHeight="1" s="45">
      <c r="A83" s="61" t="n">
        <v>46088</v>
      </c>
      <c r="B83" s="62" t="inlineStr">
        <is>
          <t>Antes-Projeto</t>
        </is>
      </c>
      <c r="C83" s="63" t="inlineStr">
        <is>
          <t>Acolhimento c/ Classif. de Risco</t>
        </is>
      </c>
      <c r="D83" s="64" t="n">
        <v>192</v>
      </c>
      <c r="E83" s="64" t="n">
        <v>126</v>
      </c>
      <c r="F83" s="64" t="n">
        <v>122</v>
      </c>
      <c r="G83" s="64" t="n">
        <v>97</v>
      </c>
      <c r="H83" s="64" t="n">
        <v>95</v>
      </c>
      <c r="I83" s="64" t="n">
        <v>153</v>
      </c>
      <c r="J83" s="64" t="n">
        <v>98</v>
      </c>
      <c r="K83" s="64" t="n">
        <v>243</v>
      </c>
      <c r="L83" s="64" t="n">
        <v>143</v>
      </c>
      <c r="M83" s="64" t="n">
        <v>217</v>
      </c>
      <c r="N83" s="64" t="n">
        <v>173</v>
      </c>
      <c r="O83" s="64" t="n">
        <v>234</v>
      </c>
      <c r="P83" s="64" t="n">
        <v>233</v>
      </c>
    </row>
    <row r="84" ht="15.75" customHeight="1" s="45">
      <c r="A84" s="61" t="n">
        <v>46088</v>
      </c>
      <c r="B84" s="62" t="inlineStr">
        <is>
          <t>Antes-Projeto</t>
        </is>
      </c>
      <c r="C84" s="65" t="inlineStr">
        <is>
          <t>Atend. Urgência Obs. ≤ 24h</t>
        </is>
      </c>
      <c r="D84" s="66" t="n">
        <v>27</v>
      </c>
      <c r="E84" s="66" t="n">
        <v>74</v>
      </c>
      <c r="F84" s="66" t="n">
        <v>15</v>
      </c>
      <c r="G84" s="66" t="n">
        <v>27</v>
      </c>
      <c r="H84" s="66" t="n">
        <v>19</v>
      </c>
      <c r="I84" s="66" t="n">
        <v>12</v>
      </c>
      <c r="J84" s="66" t="n">
        <v>71</v>
      </c>
      <c r="K84" s="66" t="n">
        <v>85</v>
      </c>
      <c r="L84" s="66" t="n">
        <v>52</v>
      </c>
      <c r="M84" s="66" t="n">
        <v>87</v>
      </c>
      <c r="N84" s="66" t="n">
        <v>28</v>
      </c>
      <c r="O84" s="66" t="n">
        <v>19</v>
      </c>
      <c r="P84" s="66" t="n">
        <v>54</v>
      </c>
    </row>
    <row r="85" ht="15.75" customHeight="1" s="45">
      <c r="A85" s="61" t="n">
        <v>46088</v>
      </c>
      <c r="B85" s="62" t="inlineStr">
        <is>
          <t>Antes-Projeto</t>
        </is>
      </c>
      <c r="C85" s="63" t="inlineStr">
        <is>
          <t>Atend. Médico em UPA</t>
        </is>
      </c>
      <c r="D85" s="64" t="n">
        <v>97</v>
      </c>
      <c r="E85" s="64" t="n">
        <v>90</v>
      </c>
      <c r="F85" s="64" t="n">
        <v>104</v>
      </c>
      <c r="G85" s="64" t="n">
        <v>60</v>
      </c>
      <c r="H85" s="64" t="n">
        <v>70</v>
      </c>
      <c r="I85" s="64" t="n">
        <v>106</v>
      </c>
      <c r="J85" s="64" t="n">
        <v>30</v>
      </c>
      <c r="K85" s="64" t="n">
        <v>149</v>
      </c>
      <c r="L85" s="64" t="n">
        <v>75</v>
      </c>
      <c r="M85" s="64" t="n">
        <v>176</v>
      </c>
      <c r="N85" s="64" t="n">
        <v>152</v>
      </c>
      <c r="O85" s="64" t="n">
        <v>140</v>
      </c>
      <c r="P85" s="64" t="n">
        <v>127</v>
      </c>
    </row>
    <row r="86" ht="15.75" customHeight="1" s="45">
      <c r="A86" s="61" t="n">
        <v>46088</v>
      </c>
      <c r="B86" s="62" t="inlineStr">
        <is>
          <t>Antes-Projeto</t>
        </is>
      </c>
      <c r="C86" s="65" t="inlineStr">
        <is>
          <t>Exames Laboratoriais</t>
        </is>
      </c>
      <c r="D86" s="66" t="n">
        <v>529</v>
      </c>
      <c r="E86" s="66" t="n">
        <v>409</v>
      </c>
      <c r="F86" s="66" t="n">
        <v>283</v>
      </c>
      <c r="G86" s="66" t="n">
        <v>286</v>
      </c>
      <c r="H86" s="66" t="n">
        <v>335</v>
      </c>
      <c r="I86" s="66" t="n">
        <v>520</v>
      </c>
      <c r="J86" s="66" t="n">
        <v>229</v>
      </c>
      <c r="K86" s="66" t="n">
        <v>716</v>
      </c>
      <c r="L86" s="66" t="n">
        <v>548</v>
      </c>
      <c r="M86" s="66" t="n">
        <v>535</v>
      </c>
      <c r="N86" s="66" t="n">
        <v>488</v>
      </c>
      <c r="O86" s="66" t="n">
        <v>419</v>
      </c>
      <c r="P86" s="66" t="n">
        <v>545</v>
      </c>
    </row>
    <row r="87" ht="15.75" customHeight="1" s="45">
      <c r="A87" s="61" t="n">
        <v>46088</v>
      </c>
      <c r="B87" s="62" t="inlineStr">
        <is>
          <t>Antes-Projeto</t>
        </is>
      </c>
      <c r="C87" s="63" t="inlineStr">
        <is>
          <t>Radiografias</t>
        </is>
      </c>
      <c r="D87" s="64" t="n">
        <v>20</v>
      </c>
      <c r="E87" s="64" t="n">
        <v>10</v>
      </c>
      <c r="F87" s="64" t="n">
        <v>16</v>
      </c>
      <c r="G87" s="64" t="n">
        <v>20</v>
      </c>
      <c r="H87" s="64" t="n">
        <v>10</v>
      </c>
      <c r="I87" s="64" t="n">
        <v>19</v>
      </c>
      <c r="J87" s="64" t="n">
        <v>15</v>
      </c>
      <c r="K87" s="64" t="n">
        <v>31</v>
      </c>
      <c r="L87" s="64" t="n">
        <v>9</v>
      </c>
      <c r="M87" s="64" t="n">
        <v>32</v>
      </c>
      <c r="N87" s="64" t="n">
        <v>23</v>
      </c>
      <c r="O87" s="64" t="n">
        <v>17</v>
      </c>
      <c r="P87" s="64" t="n">
        <v>56</v>
      </c>
    </row>
    <row r="88" ht="15.75" customHeight="1" s="45">
      <c r="A88" s="61" t="n">
        <v>46088</v>
      </c>
      <c r="B88" s="62" t="inlineStr">
        <is>
          <t>Antes-Projeto</t>
        </is>
      </c>
      <c r="C88" s="65" t="inlineStr">
        <is>
          <t>Eletrocardiogramas</t>
        </is>
      </c>
      <c r="D88" s="66" t="n">
        <v>10</v>
      </c>
      <c r="E88" s="66" t="n">
        <v>14</v>
      </c>
      <c r="F88" s="66" t="n">
        <v>7</v>
      </c>
      <c r="G88" s="66" t="n">
        <v>11</v>
      </c>
      <c r="H88" s="66" t="n">
        <v>9</v>
      </c>
      <c r="I88" s="66" t="n">
        <v>12</v>
      </c>
      <c r="J88" s="66" t="n">
        <v>11</v>
      </c>
      <c r="K88" s="66" t="n">
        <v>15</v>
      </c>
      <c r="L88" s="66" t="n">
        <v>15</v>
      </c>
      <c r="M88" s="66" t="n">
        <v>21</v>
      </c>
      <c r="N88" s="66" t="n">
        <v>3</v>
      </c>
      <c r="O88" s="66" t="n">
        <v>12</v>
      </c>
      <c r="P88" s="66" t="n">
        <v>21</v>
      </c>
    </row>
    <row r="89" ht="15.75" customHeight="1" s="45">
      <c r="A89" s="61" t="n">
        <v>46088</v>
      </c>
      <c r="B89" s="62" t="inlineStr">
        <is>
          <t>Antes-Projeto</t>
        </is>
      </c>
      <c r="C89" s="68" t="inlineStr">
        <is>
          <t>GAEs Abertas</t>
        </is>
      </c>
      <c r="D89" s="69" t="n">
        <v>203</v>
      </c>
      <c r="E89" s="69" t="n">
        <v>132</v>
      </c>
      <c r="F89" s="69" t="n">
        <v>128</v>
      </c>
      <c r="G89" s="69" t="n">
        <v>100</v>
      </c>
      <c r="H89" s="69" t="n">
        <v>95</v>
      </c>
      <c r="I89" s="69" t="n">
        <v>176</v>
      </c>
      <c r="J89" s="69" t="n">
        <v>102</v>
      </c>
      <c r="K89" s="69" t="n">
        <v>263</v>
      </c>
      <c r="L89" s="69" t="n">
        <v>165</v>
      </c>
      <c r="M89" s="69" t="n">
        <v>231</v>
      </c>
      <c r="N89" s="69" t="n">
        <v>172</v>
      </c>
      <c r="O89" s="69" t="n">
        <v>242</v>
      </c>
      <c r="P89" s="69" t="n">
        <v>239</v>
      </c>
    </row>
    <row r="90" ht="15.75" customHeight="1" s="45">
      <c r="A90" s="61" t="n">
        <v>46088</v>
      </c>
      <c r="B90" s="62" t="inlineStr">
        <is>
          <t>Antes-Projeto</t>
        </is>
      </c>
      <c r="C90" s="68" t="inlineStr">
        <is>
          <t>GAEs Classificadas</t>
        </is>
      </c>
      <c r="D90" s="69" t="n">
        <v>190</v>
      </c>
      <c r="E90" s="69" t="n">
        <v>126</v>
      </c>
      <c r="F90" s="69" t="n">
        <v>122</v>
      </c>
      <c r="G90" s="69" t="n">
        <v>97</v>
      </c>
      <c r="H90" s="69" t="n">
        <v>93</v>
      </c>
      <c r="I90" s="69" t="n">
        <v>153</v>
      </c>
      <c r="J90" s="69" t="n">
        <v>96</v>
      </c>
      <c r="K90" s="69" t="n">
        <v>250</v>
      </c>
      <c r="L90" s="69" t="n">
        <v>142</v>
      </c>
      <c r="M90" s="69" t="n">
        <v>219</v>
      </c>
      <c r="N90" s="69" t="n">
        <v>161</v>
      </c>
      <c r="O90" s="69" t="n">
        <v>237</v>
      </c>
      <c r="P90" s="69" t="n">
        <v>237</v>
      </c>
    </row>
    <row r="91" ht="15.75" customHeight="1" s="45">
      <c r="A91" s="61" t="n">
        <v>46088</v>
      </c>
      <c r="B91" s="62" t="inlineStr">
        <is>
          <t>Antes-Projeto</t>
        </is>
      </c>
      <c r="C91" s="70" t="inlineStr">
        <is>
          <t>Percentual de GAEs abertas classificadas</t>
        </is>
      </c>
      <c r="D91" s="71">
        <f>IFERROR(D90/D89,"-")</f>
        <v/>
      </c>
      <c r="E91" s="71">
        <f>IFERROR(E90/E89,"-")</f>
        <v/>
      </c>
      <c r="F91" s="71">
        <f>IFERROR(F90/F89,"-")</f>
        <v/>
      </c>
      <c r="G91" s="71">
        <f>IFERROR(G90/G89,"-")</f>
        <v/>
      </c>
      <c r="H91" s="71">
        <f>IFERROR(H90/H89,"-")</f>
        <v/>
      </c>
      <c r="I91" s="71">
        <f>IFERROR(I90/I89,"-")</f>
        <v/>
      </c>
      <c r="J91" s="71">
        <f>IFERROR(J90/J89,"-")</f>
        <v/>
      </c>
      <c r="K91" s="71">
        <f>IFERROR(K90/K89,"-")</f>
        <v/>
      </c>
      <c r="L91" s="71">
        <f>IFERROR(L90/L89,"-")</f>
        <v/>
      </c>
      <c r="M91" s="71">
        <f>IFERROR(M90/M89,"-")</f>
        <v/>
      </c>
      <c r="N91" s="71">
        <f>IFERROR(N90/N89,"-")</f>
        <v/>
      </c>
      <c r="O91" s="71">
        <f>IFERROR(O90/O89,"-")</f>
        <v/>
      </c>
      <c r="P91" s="71">
        <f>IFERROR(P90/P89,"-")</f>
        <v/>
      </c>
    </row>
    <row r="92" ht="15.75" customHeight="1" s="45">
      <c r="A92" s="61" t="n">
        <v>46088</v>
      </c>
      <c r="B92" s="62" t="inlineStr">
        <is>
          <t>Antes-Projeto</t>
        </is>
      </c>
      <c r="C92" s="72" t="inlineStr">
        <is>
          <t>Tempo Médio — 🟡 Amarelo (hh:mm)</t>
        </is>
      </c>
      <c r="D92" s="73" t="n">
        <v>0.1635763888888889</v>
      </c>
      <c r="E92" s="73" t="n">
        <v>0.1126157407407407</v>
      </c>
      <c r="F92" s="73" t="n">
        <v>0.02561342592592592</v>
      </c>
      <c r="G92" s="73" t="n">
        <v>0.08016203703703703</v>
      </c>
      <c r="H92" s="73" t="n">
        <v>0.06364583333333333</v>
      </c>
      <c r="I92" s="73" t="n">
        <v>0.1220138888888889</v>
      </c>
      <c r="J92" s="73" t="n">
        <v>0.07512731481481481</v>
      </c>
      <c r="K92" s="73" t="n">
        <v>0.03907407407407407</v>
      </c>
      <c r="L92" s="73" t="n">
        <v>0.06325231481481482</v>
      </c>
      <c r="M92" s="73" t="n">
        <v>0.01165509259259259</v>
      </c>
      <c r="N92" s="73" t="n">
        <v>0.04483796296296296</v>
      </c>
      <c r="O92" s="73" t="n">
        <v>0.100162037037037</v>
      </c>
      <c r="P92" s="73" t="n">
        <v>0.04583333333333333</v>
      </c>
    </row>
    <row r="93" ht="15.75" customHeight="1" s="45">
      <c r="A93" s="61" t="n">
        <v>46088</v>
      </c>
      <c r="B93" s="62" t="inlineStr">
        <is>
          <t>Antes-Projeto</t>
        </is>
      </c>
      <c r="C93" s="74" t="inlineStr">
        <is>
          <t>Tempo Médio — 🟠 Laranja (hh:mm)</t>
        </is>
      </c>
      <c r="D93" s="75" t="n">
        <v>0.01061342592592593</v>
      </c>
      <c r="E93" s="75" t="n">
        <v>0.0096875</v>
      </c>
      <c r="F93" s="75" t="n">
        <v>0.003414351851851852</v>
      </c>
      <c r="G93" s="75" t="n">
        <v>0.00681712962962963</v>
      </c>
      <c r="H93" s="75" t="n">
        <v>0.00730324074074074</v>
      </c>
      <c r="I93" s="75" t="n">
        <v>0.02177083333333333</v>
      </c>
      <c r="J93" s="75" t="n">
        <v>0.02462962962962963</v>
      </c>
      <c r="K93" s="75" t="n">
        <v>0.01003472222222222</v>
      </c>
      <c r="L93" s="75" t="n">
        <v>0.01677083333333333</v>
      </c>
      <c r="M93" s="75" t="n">
        <v>0.005081018518518519</v>
      </c>
      <c r="N93" s="75" t="n">
        <v>0.00982638888888889</v>
      </c>
      <c r="O93" s="75" t="n">
        <v>0.01543981481481481</v>
      </c>
      <c r="P93" s="75" t="n">
        <v>0.009293981481481481</v>
      </c>
    </row>
    <row r="94" ht="15.75" customHeight="1" s="45">
      <c r="A94" s="76" t="n">
        <v>46088</v>
      </c>
      <c r="B94" s="77" t="inlineStr">
        <is>
          <t>Antes-Projeto</t>
        </is>
      </c>
      <c r="C94" s="78" t="inlineStr">
        <is>
          <t>Tempo Médio — 🟢 Verde   (hh:mm)</t>
        </is>
      </c>
      <c r="D94" s="79" t="n">
        <v>0.04943287037037037</v>
      </c>
      <c r="E94" s="79" t="n">
        <v>0.2894791666666667</v>
      </c>
      <c r="F94" s="79" t="n">
        <v>0.06835648148148148</v>
      </c>
      <c r="G94" s="79" t="n">
        <v>0.1070486111111111</v>
      </c>
      <c r="H94" s="79" t="n">
        <v>0.1110416666666667</v>
      </c>
      <c r="I94" s="79" t="n">
        <v>0.2205671296296296</v>
      </c>
      <c r="J94" s="79" t="n">
        <v>0.1814930555555556</v>
      </c>
      <c r="K94" s="79" t="n">
        <v>0.09586805555555555</v>
      </c>
      <c r="L94" s="79" t="n">
        <v>0.1524305555555556</v>
      </c>
      <c r="M94" s="79" t="n">
        <v>0.02523148148148148</v>
      </c>
      <c r="N94" s="79" t="n">
        <v>0.1453356481481481</v>
      </c>
      <c r="O94" s="79" t="n">
        <v>0.1322916666666667</v>
      </c>
      <c r="P94" s="79" t="n">
        <v>0.06732638888888889</v>
      </c>
    </row>
    <row r="95" ht="15.75" customHeight="1" s="45">
      <c r="A95" s="57" t="n">
        <v>46089</v>
      </c>
      <c r="B95" s="58" t="inlineStr">
        <is>
          <t>Antes-Projeto</t>
        </is>
      </c>
      <c r="C95" s="59" t="inlineStr">
        <is>
          <t>Acolhim. + Atend. Urgência + Atend. UPA</t>
        </is>
      </c>
      <c r="D95" s="60">
        <f>SUM(D96:D98)</f>
        <v/>
      </c>
      <c r="E95" s="60">
        <f>SUM(E96:E98)</f>
        <v/>
      </c>
      <c r="F95" s="60">
        <f>SUM(F96:F98)</f>
        <v/>
      </c>
      <c r="G95" s="60">
        <f>SUM(G96:G98)</f>
        <v/>
      </c>
      <c r="H95" s="60">
        <f>SUM(H96:H98)</f>
        <v/>
      </c>
      <c r="I95" s="60">
        <f>SUM(I96:I98)</f>
        <v/>
      </c>
      <c r="J95" s="60">
        <f>SUM(J96:J98)</f>
        <v/>
      </c>
      <c r="K95" s="60">
        <f>SUM(K96:K98)</f>
        <v/>
      </c>
      <c r="L95" s="60">
        <f>SUM(L96:L98)</f>
        <v/>
      </c>
      <c r="M95" s="60">
        <f>SUM(M96:M98)</f>
        <v/>
      </c>
      <c r="N95" s="60">
        <f>SUM(N96:N98)</f>
        <v/>
      </c>
      <c r="O95" s="60">
        <f>SUM(O96:O98)</f>
        <v/>
      </c>
      <c r="P95" s="60">
        <f>SUM(P96:P98)</f>
        <v/>
      </c>
    </row>
    <row r="96" ht="15.75" customHeight="1" s="45">
      <c r="A96" s="61" t="n">
        <v>46089</v>
      </c>
      <c r="B96" s="62" t="inlineStr">
        <is>
          <t>Antes-Projeto</t>
        </is>
      </c>
      <c r="C96" s="65" t="inlineStr">
        <is>
          <t>Acolhimento c/ Classif. de Risco</t>
        </is>
      </c>
      <c r="D96" s="66" t="n">
        <v>187</v>
      </c>
      <c r="E96" s="66" t="n">
        <v>124</v>
      </c>
      <c r="F96" s="66" t="n">
        <v>121</v>
      </c>
      <c r="G96" s="66" t="n">
        <v>95</v>
      </c>
      <c r="H96" s="66" t="n">
        <v>95</v>
      </c>
      <c r="I96" s="66" t="n">
        <v>158</v>
      </c>
      <c r="J96" s="66" t="n">
        <v>71</v>
      </c>
      <c r="K96" s="66" t="n">
        <v>236</v>
      </c>
      <c r="L96" s="66" t="n">
        <v>103</v>
      </c>
      <c r="M96" s="66" t="n">
        <v>236</v>
      </c>
      <c r="N96" s="66" t="n">
        <v>161</v>
      </c>
      <c r="O96" s="66" t="n">
        <v>183</v>
      </c>
      <c r="P96" s="66" t="n">
        <v>206</v>
      </c>
    </row>
    <row r="97" ht="15.75" customHeight="1" s="45">
      <c r="A97" s="61" t="n">
        <v>46089</v>
      </c>
      <c r="B97" s="62" t="inlineStr">
        <is>
          <t>Antes-Projeto</t>
        </is>
      </c>
      <c r="C97" s="63" t="inlineStr">
        <is>
          <t>Atend. Urgência Obs. ≤ 24h</t>
        </is>
      </c>
      <c r="D97" s="64" t="n">
        <v>31</v>
      </c>
      <c r="E97" s="64" t="n">
        <v>51</v>
      </c>
      <c r="F97" s="64" t="n">
        <v>14</v>
      </c>
      <c r="G97" s="64" t="n">
        <v>36</v>
      </c>
      <c r="H97" s="64" t="n">
        <v>20</v>
      </c>
      <c r="I97" s="64" t="n">
        <v>12</v>
      </c>
      <c r="J97" s="64" t="n">
        <v>22</v>
      </c>
      <c r="K97" s="64" t="n">
        <v>41</v>
      </c>
      <c r="L97" s="64" t="n">
        <v>48</v>
      </c>
      <c r="M97" s="64" t="n">
        <v>64</v>
      </c>
      <c r="N97" s="64" t="n">
        <v>50</v>
      </c>
      <c r="O97" s="64" t="n">
        <v>20</v>
      </c>
      <c r="P97" s="64" t="n">
        <v>31</v>
      </c>
    </row>
    <row r="98" ht="15.75" customHeight="1" s="45">
      <c r="A98" s="61" t="n">
        <v>46089</v>
      </c>
      <c r="B98" s="62" t="inlineStr">
        <is>
          <t>Antes-Projeto</t>
        </is>
      </c>
      <c r="C98" s="65" t="inlineStr">
        <is>
          <t>Atend. Médico em UPA</t>
        </is>
      </c>
      <c r="D98" s="66" t="n">
        <v>114</v>
      </c>
      <c r="E98" s="66" t="n">
        <v>48</v>
      </c>
      <c r="F98" s="66" t="n">
        <v>106</v>
      </c>
      <c r="G98" s="66" t="n">
        <v>33</v>
      </c>
      <c r="H98" s="66" t="n">
        <v>72</v>
      </c>
      <c r="I98" s="66" t="n">
        <v>99</v>
      </c>
      <c r="J98" s="66" t="n">
        <v>110</v>
      </c>
      <c r="K98" s="66" t="n">
        <v>58</v>
      </c>
      <c r="L98" s="66" t="n">
        <v>80</v>
      </c>
      <c r="M98" s="66" t="n">
        <v>141</v>
      </c>
      <c r="N98" s="66" t="n">
        <v>162</v>
      </c>
      <c r="O98" s="66" t="n">
        <v>110</v>
      </c>
      <c r="P98" s="66" t="n">
        <v>95</v>
      </c>
    </row>
    <row r="99" ht="15.75" customHeight="1" s="45">
      <c r="A99" s="61" t="n">
        <v>46089</v>
      </c>
      <c r="B99" s="62" t="inlineStr">
        <is>
          <t>Antes-Projeto</t>
        </is>
      </c>
      <c r="C99" s="63" t="inlineStr">
        <is>
          <t>Exames Laboratoriais</t>
        </is>
      </c>
      <c r="D99" s="64" t="n">
        <v>516</v>
      </c>
      <c r="E99" s="64" t="n">
        <v>328</v>
      </c>
      <c r="F99" s="64" t="n">
        <v>221</v>
      </c>
      <c r="G99" s="64" t="n">
        <v>318</v>
      </c>
      <c r="H99" s="64" t="n">
        <v>259</v>
      </c>
      <c r="I99" s="64" t="n">
        <v>533</v>
      </c>
      <c r="J99" s="64" t="n">
        <v>126</v>
      </c>
      <c r="K99" s="64" t="n">
        <v>471</v>
      </c>
      <c r="L99" s="64" t="n">
        <v>386</v>
      </c>
      <c r="M99" s="64" t="n">
        <v>557</v>
      </c>
      <c r="N99" s="64" t="n">
        <v>621</v>
      </c>
      <c r="O99" s="64" t="n">
        <v>334</v>
      </c>
      <c r="P99" s="64" t="n">
        <v>497</v>
      </c>
    </row>
    <row r="100" ht="15.75" customHeight="1" s="45">
      <c r="A100" s="61" t="n">
        <v>46089</v>
      </c>
      <c r="B100" s="62" t="inlineStr">
        <is>
          <t>Antes-Projeto</t>
        </is>
      </c>
      <c r="C100" s="65" t="inlineStr">
        <is>
          <t>Radiografias</t>
        </is>
      </c>
      <c r="D100" s="66" t="n">
        <v>19</v>
      </c>
      <c r="E100" s="66" t="n">
        <v>10</v>
      </c>
      <c r="F100" s="66" t="n">
        <v>18</v>
      </c>
      <c r="G100" s="66" t="n">
        <v>11</v>
      </c>
      <c r="H100" s="66" t="n">
        <v>7</v>
      </c>
      <c r="I100" s="66" t="n">
        <v>18</v>
      </c>
      <c r="J100" s="66" t="n">
        <v>3</v>
      </c>
      <c r="K100" s="66" t="n">
        <v>33</v>
      </c>
      <c r="L100" s="66" t="n">
        <v>19</v>
      </c>
      <c r="M100" s="66" t="n">
        <v>50</v>
      </c>
      <c r="N100" s="66" t="n">
        <v>20</v>
      </c>
      <c r="O100" s="66" t="n">
        <v>35</v>
      </c>
      <c r="P100" s="66" t="n">
        <v>56</v>
      </c>
    </row>
    <row r="101" ht="15.75" customHeight="1" s="45">
      <c r="A101" s="61" t="n">
        <v>46089</v>
      </c>
      <c r="B101" s="62" t="inlineStr">
        <is>
          <t>Antes-Projeto</t>
        </is>
      </c>
      <c r="C101" s="63" t="inlineStr">
        <is>
          <t>Eletrocardiogramas</t>
        </is>
      </c>
      <c r="D101" s="64" t="n">
        <v>16</v>
      </c>
      <c r="E101" s="64" t="n">
        <v>14</v>
      </c>
      <c r="F101" s="64" t="n">
        <v>14</v>
      </c>
      <c r="G101" s="64" t="n">
        <v>2</v>
      </c>
      <c r="H101" s="64" t="n">
        <v>8</v>
      </c>
      <c r="I101" s="64" t="n">
        <v>11</v>
      </c>
      <c r="J101" s="64" t="n">
        <v>7</v>
      </c>
      <c r="K101" s="64" t="n">
        <v>13</v>
      </c>
      <c r="L101" s="64" t="n">
        <v>9</v>
      </c>
      <c r="M101" s="64" t="n">
        <v>23</v>
      </c>
      <c r="N101" s="64" t="n">
        <v>4</v>
      </c>
      <c r="O101" s="64" t="n">
        <v>7</v>
      </c>
      <c r="P101" s="64" t="n">
        <v>24</v>
      </c>
    </row>
    <row r="102" ht="15.75" customHeight="1" s="45">
      <c r="A102" s="61" t="n">
        <v>46089</v>
      </c>
      <c r="B102" s="62" t="inlineStr">
        <is>
          <t>Antes-Projeto</t>
        </is>
      </c>
      <c r="C102" s="68" t="inlineStr">
        <is>
          <t>GAEs Abertas</t>
        </is>
      </c>
      <c r="D102" s="69" t="n">
        <v>196</v>
      </c>
      <c r="E102" s="69" t="n">
        <v>132</v>
      </c>
      <c r="F102" s="69" t="n">
        <v>124</v>
      </c>
      <c r="G102" s="69" t="n">
        <v>100</v>
      </c>
      <c r="H102" s="69" t="n">
        <v>108</v>
      </c>
      <c r="I102" s="69" t="n">
        <v>170</v>
      </c>
      <c r="J102" s="69" t="n">
        <v>73</v>
      </c>
      <c r="K102" s="69" t="n">
        <v>260</v>
      </c>
      <c r="L102" s="69" t="n">
        <v>105</v>
      </c>
      <c r="M102" s="69" t="n">
        <v>244</v>
      </c>
      <c r="N102" s="69" t="n">
        <v>161</v>
      </c>
      <c r="O102" s="69" t="n">
        <v>193</v>
      </c>
      <c r="P102" s="69" t="n">
        <v>212</v>
      </c>
    </row>
    <row r="103" ht="15.75" customHeight="1" s="45">
      <c r="A103" s="61" t="n">
        <v>46089</v>
      </c>
      <c r="B103" s="62" t="inlineStr">
        <is>
          <t>Antes-Projeto</t>
        </is>
      </c>
      <c r="C103" s="68" t="inlineStr">
        <is>
          <t>GAEs Classificadas</t>
        </is>
      </c>
      <c r="D103" s="69" t="n">
        <v>188</v>
      </c>
      <c r="E103" s="69" t="n">
        <v>126</v>
      </c>
      <c r="F103" s="69" t="n">
        <v>121</v>
      </c>
      <c r="G103" s="69" t="n">
        <v>95</v>
      </c>
      <c r="H103" s="69" t="n">
        <v>95</v>
      </c>
      <c r="I103" s="69" t="n">
        <v>159</v>
      </c>
      <c r="J103" s="69" t="n">
        <v>73</v>
      </c>
      <c r="K103" s="69" t="n">
        <v>230</v>
      </c>
      <c r="L103" s="69" t="n">
        <v>103</v>
      </c>
      <c r="M103" s="69" t="n">
        <v>233</v>
      </c>
      <c r="N103" s="69" t="n">
        <v>148</v>
      </c>
      <c r="O103" s="69" t="n">
        <v>181</v>
      </c>
      <c r="P103" s="69" t="n">
        <v>202</v>
      </c>
    </row>
    <row r="104" ht="15.75" customHeight="1" s="45">
      <c r="A104" s="61" t="n">
        <v>46089</v>
      </c>
      <c r="B104" s="62" t="inlineStr">
        <is>
          <t>Antes-Projeto</t>
        </is>
      </c>
      <c r="C104" s="70" t="inlineStr">
        <is>
          <t>Percentual de GAEs abertas classificadas</t>
        </is>
      </c>
      <c r="D104" s="71">
        <f>IFERROR(D103/D102,"-")</f>
        <v/>
      </c>
      <c r="E104" s="71">
        <f>IFERROR(E103/E102,"-")</f>
        <v/>
      </c>
      <c r="F104" s="71">
        <f>IFERROR(F103/F102,"-")</f>
        <v/>
      </c>
      <c r="G104" s="71">
        <f>IFERROR(G103/G102,"-")</f>
        <v/>
      </c>
      <c r="H104" s="71">
        <f>IFERROR(H103/H102,"-")</f>
        <v/>
      </c>
      <c r="I104" s="71">
        <f>IFERROR(I103/I102,"-")</f>
        <v/>
      </c>
      <c r="J104" s="71">
        <f>IFERROR(J103/J102,"-")</f>
        <v/>
      </c>
      <c r="K104" s="71">
        <f>IFERROR(K103/K102,"-")</f>
        <v/>
      </c>
      <c r="L104" s="71">
        <f>IFERROR(L103/L102,"-")</f>
        <v/>
      </c>
      <c r="M104" s="71">
        <f>IFERROR(M103/M102,"-")</f>
        <v/>
      </c>
      <c r="N104" s="71">
        <f>IFERROR(N103/N102,"-")</f>
        <v/>
      </c>
      <c r="O104" s="71">
        <f>IFERROR(O103/O102,"-")</f>
        <v/>
      </c>
      <c r="P104" s="71">
        <f>IFERROR(P103/P102,"-")</f>
        <v/>
      </c>
    </row>
    <row r="105" ht="15.75" customHeight="1" s="45">
      <c r="A105" s="61" t="n">
        <v>46089</v>
      </c>
      <c r="B105" s="62" t="inlineStr">
        <is>
          <t>Antes-Projeto</t>
        </is>
      </c>
      <c r="C105" s="72" t="inlineStr">
        <is>
          <t>Tempo Médio — 🟡 Amarelo (hh:mm)</t>
        </is>
      </c>
      <c r="D105" s="73" t="n">
        <v>0.07893518518518519</v>
      </c>
      <c r="E105" s="73" t="n">
        <v>0.104525462962963</v>
      </c>
      <c r="F105" s="73" t="n">
        <v>0.03688657407407407</v>
      </c>
      <c r="G105" s="73" t="n">
        <v>0.2185185185185185</v>
      </c>
      <c r="H105" s="73" t="n">
        <v>0.1108912037037037</v>
      </c>
      <c r="I105" s="73" t="n">
        <v>0.03424768518518519</v>
      </c>
      <c r="J105" s="73" t="n">
        <v>0.0741087962962963</v>
      </c>
      <c r="K105" s="73" t="n">
        <v>0.1504398148148148</v>
      </c>
      <c r="L105" s="73" t="n">
        <v>0.1016550925925926</v>
      </c>
      <c r="M105" s="73" t="n">
        <v>0.04375</v>
      </c>
      <c r="N105" s="73" t="n">
        <v>0.05805555555555555</v>
      </c>
      <c r="O105" s="73" t="n">
        <v>0.09215277777777778</v>
      </c>
      <c r="P105" s="73" t="n">
        <v>0.08200231481481482</v>
      </c>
    </row>
    <row r="106" ht="15.75" customHeight="1" s="45">
      <c r="A106" s="61" t="n">
        <v>46089</v>
      </c>
      <c r="B106" s="62" t="inlineStr">
        <is>
          <t>Antes-Projeto</t>
        </is>
      </c>
      <c r="C106" s="74" t="inlineStr">
        <is>
          <t>Tempo Médio — 🟠 Laranja (hh:mm)</t>
        </is>
      </c>
      <c r="D106" s="75" t="n">
        <v>0.008750000000000001</v>
      </c>
      <c r="E106" s="75" t="n">
        <v>0.02234953703703704</v>
      </c>
      <c r="F106" s="75" t="n">
        <v>0.008912037037037038</v>
      </c>
      <c r="G106" s="75" t="n">
        <v>0.05236111111111111</v>
      </c>
      <c r="H106" s="75" t="n">
        <v>0.006145833333333333</v>
      </c>
      <c r="I106" s="75" t="n">
        <v>0.005983796296296296</v>
      </c>
      <c r="J106" s="75" t="n">
        <v>0.01322916666666667</v>
      </c>
      <c r="K106" s="75" t="n">
        <v>0.03028935185185185</v>
      </c>
      <c r="L106" s="75" t="n">
        <v>0.005613425925925926</v>
      </c>
      <c r="M106" s="75" t="n">
        <v>0.0118287037037037</v>
      </c>
      <c r="N106" s="75" t="n">
        <v>0.01023148148148148</v>
      </c>
      <c r="O106" s="75" t="n">
        <v>0.01358796296296296</v>
      </c>
      <c r="P106" s="75" t="n">
        <v>0.01032407407407407</v>
      </c>
    </row>
    <row r="107" ht="15.75" customHeight="1" s="45">
      <c r="A107" s="76" t="n">
        <v>46089</v>
      </c>
      <c r="B107" s="77" t="inlineStr">
        <is>
          <t>Antes-Projeto</t>
        </is>
      </c>
      <c r="C107" s="78" t="inlineStr">
        <is>
          <t>Tempo Médio — 🟢 Verde   (hh:mm)</t>
        </is>
      </c>
      <c r="D107" s="79" t="n">
        <v>0.1670949074074074</v>
      </c>
      <c r="E107" s="79" t="n">
        <v>0.1134259259259259</v>
      </c>
      <c r="F107" s="79" t="n">
        <v>0.07932870370370371</v>
      </c>
      <c r="G107" s="79" t="n">
        <v>0.2374305555555556</v>
      </c>
      <c r="H107" s="79" t="n">
        <v>0.1266435185185185</v>
      </c>
      <c r="I107" s="79" t="n">
        <v>0.1787152777777778</v>
      </c>
      <c r="J107" s="79" t="n">
        <v>0.1504050925925926</v>
      </c>
      <c r="K107" s="79" t="n">
        <v>0.1035300925925926</v>
      </c>
      <c r="L107" s="79" t="n">
        <v>0.1772453703703704</v>
      </c>
      <c r="M107" s="79" t="n">
        <v>0.07377314814814814</v>
      </c>
      <c r="N107" s="79" t="n">
        <v>0.121875</v>
      </c>
      <c r="O107" s="79" t="n">
        <v>0.1052662037037037</v>
      </c>
      <c r="P107" s="79" t="n">
        <v>0.1263541666666667</v>
      </c>
    </row>
    <row r="108" ht="15.75" customHeight="1" s="45">
      <c r="A108" s="57" t="n">
        <v>46090</v>
      </c>
      <c r="B108" s="58" t="inlineStr">
        <is>
          <t>Antes-Projeto</t>
        </is>
      </c>
      <c r="C108" s="59" t="inlineStr">
        <is>
          <t>Acolhim. + Atend. Urgência + Atend. UPA</t>
        </is>
      </c>
      <c r="D108" s="60">
        <f>SUM(D109:D111)</f>
        <v/>
      </c>
      <c r="E108" s="60">
        <f>SUM(E109:E111)</f>
        <v/>
      </c>
      <c r="F108" s="60">
        <f>SUM(F109:F111)</f>
        <v/>
      </c>
      <c r="G108" s="60">
        <f>SUM(G109:G111)</f>
        <v/>
      </c>
      <c r="H108" s="60">
        <f>SUM(H109:H111)</f>
        <v/>
      </c>
      <c r="I108" s="60">
        <f>SUM(I109:I111)</f>
        <v/>
      </c>
      <c r="J108" s="60">
        <f>SUM(J109:J111)</f>
        <v/>
      </c>
      <c r="K108" s="60">
        <f>SUM(K109:K111)</f>
        <v/>
      </c>
      <c r="L108" s="60">
        <f>SUM(L109:L111)</f>
        <v/>
      </c>
      <c r="M108" s="60">
        <f>SUM(M109:M111)</f>
        <v/>
      </c>
      <c r="N108" s="60">
        <f>SUM(N109:N111)</f>
        <v/>
      </c>
      <c r="O108" s="60">
        <f>SUM(O109:O111)</f>
        <v/>
      </c>
      <c r="P108" s="60">
        <f>SUM(P109:P111)</f>
        <v/>
      </c>
    </row>
    <row r="109" ht="15.75" customHeight="1" s="45">
      <c r="A109" s="61" t="n">
        <v>46090</v>
      </c>
      <c r="B109" s="62" t="inlineStr">
        <is>
          <t>Antes-Projeto</t>
        </is>
      </c>
      <c r="C109" s="63" t="inlineStr">
        <is>
          <t>Acolhimento c/ Classif. de Risco</t>
        </is>
      </c>
      <c r="D109" s="64" t="n">
        <v>255</v>
      </c>
      <c r="E109" s="64" t="n">
        <v>168</v>
      </c>
      <c r="F109" s="64" t="n">
        <v>193</v>
      </c>
      <c r="G109" s="64" t="n">
        <v>154</v>
      </c>
      <c r="H109" s="64" t="n">
        <v>149</v>
      </c>
      <c r="I109" s="64" t="n">
        <v>219</v>
      </c>
      <c r="J109" s="64" t="n">
        <v>131</v>
      </c>
      <c r="K109" s="64" t="n">
        <v>295</v>
      </c>
      <c r="L109" s="64" t="n">
        <v>152</v>
      </c>
      <c r="M109" s="64" t="n">
        <v>302</v>
      </c>
      <c r="N109" s="64" t="n">
        <v>242</v>
      </c>
      <c r="O109" s="64" t="n">
        <v>333</v>
      </c>
      <c r="P109" s="64" t="n">
        <v>293</v>
      </c>
    </row>
    <row r="110" ht="15.75" customHeight="1" s="45">
      <c r="A110" s="61" t="n">
        <v>46090</v>
      </c>
      <c r="B110" s="62" t="inlineStr">
        <is>
          <t>Antes-Projeto</t>
        </is>
      </c>
      <c r="C110" s="65" t="inlineStr">
        <is>
          <t>Atend. Urgência Obs. ≤ 24h</t>
        </is>
      </c>
      <c r="D110" s="66" t="n">
        <v>30</v>
      </c>
      <c r="E110" s="66" t="n">
        <v>12</v>
      </c>
      <c r="F110" s="66" t="n">
        <v>11</v>
      </c>
      <c r="G110" s="66" t="n">
        <v>44</v>
      </c>
      <c r="H110" s="66" t="n">
        <v>21</v>
      </c>
      <c r="I110" s="66" t="n">
        <v>29</v>
      </c>
      <c r="J110" s="66" t="n">
        <v>22</v>
      </c>
      <c r="K110" s="66" t="n">
        <v>43</v>
      </c>
      <c r="L110" s="66" t="n">
        <v>39</v>
      </c>
      <c r="M110" s="66" t="n">
        <v>37</v>
      </c>
      <c r="N110" s="66" t="n">
        <v>46</v>
      </c>
      <c r="O110" s="66" t="n">
        <v>17</v>
      </c>
      <c r="P110" s="66" t="n">
        <v>47</v>
      </c>
    </row>
    <row r="111" ht="15.75" customHeight="1" s="45">
      <c r="A111" s="61" t="n">
        <v>46090</v>
      </c>
      <c r="B111" s="62" t="inlineStr">
        <is>
          <t>Antes-Projeto</t>
        </is>
      </c>
      <c r="C111" s="63" t="inlineStr">
        <is>
          <t>Atend. Médico em UPA</t>
        </is>
      </c>
      <c r="D111" s="64" t="n">
        <v>162</v>
      </c>
      <c r="E111" s="64" t="n">
        <v>68</v>
      </c>
      <c r="F111" s="64" t="n">
        <v>134</v>
      </c>
      <c r="G111" s="64" t="n">
        <v>78</v>
      </c>
      <c r="H111" s="64" t="n">
        <v>67</v>
      </c>
      <c r="I111" s="64" t="n">
        <v>163</v>
      </c>
      <c r="J111" s="64" t="n">
        <v>98</v>
      </c>
      <c r="K111" s="64" t="n">
        <v>157</v>
      </c>
      <c r="L111" s="64" t="n">
        <v>108</v>
      </c>
      <c r="M111" s="64" t="n">
        <v>108</v>
      </c>
      <c r="N111" s="64" t="n">
        <v>221</v>
      </c>
      <c r="O111" s="64" t="n">
        <v>234</v>
      </c>
      <c r="P111" s="64" t="n">
        <v>119</v>
      </c>
    </row>
    <row r="112" ht="15.75" customHeight="1" s="45">
      <c r="A112" s="61" t="n">
        <v>46090</v>
      </c>
      <c r="B112" s="62" t="inlineStr">
        <is>
          <t>Antes-Projeto</t>
        </is>
      </c>
      <c r="C112" s="65" t="inlineStr">
        <is>
          <t>Exames Laboratoriais</t>
        </is>
      </c>
      <c r="D112" s="66" t="n">
        <v>686</v>
      </c>
      <c r="E112" s="66" t="n">
        <v>451</v>
      </c>
      <c r="F112" s="66" t="n">
        <v>439</v>
      </c>
      <c r="G112" s="66" t="n">
        <v>416</v>
      </c>
      <c r="H112" s="66" t="n">
        <v>455</v>
      </c>
      <c r="I112" s="66" t="n">
        <v>665</v>
      </c>
      <c r="J112" s="66" t="n">
        <v>332</v>
      </c>
      <c r="K112" s="66" t="n">
        <v>598</v>
      </c>
      <c r="L112" s="66" t="n">
        <v>685</v>
      </c>
      <c r="M112" s="66" t="n">
        <v>484</v>
      </c>
      <c r="N112" s="66" t="n">
        <v>840</v>
      </c>
      <c r="O112" s="66" t="n">
        <v>527</v>
      </c>
      <c r="P112" s="66" t="n">
        <v>676</v>
      </c>
    </row>
    <row r="113" ht="15.75" customHeight="1" s="45">
      <c r="A113" s="61" t="n">
        <v>46090</v>
      </c>
      <c r="B113" s="62" t="inlineStr">
        <is>
          <t>Antes-Projeto</t>
        </is>
      </c>
      <c r="C113" s="63" t="inlineStr">
        <is>
          <t>Radiografias</t>
        </is>
      </c>
      <c r="D113" s="64" t="n">
        <v>28</v>
      </c>
      <c r="E113" s="64" t="n">
        <v>16</v>
      </c>
      <c r="F113" s="64" t="n">
        <v>37</v>
      </c>
      <c r="G113" s="64" t="n">
        <v>15</v>
      </c>
      <c r="H113" s="64" t="n">
        <v>18</v>
      </c>
      <c r="I113" s="64" t="n">
        <v>28</v>
      </c>
      <c r="J113" s="64" t="n">
        <v>12</v>
      </c>
      <c r="K113" s="64" t="n">
        <v>30</v>
      </c>
      <c r="L113" s="64" t="n">
        <v>25</v>
      </c>
      <c r="M113" s="64" t="n">
        <v>67</v>
      </c>
      <c r="N113" s="64" t="n">
        <v>41</v>
      </c>
      <c r="O113" s="64" t="n">
        <v>69</v>
      </c>
      <c r="P113" s="64" t="n">
        <v>72</v>
      </c>
    </row>
    <row r="114" ht="15.75" customHeight="1" s="45">
      <c r="A114" s="61" t="n">
        <v>46090</v>
      </c>
      <c r="B114" s="62" t="inlineStr">
        <is>
          <t>Antes-Projeto</t>
        </is>
      </c>
      <c r="C114" s="65" t="inlineStr">
        <is>
          <t>Eletrocardiogramas</t>
        </is>
      </c>
      <c r="D114" s="66" t="n">
        <v>16</v>
      </c>
      <c r="E114" s="66" t="n">
        <v>9</v>
      </c>
      <c r="F114" s="66" t="n">
        <v>20</v>
      </c>
      <c r="G114" s="66" t="n">
        <v>9</v>
      </c>
      <c r="H114" s="66" t="n">
        <v>10</v>
      </c>
      <c r="I114" s="66" t="n">
        <v>19</v>
      </c>
      <c r="J114" s="66" t="n">
        <v>9</v>
      </c>
      <c r="K114" s="66" t="n">
        <v>9</v>
      </c>
      <c r="L114" s="66" t="n">
        <v>7</v>
      </c>
      <c r="M114" s="66" t="n">
        <v>17</v>
      </c>
      <c r="N114" s="66" t="n">
        <v>15</v>
      </c>
      <c r="O114" s="66" t="n">
        <v>18</v>
      </c>
      <c r="P114" s="66" t="n">
        <v>27</v>
      </c>
    </row>
    <row r="115" ht="15.75" customHeight="1" s="45">
      <c r="A115" s="61" t="n">
        <v>46090</v>
      </c>
      <c r="B115" s="62" t="inlineStr">
        <is>
          <t>Antes-Projeto</t>
        </is>
      </c>
      <c r="C115" s="68" t="inlineStr">
        <is>
          <t>GAEs Abertas</t>
        </is>
      </c>
      <c r="D115" s="69" t="n">
        <v>295</v>
      </c>
      <c r="E115" s="69" t="n">
        <v>173</v>
      </c>
      <c r="F115" s="69" t="n">
        <v>199</v>
      </c>
      <c r="G115" s="69" t="n">
        <v>157</v>
      </c>
      <c r="H115" s="69" t="n">
        <v>160</v>
      </c>
      <c r="I115" s="69" t="n">
        <v>244</v>
      </c>
      <c r="J115" s="69" t="n">
        <v>134</v>
      </c>
      <c r="K115" s="69" t="n">
        <v>345</v>
      </c>
      <c r="L115" s="69" t="n">
        <v>159</v>
      </c>
      <c r="M115" s="69" t="n">
        <v>335</v>
      </c>
      <c r="N115" s="69" t="n">
        <v>243</v>
      </c>
      <c r="O115" s="69" t="n">
        <v>357</v>
      </c>
      <c r="P115" s="69" t="n">
        <v>301</v>
      </c>
    </row>
    <row r="116" ht="15.75" customHeight="1" s="45">
      <c r="A116" s="61" t="n">
        <v>46090</v>
      </c>
      <c r="B116" s="62" t="inlineStr">
        <is>
          <t>Antes-Projeto</t>
        </is>
      </c>
      <c r="C116" s="68" t="inlineStr">
        <is>
          <t>GAEs Classificadas</t>
        </is>
      </c>
      <c r="D116" s="69" t="n">
        <v>258</v>
      </c>
      <c r="E116" s="69" t="n">
        <v>166</v>
      </c>
      <c r="F116" s="69" t="n">
        <v>193</v>
      </c>
      <c r="G116" s="69" t="n">
        <v>154</v>
      </c>
      <c r="H116" s="69" t="n">
        <v>149</v>
      </c>
      <c r="I116" s="69" t="n">
        <v>218</v>
      </c>
      <c r="J116" s="69" t="n">
        <v>129</v>
      </c>
      <c r="K116" s="69" t="n">
        <v>292</v>
      </c>
      <c r="L116" s="69" t="n">
        <v>152</v>
      </c>
      <c r="M116" s="69" t="n">
        <v>302</v>
      </c>
      <c r="N116" s="69" t="n">
        <v>231</v>
      </c>
      <c r="O116" s="69" t="n">
        <v>336</v>
      </c>
      <c r="P116" s="69" t="n">
        <v>293</v>
      </c>
    </row>
    <row r="117" ht="15.75" customHeight="1" s="45">
      <c r="A117" s="61" t="n">
        <v>46090</v>
      </c>
      <c r="B117" s="62" t="inlineStr">
        <is>
          <t>Antes-Projeto</t>
        </is>
      </c>
      <c r="C117" s="70" t="inlineStr">
        <is>
          <t>Percentual de GAEs abertas classificadas</t>
        </is>
      </c>
      <c r="D117" s="71">
        <f>IFERROR(D116/D115,"-")</f>
        <v/>
      </c>
      <c r="E117" s="71">
        <f>IFERROR(E116/E115,"-")</f>
        <v/>
      </c>
      <c r="F117" s="71">
        <f>IFERROR(F116/F115,"-")</f>
        <v/>
      </c>
      <c r="G117" s="71">
        <f>IFERROR(G116/G115,"-")</f>
        <v/>
      </c>
      <c r="H117" s="71">
        <f>IFERROR(H116/H115,"-")</f>
        <v/>
      </c>
      <c r="I117" s="71">
        <f>IFERROR(I116/I115,"-")</f>
        <v/>
      </c>
      <c r="J117" s="71">
        <f>IFERROR(J116/J115,"-")</f>
        <v/>
      </c>
      <c r="K117" s="71">
        <f>IFERROR(K116/K115,"-")</f>
        <v/>
      </c>
      <c r="L117" s="71">
        <f>IFERROR(L116/L115,"-")</f>
        <v/>
      </c>
      <c r="M117" s="71">
        <f>IFERROR(M116/M115,"-")</f>
        <v/>
      </c>
      <c r="N117" s="71">
        <f>IFERROR(N116/N115,"-")</f>
        <v/>
      </c>
      <c r="O117" s="71">
        <f>IFERROR(O116/O115,"-")</f>
        <v/>
      </c>
      <c r="P117" s="71">
        <f>IFERROR(P116/P115,"-")</f>
        <v/>
      </c>
    </row>
    <row r="118" ht="15.75" customHeight="1" s="45">
      <c r="A118" s="61" t="n">
        <v>46090</v>
      </c>
      <c r="B118" s="62" t="inlineStr">
        <is>
          <t>Antes-Projeto</t>
        </is>
      </c>
      <c r="C118" s="72" t="inlineStr">
        <is>
          <t>Tempo Médio — 🟡 Amarelo (hh:mm)</t>
        </is>
      </c>
      <c r="D118" s="73" t="n">
        <v>0.0849537037037037</v>
      </c>
      <c r="E118" s="73" t="n">
        <v>0.1391203703703704</v>
      </c>
      <c r="F118" s="73" t="n">
        <v>0.02756944444444445</v>
      </c>
      <c r="G118" s="73" t="n">
        <v>0.07627314814814815</v>
      </c>
      <c r="H118" s="73" t="n">
        <v>0.1119212962962963</v>
      </c>
      <c r="I118" s="73" t="n">
        <v>0.112025462962963</v>
      </c>
      <c r="J118" s="73" t="n">
        <v>0.09723379629629629</v>
      </c>
      <c r="K118" s="73" t="n">
        <v>0.1041666666666667</v>
      </c>
      <c r="L118" s="73" t="n">
        <v>0.0983912037037037</v>
      </c>
      <c r="M118" s="73" t="n">
        <v>0.03965277777777778</v>
      </c>
      <c r="N118" s="73" t="n">
        <v>0.08538194444444444</v>
      </c>
      <c r="O118" s="73" t="n">
        <v>0.05546296296296296</v>
      </c>
      <c r="P118" s="73" t="n">
        <v>0.09628472222222222</v>
      </c>
    </row>
    <row r="119" ht="15.75" customHeight="1" s="45">
      <c r="A119" s="61" t="n">
        <v>46090</v>
      </c>
      <c r="B119" s="62" t="inlineStr">
        <is>
          <t>Antes-Projeto</t>
        </is>
      </c>
      <c r="C119" s="74" t="inlineStr">
        <is>
          <t>Tempo Médio — 🟠 Laranja (hh:mm)</t>
        </is>
      </c>
      <c r="D119" s="75" t="n">
        <v>0.01612268518518518</v>
      </c>
      <c r="E119" s="75" t="n">
        <v>0.008009259259259259</v>
      </c>
      <c r="F119" s="75" t="n">
        <v>0.005</v>
      </c>
      <c r="G119" s="75" t="n">
        <v>0.01162037037037037</v>
      </c>
      <c r="H119" s="75" t="n">
        <v>0.007835648148148149</v>
      </c>
      <c r="I119" s="75" t="n">
        <v>0.008483796296296297</v>
      </c>
      <c r="J119" s="75" t="n">
        <v>0.0137962962962963</v>
      </c>
      <c r="K119" s="75" t="n">
        <v>0.01491898148148148</v>
      </c>
      <c r="L119" s="75" t="n">
        <v>0.01891203703703704</v>
      </c>
      <c r="M119" s="75" t="n">
        <v>0.009918981481481482</v>
      </c>
      <c r="N119" s="75" t="n">
        <v>0.0096875</v>
      </c>
      <c r="O119" s="75" t="n">
        <v>0.00869212962962963</v>
      </c>
      <c r="P119" s="75" t="n">
        <v>0.01447916666666667</v>
      </c>
    </row>
    <row r="120" ht="15.75" customHeight="1" s="45">
      <c r="A120" s="76" t="n">
        <v>46090</v>
      </c>
      <c r="B120" s="77" t="inlineStr">
        <is>
          <t>Antes-Projeto</t>
        </is>
      </c>
      <c r="C120" s="78" t="inlineStr">
        <is>
          <t>Tempo Médio — 🟢 Verde   (hh:mm)</t>
        </is>
      </c>
      <c r="D120" s="79" t="n">
        <v>0.07225694444444444</v>
      </c>
      <c r="E120" s="79" t="n">
        <v>0.2600578703703704</v>
      </c>
      <c r="F120" s="79" t="n">
        <v>0.1038310185185185</v>
      </c>
      <c r="G120" s="79" t="n">
        <v>0.09872685185185186</v>
      </c>
      <c r="H120" s="79" t="n">
        <v>0.1914699074074074</v>
      </c>
      <c r="I120" s="79" t="n">
        <v>0.1716319444444444</v>
      </c>
      <c r="J120" s="79" t="n">
        <v>0.2097685185185185</v>
      </c>
      <c r="K120" s="79" t="n">
        <v>0.1412731481481481</v>
      </c>
      <c r="L120" s="79" t="n">
        <v>0.1362268518518518</v>
      </c>
      <c r="M120" s="79" t="n">
        <v>0.1040162037037037</v>
      </c>
      <c r="N120" s="79" t="n">
        <v>0.1157638888888889</v>
      </c>
      <c r="O120" s="79" t="n">
        <v>0.1109953703703704</v>
      </c>
      <c r="P120" s="79" t="n">
        <v>0.1363194444444444</v>
      </c>
    </row>
    <row r="121" ht="15.75" customHeight="1" s="45">
      <c r="A121" s="57" t="n">
        <v>46091</v>
      </c>
      <c r="B121" s="58" t="inlineStr">
        <is>
          <t>Antes-Projeto</t>
        </is>
      </c>
      <c r="C121" s="59" t="inlineStr">
        <is>
          <t>Acolhim. + Atend. Urgência + Atend. UPA</t>
        </is>
      </c>
      <c r="D121" s="60">
        <f>SUM(D122:D124)</f>
        <v/>
      </c>
      <c r="E121" s="60">
        <f>SUM(E122:E124)</f>
        <v/>
      </c>
      <c r="F121" s="60">
        <f>SUM(F122:F124)</f>
        <v/>
      </c>
      <c r="G121" s="60">
        <f>SUM(G122:G124)</f>
        <v/>
      </c>
      <c r="H121" s="60">
        <f>SUM(H122:H124)</f>
        <v/>
      </c>
      <c r="I121" s="60">
        <f>SUM(I122:I124)</f>
        <v/>
      </c>
      <c r="J121" s="60">
        <f>SUM(J122:J124)</f>
        <v/>
      </c>
      <c r="K121" s="60">
        <f>SUM(K122:K124)</f>
        <v/>
      </c>
      <c r="L121" s="60">
        <f>SUM(L122:L124)</f>
        <v/>
      </c>
      <c r="M121" s="60">
        <f>SUM(M122:M124)</f>
        <v/>
      </c>
      <c r="N121" s="60">
        <f>SUM(N122:N124)</f>
        <v/>
      </c>
      <c r="O121" s="60">
        <f>SUM(O122:O124)</f>
        <v/>
      </c>
      <c r="P121" s="60">
        <f>SUM(P122:P124)</f>
        <v/>
      </c>
    </row>
    <row r="122" ht="15.75" customHeight="1" s="45">
      <c r="A122" s="61" t="n">
        <v>46091</v>
      </c>
      <c r="B122" s="62" t="inlineStr">
        <is>
          <t>Antes-Projeto</t>
        </is>
      </c>
      <c r="C122" s="65" t="inlineStr">
        <is>
          <t>Acolhimento c/ Classif. de Risco</t>
        </is>
      </c>
      <c r="D122" s="66" t="n">
        <v>264</v>
      </c>
      <c r="E122" s="66" t="n">
        <v>171</v>
      </c>
      <c r="F122" s="66" t="n">
        <v>181</v>
      </c>
      <c r="G122" s="66" t="n">
        <v>130</v>
      </c>
      <c r="H122" s="66" t="n">
        <v>132</v>
      </c>
      <c r="I122" s="66" t="n">
        <v>194</v>
      </c>
      <c r="J122" s="66" t="n">
        <v>122</v>
      </c>
      <c r="K122" s="66" t="n">
        <v>334</v>
      </c>
      <c r="L122" s="66" t="n">
        <v>136</v>
      </c>
      <c r="M122" s="66" t="n">
        <v>264</v>
      </c>
      <c r="N122" s="66" t="n">
        <v>224</v>
      </c>
      <c r="O122" s="66" t="n">
        <v>250</v>
      </c>
      <c r="P122" s="66" t="n">
        <v>235</v>
      </c>
    </row>
    <row r="123" ht="15.75" customHeight="1" s="45">
      <c r="A123" s="61" t="n">
        <v>46091</v>
      </c>
      <c r="B123" s="62" t="inlineStr">
        <is>
          <t>Antes-Projeto</t>
        </is>
      </c>
      <c r="C123" s="63" t="inlineStr">
        <is>
          <t>Atend. Urgência Obs. ≤ 24h</t>
        </is>
      </c>
      <c r="D123" s="64" t="n">
        <v>17</v>
      </c>
      <c r="E123" s="64" t="n">
        <v>37</v>
      </c>
      <c r="F123" s="64" t="n">
        <v>12</v>
      </c>
      <c r="G123" s="64" t="n">
        <v>35</v>
      </c>
      <c r="H123" s="64" t="n">
        <v>10</v>
      </c>
      <c r="I123" s="64" t="n">
        <v>12</v>
      </c>
      <c r="J123" s="64" t="n">
        <v>37</v>
      </c>
      <c r="K123" s="64" t="n">
        <v>48</v>
      </c>
      <c r="L123" s="64" t="n">
        <v>36</v>
      </c>
      <c r="M123" s="64" t="n">
        <v>92</v>
      </c>
      <c r="N123" s="64" t="n">
        <v>42</v>
      </c>
      <c r="O123" s="64" t="n">
        <v>8</v>
      </c>
      <c r="P123" s="64" t="n">
        <v>24</v>
      </c>
    </row>
    <row r="124" ht="15.75" customHeight="1" s="45">
      <c r="A124" s="61" t="n">
        <v>46091</v>
      </c>
      <c r="B124" s="62" t="inlineStr">
        <is>
          <t>Antes-Projeto</t>
        </is>
      </c>
      <c r="C124" s="65" t="inlineStr">
        <is>
          <t>Atend. Médico em UPA</t>
        </is>
      </c>
      <c r="D124" s="66" t="n">
        <v>95</v>
      </c>
      <c r="E124" s="66" t="n">
        <v>134</v>
      </c>
      <c r="F124" s="66" t="n">
        <v>136</v>
      </c>
      <c r="G124" s="66" t="n">
        <v>57</v>
      </c>
      <c r="H124" s="66" t="n">
        <v>74</v>
      </c>
      <c r="I124" s="66" t="n">
        <v>144</v>
      </c>
      <c r="J124" s="66" t="n">
        <v>90</v>
      </c>
      <c r="K124" s="66" t="n">
        <v>195</v>
      </c>
      <c r="L124" s="66" t="n">
        <v>82</v>
      </c>
      <c r="M124" s="66" t="n">
        <v>161</v>
      </c>
      <c r="N124" s="66" t="n">
        <v>212</v>
      </c>
      <c r="O124" s="66" t="n">
        <v>200</v>
      </c>
      <c r="P124" s="66" t="n">
        <v>96</v>
      </c>
    </row>
    <row r="125" ht="15.75" customHeight="1" s="45">
      <c r="A125" s="61" t="n">
        <v>46091</v>
      </c>
      <c r="B125" s="62" t="inlineStr">
        <is>
          <t>Antes-Projeto</t>
        </is>
      </c>
      <c r="C125" s="63" t="inlineStr">
        <is>
          <t>Exames Laboratoriais</t>
        </is>
      </c>
      <c r="D125" s="64" t="n">
        <v>480</v>
      </c>
      <c r="E125" s="64" t="n">
        <v>188</v>
      </c>
      <c r="F125" s="64" t="n">
        <v>282</v>
      </c>
      <c r="G125" s="64" t="n">
        <v>248</v>
      </c>
      <c r="H125" s="64" t="n">
        <v>298</v>
      </c>
      <c r="I125" s="64" t="n">
        <v>537</v>
      </c>
      <c r="J125" s="64" t="n">
        <v>338</v>
      </c>
      <c r="K125" s="64" t="n">
        <v>955</v>
      </c>
      <c r="L125" s="64" t="n">
        <v>516</v>
      </c>
      <c r="M125" s="64" t="n">
        <v>592</v>
      </c>
      <c r="N125" s="64" t="n">
        <v>908</v>
      </c>
      <c r="O125" s="64" t="n">
        <v>473</v>
      </c>
      <c r="P125" s="64" t="n">
        <v>298</v>
      </c>
    </row>
    <row r="126" ht="15.75" customHeight="1" s="45">
      <c r="A126" s="61" t="n">
        <v>46091</v>
      </c>
      <c r="B126" s="62" t="inlineStr">
        <is>
          <t>Antes-Projeto</t>
        </is>
      </c>
      <c r="C126" s="65" t="inlineStr">
        <is>
          <t>Radiografias</t>
        </is>
      </c>
      <c r="D126" s="66" t="n">
        <v>22</v>
      </c>
      <c r="E126" s="66" t="n">
        <v>30</v>
      </c>
      <c r="F126" s="66" t="n">
        <v>32</v>
      </c>
      <c r="G126" s="66" t="n">
        <v>21</v>
      </c>
      <c r="H126" s="66" t="n">
        <v>16</v>
      </c>
      <c r="I126" s="66" t="n">
        <v>23</v>
      </c>
      <c r="J126" s="66" t="n">
        <v>19</v>
      </c>
      <c r="K126" s="66" t="n">
        <v>71</v>
      </c>
      <c r="L126" s="66" t="n">
        <v>25</v>
      </c>
      <c r="M126" s="66" t="n">
        <v>36</v>
      </c>
      <c r="N126" s="66" t="n">
        <v>36</v>
      </c>
      <c r="O126" s="66" t="n">
        <v>35</v>
      </c>
      <c r="P126" s="66" t="n">
        <v>36</v>
      </c>
    </row>
    <row r="127" ht="15.75" customHeight="1" s="45">
      <c r="A127" s="61" t="n">
        <v>46091</v>
      </c>
      <c r="B127" s="62" t="inlineStr">
        <is>
          <t>Antes-Projeto</t>
        </is>
      </c>
      <c r="C127" s="63" t="inlineStr">
        <is>
          <t>Eletrocardiogramas</t>
        </is>
      </c>
      <c r="D127" s="64" t="n">
        <v>18</v>
      </c>
      <c r="E127" s="64" t="n">
        <v>2</v>
      </c>
      <c r="F127" s="64" t="n">
        <v>32</v>
      </c>
      <c r="G127" s="64" t="n">
        <v>4</v>
      </c>
      <c r="H127" s="64" t="n">
        <v>8</v>
      </c>
      <c r="I127" s="64" t="n">
        <v>8</v>
      </c>
      <c r="J127" s="64" t="n">
        <v>10</v>
      </c>
      <c r="K127" s="64" t="n">
        <v>26</v>
      </c>
      <c r="L127" s="64" t="n">
        <v>10</v>
      </c>
      <c r="M127" s="64" t="n">
        <v>10</v>
      </c>
      <c r="N127" s="64" t="n">
        <v>15</v>
      </c>
      <c r="O127" s="64" t="n">
        <v>16</v>
      </c>
      <c r="P127" s="64" t="n">
        <v>17</v>
      </c>
    </row>
    <row r="128" ht="15.75" customHeight="1" s="45">
      <c r="A128" s="61" t="n">
        <v>46091</v>
      </c>
      <c r="B128" s="62" t="inlineStr">
        <is>
          <t>Antes-Projeto</t>
        </is>
      </c>
      <c r="C128" s="68" t="inlineStr">
        <is>
          <t>GAEs Abertas</t>
        </is>
      </c>
      <c r="D128" s="69" t="n">
        <v>289</v>
      </c>
      <c r="E128" s="69" t="n">
        <v>172</v>
      </c>
      <c r="F128" s="69" t="n">
        <v>184</v>
      </c>
      <c r="G128" s="69" t="n">
        <v>137</v>
      </c>
      <c r="H128" s="69" t="n">
        <v>146</v>
      </c>
      <c r="I128" s="69" t="n">
        <v>201</v>
      </c>
      <c r="J128" s="69" t="n">
        <v>125</v>
      </c>
      <c r="K128" s="69" t="n">
        <v>362</v>
      </c>
      <c r="L128" s="69" t="n">
        <v>147</v>
      </c>
      <c r="M128" s="69" t="n">
        <v>302</v>
      </c>
      <c r="N128" s="69" t="n">
        <v>223</v>
      </c>
      <c r="O128" s="69" t="n">
        <v>296</v>
      </c>
      <c r="P128" s="69" t="n">
        <v>247</v>
      </c>
    </row>
    <row r="129" ht="15.75" customHeight="1" s="45">
      <c r="A129" s="61" t="n">
        <v>46091</v>
      </c>
      <c r="B129" s="62" t="inlineStr">
        <is>
          <t>Antes-Projeto</t>
        </is>
      </c>
      <c r="C129" s="68" t="inlineStr">
        <is>
          <t>GAEs Classificadas</t>
        </is>
      </c>
      <c r="D129" s="69" t="n">
        <v>266</v>
      </c>
      <c r="E129" s="69" t="n">
        <v>169</v>
      </c>
      <c r="F129" s="69" t="n">
        <v>181</v>
      </c>
      <c r="G129" s="69" t="n">
        <v>133</v>
      </c>
      <c r="H129" s="69" t="n">
        <v>134</v>
      </c>
      <c r="I129" s="69" t="n">
        <v>193</v>
      </c>
      <c r="J129" s="69" t="n">
        <v>123</v>
      </c>
      <c r="K129" s="69" t="n">
        <v>337</v>
      </c>
      <c r="L129" s="69" t="n">
        <v>138</v>
      </c>
      <c r="M129" s="69" t="n">
        <v>268</v>
      </c>
      <c r="N129" s="69" t="n">
        <v>209</v>
      </c>
      <c r="O129" s="69" t="n">
        <v>247</v>
      </c>
      <c r="P129" s="69" t="n">
        <v>239</v>
      </c>
    </row>
    <row r="130" ht="15.75" customHeight="1" s="45">
      <c r="A130" s="61" t="n">
        <v>46091</v>
      </c>
      <c r="B130" s="62" t="inlineStr">
        <is>
          <t>Antes-Projeto</t>
        </is>
      </c>
      <c r="C130" s="70" t="inlineStr">
        <is>
          <t>Percentual de GAEs abertas classificadas</t>
        </is>
      </c>
      <c r="D130" s="71">
        <f>IFERROR(D129/D128,"-")</f>
        <v/>
      </c>
      <c r="E130" s="71">
        <f>IFERROR(E129/E128,"-")</f>
        <v/>
      </c>
      <c r="F130" s="71">
        <f>IFERROR(F129/F128,"-")</f>
        <v/>
      </c>
      <c r="G130" s="71">
        <f>IFERROR(G129/G128,"-")</f>
        <v/>
      </c>
      <c r="H130" s="71">
        <f>IFERROR(H129/H128,"-")</f>
        <v/>
      </c>
      <c r="I130" s="71">
        <f>IFERROR(I129/I128,"-")</f>
        <v/>
      </c>
      <c r="J130" s="71">
        <f>IFERROR(J129/J128,"-")</f>
        <v/>
      </c>
      <c r="K130" s="71">
        <f>IFERROR(K129/K128,"-")</f>
        <v/>
      </c>
      <c r="L130" s="71">
        <f>IFERROR(L129/L128,"-")</f>
        <v/>
      </c>
      <c r="M130" s="71">
        <f>IFERROR(M129/M128,"-")</f>
        <v/>
      </c>
      <c r="N130" s="71">
        <f>IFERROR(N129/N128,"-")</f>
        <v/>
      </c>
      <c r="O130" s="71">
        <f>IFERROR(O129/O128,"-")</f>
        <v/>
      </c>
      <c r="P130" s="71">
        <f>IFERROR(P129/P128,"-")</f>
        <v/>
      </c>
    </row>
    <row r="131" ht="15.75" customHeight="1" s="45">
      <c r="A131" s="61" t="n">
        <v>46091</v>
      </c>
      <c r="B131" s="62" t="inlineStr">
        <is>
          <t>Antes-Projeto</t>
        </is>
      </c>
      <c r="C131" s="72" t="inlineStr">
        <is>
          <t>Tempo Médio — 🟡 Amarelo (hh:mm)</t>
        </is>
      </c>
      <c r="D131" s="73" t="n">
        <v>0.0512037037037037</v>
      </c>
      <c r="E131" s="73" t="n">
        <v>0.03399305555555555</v>
      </c>
      <c r="F131" s="73" t="n">
        <v>0.02803240740740741</v>
      </c>
      <c r="G131" s="73" t="n">
        <v>0.06408564814814814</v>
      </c>
      <c r="H131" s="73" t="n">
        <v>0.08987268518518518</v>
      </c>
      <c r="I131" s="73" t="n">
        <v>0.07527777777777778</v>
      </c>
      <c r="J131" s="73" t="n">
        <v>0.02900462962962963</v>
      </c>
      <c r="K131" s="73" t="n">
        <v>0.07230324074074074</v>
      </c>
      <c r="L131" s="73" t="n">
        <v>0.08094907407407408</v>
      </c>
      <c r="M131" s="73" t="n">
        <v>0.04726851851851852</v>
      </c>
      <c r="N131" s="73" t="n">
        <v>0.07309027777777778</v>
      </c>
      <c r="O131" s="73" t="n">
        <v>0.06854166666666667</v>
      </c>
      <c r="P131" s="73" t="n">
        <v>0.1376388888888889</v>
      </c>
    </row>
    <row r="132" ht="15.75" customHeight="1" s="45">
      <c r="A132" s="61" t="n">
        <v>46091</v>
      </c>
      <c r="B132" s="62" t="inlineStr">
        <is>
          <t>Antes-Projeto</t>
        </is>
      </c>
      <c r="C132" s="74" t="inlineStr">
        <is>
          <t>Tempo Médio — 🟠 Laranja (hh:mm)</t>
        </is>
      </c>
      <c r="D132" s="75" t="n">
        <v>0.02403935185185185</v>
      </c>
      <c r="E132" s="75" t="n">
        <v>0.01006944444444445</v>
      </c>
      <c r="F132" s="75" t="n">
        <v>0.005358796296296296</v>
      </c>
      <c r="G132" s="75" t="n">
        <v>0.01381944444444444</v>
      </c>
      <c r="H132" s="75" t="n">
        <v>0.01409722222222222</v>
      </c>
      <c r="I132" s="75" t="n">
        <v>0.008298611111111111</v>
      </c>
      <c r="J132" s="75" t="n">
        <v>0.006666666666666667</v>
      </c>
      <c r="K132" s="75" t="n">
        <v>0.009606481481481481</v>
      </c>
      <c r="L132" s="75" t="n">
        <v>0.01755787037037037</v>
      </c>
      <c r="M132" s="75" t="n">
        <v>0.007511574074074074</v>
      </c>
      <c r="N132" s="75" t="n">
        <v>0.01149305555555555</v>
      </c>
      <c r="O132" s="75" t="n">
        <v>0.009513888888888889</v>
      </c>
      <c r="P132" s="75" t="n">
        <v>0.04773148148148148</v>
      </c>
    </row>
    <row r="133" ht="15.75" customHeight="1" s="45">
      <c r="A133" s="76" t="n">
        <v>46091</v>
      </c>
      <c r="B133" s="77" t="inlineStr">
        <is>
          <t>Antes-Projeto</t>
        </is>
      </c>
      <c r="C133" s="78" t="inlineStr">
        <is>
          <t>Tempo Médio — 🟢 Verde   (hh:mm)</t>
        </is>
      </c>
      <c r="D133" s="79" t="n">
        <v>0.05899305555555556</v>
      </c>
      <c r="E133" s="79" t="n">
        <v>0.07925925925925927</v>
      </c>
      <c r="F133" s="79" t="n">
        <v>0.08708333333333333</v>
      </c>
      <c r="G133" s="79" t="n">
        <v>0.1157638888888889</v>
      </c>
      <c r="H133" s="79" t="n">
        <v>0.1269791666666667</v>
      </c>
      <c r="I133" s="79" t="n">
        <v>0.1824652777777778</v>
      </c>
      <c r="J133" s="79" t="n">
        <v>0.05049768518518519</v>
      </c>
      <c r="K133" s="79" t="n">
        <v>0.1341898148148148</v>
      </c>
      <c r="L133" s="79" t="n">
        <v>0.08589120370370371</v>
      </c>
      <c r="M133" s="79" t="n">
        <v>0.09891203703703703</v>
      </c>
      <c r="N133" s="79" t="n">
        <v>0.1217592592592593</v>
      </c>
      <c r="O133" s="79" t="n">
        <v>0.1193287037037037</v>
      </c>
      <c r="P133" s="79" t="n">
        <v>0.06365740740740741</v>
      </c>
    </row>
    <row r="134" ht="15.75" customHeight="1" s="45">
      <c r="A134" s="57" t="n">
        <v>46092</v>
      </c>
      <c r="B134" s="58" t="inlineStr">
        <is>
          <t>Antes-Projeto</t>
        </is>
      </c>
      <c r="C134" s="59" t="inlineStr">
        <is>
          <t>Acolhim. + Atend. Urgência + Atend. UPA</t>
        </is>
      </c>
      <c r="D134" s="60">
        <f>SUM(D135:D137)</f>
        <v/>
      </c>
      <c r="E134" s="60">
        <f>SUM(E135:E137)</f>
        <v/>
      </c>
      <c r="F134" s="60">
        <f>SUM(F135:F137)</f>
        <v/>
      </c>
      <c r="G134" s="60">
        <f>SUM(G135:G137)</f>
        <v/>
      </c>
      <c r="H134" s="60">
        <f>SUM(H135:H137)</f>
        <v/>
      </c>
      <c r="I134" s="60">
        <f>SUM(I135:I137)</f>
        <v/>
      </c>
      <c r="J134" s="60">
        <f>SUM(J135:J137)</f>
        <v/>
      </c>
      <c r="K134" s="60">
        <f>SUM(K135:K137)</f>
        <v/>
      </c>
      <c r="L134" s="60">
        <f>SUM(L135:L137)</f>
        <v/>
      </c>
      <c r="M134" s="60">
        <f>SUM(M135:M137)</f>
        <v/>
      </c>
      <c r="N134" s="60">
        <f>SUM(N135:N137)</f>
        <v/>
      </c>
      <c r="O134" s="60">
        <f>SUM(O135:O137)</f>
        <v/>
      </c>
      <c r="P134" s="60">
        <f>SUM(P135:P137)</f>
        <v/>
      </c>
    </row>
    <row r="135" ht="15.75" customHeight="1" s="45">
      <c r="A135" s="61" t="n">
        <v>46092</v>
      </c>
      <c r="B135" s="62" t="inlineStr">
        <is>
          <t>Antes-Projeto</t>
        </is>
      </c>
      <c r="C135" s="63" t="inlineStr">
        <is>
          <t>Acolhimento c/ Classif. de Risco</t>
        </is>
      </c>
      <c r="D135" s="64" t="n">
        <v>254</v>
      </c>
      <c r="E135" s="64" t="n">
        <v>144</v>
      </c>
      <c r="F135" s="64" t="n">
        <v>180</v>
      </c>
      <c r="G135" s="64" t="n">
        <v>134</v>
      </c>
      <c r="H135" s="64" t="n">
        <v>155</v>
      </c>
      <c r="I135" s="64" t="n">
        <v>183</v>
      </c>
      <c r="J135" s="64" t="n">
        <v>99</v>
      </c>
      <c r="K135" s="64" t="n">
        <v>332</v>
      </c>
      <c r="L135" s="64" t="n">
        <v>134</v>
      </c>
      <c r="M135" s="64" t="n">
        <v>251</v>
      </c>
      <c r="N135" s="64" t="n">
        <v>219</v>
      </c>
      <c r="O135" s="64" t="n">
        <v>286</v>
      </c>
      <c r="P135" s="64" t="n">
        <v>256</v>
      </c>
    </row>
    <row r="136" ht="15.75" customHeight="1" s="45">
      <c r="A136" s="61" t="n">
        <v>46092</v>
      </c>
      <c r="B136" s="62" t="inlineStr">
        <is>
          <t>Antes-Projeto</t>
        </is>
      </c>
      <c r="C136" s="65" t="inlineStr">
        <is>
          <t>Atend. Urgência Obs. ≤ 24h</t>
        </is>
      </c>
      <c r="D136" s="66" t="n">
        <v>21</v>
      </c>
      <c r="E136" s="66" t="n">
        <v>23</v>
      </c>
      <c r="F136" s="66" t="n">
        <v>15</v>
      </c>
      <c r="G136" s="66" t="n">
        <v>19</v>
      </c>
      <c r="H136" s="66" t="n">
        <v>7</v>
      </c>
      <c r="I136" s="66" t="n">
        <v>20</v>
      </c>
      <c r="J136" s="66" t="n">
        <v>34</v>
      </c>
      <c r="K136" s="66" t="n">
        <v>38</v>
      </c>
      <c r="L136" s="66" t="n">
        <v>50</v>
      </c>
      <c r="M136" s="66" t="n">
        <v>64</v>
      </c>
      <c r="N136" s="66" t="n">
        <v>36</v>
      </c>
      <c r="O136" s="66" t="n">
        <v>7</v>
      </c>
      <c r="P136" s="66" t="n">
        <v>23</v>
      </c>
    </row>
    <row r="137" ht="15.75" customHeight="1" s="45">
      <c r="A137" s="61" t="n">
        <v>46092</v>
      </c>
      <c r="B137" s="62" t="inlineStr">
        <is>
          <t>Antes-Projeto</t>
        </is>
      </c>
      <c r="C137" s="63" t="inlineStr">
        <is>
          <t>Atend. Médico em UPA</t>
        </is>
      </c>
      <c r="D137" s="64" t="n">
        <v>147</v>
      </c>
      <c r="E137" s="64" t="n">
        <v>81</v>
      </c>
      <c r="F137" s="64" t="n">
        <v>139</v>
      </c>
      <c r="G137" s="64" t="n">
        <v>103</v>
      </c>
      <c r="H137" s="64" t="n">
        <v>89</v>
      </c>
      <c r="I137" s="64" t="n">
        <v>145</v>
      </c>
      <c r="J137" s="64" t="n">
        <v>77</v>
      </c>
      <c r="K137" s="64" t="n">
        <v>234</v>
      </c>
      <c r="L137" s="64" t="n">
        <v>99</v>
      </c>
      <c r="M137" s="64" t="n">
        <v>133</v>
      </c>
      <c r="N137" s="64" t="n">
        <v>209</v>
      </c>
      <c r="O137" s="64" t="n">
        <v>191</v>
      </c>
      <c r="P137" s="64" t="n">
        <v>98</v>
      </c>
    </row>
    <row r="138" ht="15.75" customHeight="1" s="45">
      <c r="A138" s="61" t="n">
        <v>46092</v>
      </c>
      <c r="B138" s="62" t="inlineStr">
        <is>
          <t>Antes-Projeto</t>
        </is>
      </c>
      <c r="C138" s="65" t="inlineStr">
        <is>
          <t>Exames Laboratoriais</t>
        </is>
      </c>
      <c r="D138" s="66" t="n">
        <v>688</v>
      </c>
      <c r="E138" s="66" t="n">
        <v>409</v>
      </c>
      <c r="F138" s="66" t="n">
        <v>536</v>
      </c>
      <c r="G138" s="66" t="n">
        <v>307</v>
      </c>
      <c r="H138" s="66" t="n">
        <v>305</v>
      </c>
      <c r="I138" s="66" t="n">
        <v>629</v>
      </c>
      <c r="J138" s="66" t="n">
        <v>120</v>
      </c>
      <c r="K138" s="66" t="n">
        <v>1031</v>
      </c>
      <c r="L138" s="66" t="n">
        <v>570</v>
      </c>
      <c r="M138" s="66" t="n">
        <v>559</v>
      </c>
      <c r="N138" s="66" t="n">
        <v>611</v>
      </c>
      <c r="O138" s="66" t="n">
        <v>522</v>
      </c>
      <c r="P138" s="66" t="n">
        <v>630</v>
      </c>
    </row>
    <row r="139" ht="15.75" customHeight="1" s="45">
      <c r="A139" s="61" t="n">
        <v>46092</v>
      </c>
      <c r="B139" s="62" t="inlineStr">
        <is>
          <t>Antes-Projeto</t>
        </is>
      </c>
      <c r="C139" s="63" t="inlineStr">
        <is>
          <t>Radiografias</t>
        </is>
      </c>
      <c r="D139" s="64" t="n">
        <v>25</v>
      </c>
      <c r="E139" s="64" t="n">
        <v>15</v>
      </c>
      <c r="F139" s="64" t="n">
        <v>40</v>
      </c>
      <c r="G139" s="64" t="n">
        <v>25</v>
      </c>
      <c r="H139" s="64" t="n">
        <v>8</v>
      </c>
      <c r="I139" s="64" t="n">
        <v>31</v>
      </c>
      <c r="J139" s="64" t="n">
        <v>6</v>
      </c>
      <c r="K139" s="64" t="n">
        <v>68</v>
      </c>
      <c r="L139" s="64" t="n">
        <v>27</v>
      </c>
      <c r="M139" s="64" t="n">
        <v>49</v>
      </c>
      <c r="N139" s="64" t="n">
        <v>31</v>
      </c>
      <c r="O139" s="64" t="n">
        <v>41</v>
      </c>
      <c r="P139" s="64" t="n">
        <v>49</v>
      </c>
    </row>
    <row r="140" ht="15.75" customHeight="1" s="45">
      <c r="A140" s="61" t="n">
        <v>46092</v>
      </c>
      <c r="B140" s="62" t="inlineStr">
        <is>
          <t>Antes-Projeto</t>
        </is>
      </c>
      <c r="C140" s="65" t="inlineStr">
        <is>
          <t>Eletrocardiogramas</t>
        </is>
      </c>
      <c r="D140" s="66" t="n">
        <v>12</v>
      </c>
      <c r="E140" s="66" t="n">
        <v>17</v>
      </c>
      <c r="F140" s="66" t="n">
        <v>24</v>
      </c>
      <c r="G140" s="66" t="n">
        <v>5</v>
      </c>
      <c r="H140" s="66" t="n">
        <v>12</v>
      </c>
      <c r="I140" s="66" t="n">
        <v>10</v>
      </c>
      <c r="J140" s="66" t="n">
        <v>5</v>
      </c>
      <c r="K140" s="66" t="n">
        <v>31</v>
      </c>
      <c r="L140" s="66" t="n">
        <v>18</v>
      </c>
      <c r="M140" s="66" t="n">
        <v>10</v>
      </c>
      <c r="N140" s="66" t="n">
        <v>18</v>
      </c>
      <c r="O140" s="66" t="n">
        <v>17</v>
      </c>
      <c r="P140" s="66" t="n">
        <v>22</v>
      </c>
    </row>
    <row r="141" ht="15.75" customHeight="1" s="45">
      <c r="A141" s="61" t="n">
        <v>46092</v>
      </c>
      <c r="B141" s="62" t="inlineStr">
        <is>
          <t>Antes-Projeto</t>
        </is>
      </c>
      <c r="C141" s="68" t="inlineStr">
        <is>
          <t>GAEs Abertas</t>
        </is>
      </c>
      <c r="D141" s="69" t="n">
        <v>260</v>
      </c>
      <c r="E141" s="69" t="n">
        <v>152</v>
      </c>
      <c r="F141" s="69" t="n">
        <v>194</v>
      </c>
      <c r="G141" s="69" t="n">
        <v>133</v>
      </c>
      <c r="H141" s="69" t="n">
        <v>155</v>
      </c>
      <c r="I141" s="69" t="n">
        <v>195</v>
      </c>
      <c r="J141" s="69" t="n">
        <v>103</v>
      </c>
      <c r="K141" s="69" t="n">
        <v>357</v>
      </c>
      <c r="L141" s="69" t="n">
        <v>146</v>
      </c>
      <c r="M141" s="69" t="n">
        <v>268</v>
      </c>
      <c r="N141" s="69" t="n">
        <v>221</v>
      </c>
      <c r="O141" s="69" t="n">
        <v>299</v>
      </c>
      <c r="P141" s="69" t="n">
        <v>265</v>
      </c>
    </row>
    <row r="142" ht="15.75" customHeight="1" s="45">
      <c r="A142" s="61" t="n">
        <v>46092</v>
      </c>
      <c r="B142" s="62" t="inlineStr">
        <is>
          <t>Antes-Projeto</t>
        </is>
      </c>
      <c r="C142" s="68" t="inlineStr">
        <is>
          <t>GAEs Classificadas</t>
        </is>
      </c>
      <c r="D142" s="69" t="n">
        <v>251</v>
      </c>
      <c r="E142" s="69" t="n">
        <v>144</v>
      </c>
      <c r="F142" s="69" t="n">
        <v>183</v>
      </c>
      <c r="G142" s="69" t="n">
        <v>132</v>
      </c>
      <c r="H142" s="69" t="n">
        <v>154</v>
      </c>
      <c r="I142" s="69" t="n">
        <v>182</v>
      </c>
      <c r="J142" s="69" t="n">
        <v>99</v>
      </c>
      <c r="K142" s="69" t="n">
        <v>329</v>
      </c>
      <c r="L142" s="69" t="n">
        <v>131</v>
      </c>
      <c r="M142" s="69" t="n">
        <v>249</v>
      </c>
      <c r="N142" s="69" t="n">
        <v>211</v>
      </c>
      <c r="O142" s="69" t="n">
        <v>283</v>
      </c>
      <c r="P142" s="69" t="n">
        <v>256</v>
      </c>
    </row>
    <row r="143" ht="15.75" customHeight="1" s="45">
      <c r="A143" s="61" t="n">
        <v>46092</v>
      </c>
      <c r="B143" s="62" t="inlineStr">
        <is>
          <t>Antes-Projeto</t>
        </is>
      </c>
      <c r="C143" s="70" t="inlineStr">
        <is>
          <t>Percentual de GAEs abertas classificadas</t>
        </is>
      </c>
      <c r="D143" s="71">
        <f>IFERROR(D142/D141,"-")</f>
        <v/>
      </c>
      <c r="E143" s="71">
        <f>IFERROR(E142/E141,"-")</f>
        <v/>
      </c>
      <c r="F143" s="71">
        <f>IFERROR(F142/F141,"-")</f>
        <v/>
      </c>
      <c r="G143" s="71">
        <f>IFERROR(G142/G141,"-")</f>
        <v/>
      </c>
      <c r="H143" s="71">
        <f>IFERROR(H142/H141,"-")</f>
        <v/>
      </c>
      <c r="I143" s="71">
        <f>IFERROR(I142/I141,"-")</f>
        <v/>
      </c>
      <c r="J143" s="71">
        <f>IFERROR(J142/J141,"-")</f>
        <v/>
      </c>
      <c r="K143" s="71">
        <f>IFERROR(K142/K141,"-")</f>
        <v/>
      </c>
      <c r="L143" s="71">
        <f>IFERROR(L142/L141,"-")</f>
        <v/>
      </c>
      <c r="M143" s="71">
        <f>IFERROR(M142/M141,"-")</f>
        <v/>
      </c>
      <c r="N143" s="71">
        <f>IFERROR(N142/N141,"-")</f>
        <v/>
      </c>
      <c r="O143" s="71">
        <f>IFERROR(O142/O141,"-")</f>
        <v/>
      </c>
      <c r="P143" s="71">
        <f>IFERROR(P142/P141,"-")</f>
        <v/>
      </c>
    </row>
    <row r="144" ht="15.75" customHeight="1" s="45">
      <c r="A144" s="61" t="n">
        <v>46092</v>
      </c>
      <c r="B144" s="62" t="inlineStr">
        <is>
          <t>Antes-Projeto</t>
        </is>
      </c>
      <c r="C144" s="72" t="inlineStr">
        <is>
          <t>Tempo Médio — 🟡 Amarelo (hh:mm)</t>
        </is>
      </c>
      <c r="D144" s="73" t="n">
        <v>0.03078703703703704</v>
      </c>
      <c r="E144" s="73" t="n">
        <v>0.09856481481481481</v>
      </c>
      <c r="F144" s="73" t="n">
        <v>0.09049768518518518</v>
      </c>
      <c r="G144" s="73" t="n">
        <v>0.04510416666666667</v>
      </c>
      <c r="H144" s="73" t="n">
        <v>0.07355324074074074</v>
      </c>
      <c r="I144" s="73" t="n">
        <v>0.06261574074074074</v>
      </c>
      <c r="J144" s="73" t="n">
        <v>0.1298842592592593</v>
      </c>
      <c r="K144" s="73" t="n">
        <v>0.07716435185185185</v>
      </c>
      <c r="L144" s="73" t="n">
        <v>0.06633101851851853</v>
      </c>
      <c r="M144" s="73" t="n">
        <v>0.05579861111111111</v>
      </c>
      <c r="N144" s="73" t="n">
        <v>0.08016203703703703</v>
      </c>
      <c r="O144" s="73" t="n">
        <v>0.06501157407407407</v>
      </c>
      <c r="P144" s="73" t="n">
        <v>0.06748842592592592</v>
      </c>
    </row>
    <row r="145" ht="15.75" customHeight="1" s="45">
      <c r="A145" s="61" t="n">
        <v>46092</v>
      </c>
      <c r="B145" s="62" t="inlineStr">
        <is>
          <t>Antes-Projeto</t>
        </is>
      </c>
      <c r="C145" s="74" t="inlineStr">
        <is>
          <t>Tempo Médio — 🟠 Laranja (hh:mm)</t>
        </is>
      </c>
      <c r="D145" s="75" t="n">
        <v>0.009768518518518518</v>
      </c>
      <c r="E145" s="75" t="n">
        <v>0.01047453703703704</v>
      </c>
      <c r="F145" s="75" t="n">
        <v>0.01167824074074074</v>
      </c>
      <c r="G145" s="75" t="n">
        <v>0.01063657407407407</v>
      </c>
      <c r="H145" s="75" t="n">
        <v>0.004861111111111111</v>
      </c>
      <c r="I145" s="75" t="n">
        <v>0.005543981481481481</v>
      </c>
      <c r="J145" s="75" t="n">
        <v>0.02152777777777778</v>
      </c>
      <c r="K145" s="75" t="n">
        <v>0.01415509259259259</v>
      </c>
      <c r="L145" s="75" t="n">
        <v>0.01398148148148148</v>
      </c>
      <c r="M145" s="75" t="n">
        <v>0.01138888888888889</v>
      </c>
      <c r="N145" s="75" t="n">
        <v>0.01773148148148148</v>
      </c>
      <c r="O145" s="75" t="n">
        <v>0.01231481481481481</v>
      </c>
      <c r="P145" s="75" t="n">
        <v>0.01483796296296296</v>
      </c>
    </row>
    <row r="146" ht="15.75" customHeight="1" s="45">
      <c r="A146" s="76" t="n">
        <v>46092</v>
      </c>
      <c r="B146" s="77" t="inlineStr">
        <is>
          <t>Antes-Projeto</t>
        </is>
      </c>
      <c r="C146" s="78" t="inlineStr">
        <is>
          <t>Tempo Médio — 🟢 Verde   (hh:mm)</t>
        </is>
      </c>
      <c r="D146" s="79" t="n">
        <v>0.02490740740740741</v>
      </c>
      <c r="E146" s="79" t="n">
        <v>0.2080092592592593</v>
      </c>
      <c r="F146" s="79" t="n">
        <v>0.1220486111111111</v>
      </c>
      <c r="G146" s="79" t="n">
        <v>0.08145833333333333</v>
      </c>
      <c r="H146" s="79" t="n">
        <v>0.1423263888888889</v>
      </c>
      <c r="I146" s="79" t="n">
        <v>0.113900462962963</v>
      </c>
      <c r="J146" s="79" t="n">
        <v>0.2263194444444444</v>
      </c>
      <c r="K146" s="79" t="n">
        <v>0.1494444444444444</v>
      </c>
      <c r="L146" s="79" t="n">
        <v>0.1016087962962963</v>
      </c>
      <c r="M146" s="79" t="n">
        <v>0.06317129629629629</v>
      </c>
      <c r="N146" s="79" t="n">
        <v>0.1157638888888889</v>
      </c>
      <c r="O146" s="79" t="n">
        <v>0.09231481481481481</v>
      </c>
      <c r="P146" s="79" t="n">
        <v>0.1304513888888889</v>
      </c>
    </row>
    <row r="147" ht="15.75" customHeight="1" s="45">
      <c r="A147" s="57" t="n">
        <v>46093</v>
      </c>
      <c r="B147" s="58" t="inlineStr">
        <is>
          <t>Antes-Projeto</t>
        </is>
      </c>
      <c r="C147" s="59" t="inlineStr">
        <is>
          <t>Acolhim. + Atend. Urgência + Atend. UPA</t>
        </is>
      </c>
      <c r="D147" s="60">
        <f>SUM(D148:D150)</f>
        <v/>
      </c>
      <c r="E147" s="60">
        <f>SUM(E148:E150)</f>
        <v/>
      </c>
      <c r="F147" s="60">
        <f>SUM(F148:F150)</f>
        <v/>
      </c>
      <c r="G147" s="60">
        <f>SUM(G148:G150)</f>
        <v/>
      </c>
      <c r="H147" s="60">
        <f>SUM(H148:H150)</f>
        <v/>
      </c>
      <c r="I147" s="60">
        <f>SUM(I148:I150)</f>
        <v/>
      </c>
      <c r="J147" s="60">
        <f>SUM(J148:J150)</f>
        <v/>
      </c>
      <c r="K147" s="60">
        <f>SUM(K148:K150)</f>
        <v/>
      </c>
      <c r="L147" s="60">
        <f>SUM(L148:L150)</f>
        <v/>
      </c>
      <c r="M147" s="60">
        <f>SUM(M148:M150)</f>
        <v/>
      </c>
      <c r="N147" s="60">
        <f>SUM(N148:N150)</f>
        <v/>
      </c>
      <c r="O147" s="60">
        <f>SUM(O148:O150)</f>
        <v/>
      </c>
      <c r="P147" s="60">
        <f>SUM(P148:P150)</f>
        <v/>
      </c>
    </row>
    <row r="148" ht="15.75" customHeight="1" s="45">
      <c r="A148" s="61" t="n">
        <v>46093</v>
      </c>
      <c r="B148" s="62" t="inlineStr">
        <is>
          <t>Antes-Projeto</t>
        </is>
      </c>
      <c r="C148" s="65" t="inlineStr">
        <is>
          <t>Acolhimento c/ Classif. de Risco</t>
        </is>
      </c>
      <c r="D148" s="66" t="n">
        <v>282</v>
      </c>
      <c r="E148" s="66" t="n">
        <v>118</v>
      </c>
      <c r="F148" s="66" t="n">
        <v>173</v>
      </c>
      <c r="G148" s="66" t="n">
        <v>132</v>
      </c>
      <c r="H148" s="66" t="n">
        <v>107</v>
      </c>
      <c r="I148" s="66" t="n">
        <v>183</v>
      </c>
      <c r="J148" s="66" t="n">
        <v>115</v>
      </c>
      <c r="K148" s="66" t="n">
        <v>269</v>
      </c>
      <c r="L148" s="66" t="n">
        <v>138</v>
      </c>
      <c r="M148" s="66" t="n">
        <v>250</v>
      </c>
      <c r="N148" s="66" t="n">
        <v>196</v>
      </c>
      <c r="O148" s="66" t="n">
        <v>273</v>
      </c>
      <c r="P148" s="66" t="n">
        <v>268</v>
      </c>
    </row>
    <row r="149" ht="15.75" customHeight="1" s="45">
      <c r="A149" s="61" t="n">
        <v>46093</v>
      </c>
      <c r="B149" s="62" t="inlineStr">
        <is>
          <t>Antes-Projeto</t>
        </is>
      </c>
      <c r="C149" s="63" t="inlineStr">
        <is>
          <t>Atend. Urgência Obs. ≤ 24h</t>
        </is>
      </c>
      <c r="D149" s="64" t="n">
        <v>34</v>
      </c>
      <c r="E149" s="64" t="n">
        <v>38</v>
      </c>
      <c r="F149" s="64" t="n">
        <v>17</v>
      </c>
      <c r="G149" s="64" t="n">
        <v>30</v>
      </c>
      <c r="H149" s="64" t="n">
        <v>25</v>
      </c>
      <c r="I149" s="64" t="n">
        <v>23</v>
      </c>
      <c r="J149" s="64" t="n">
        <v>24</v>
      </c>
      <c r="K149" s="64" t="n">
        <v>46</v>
      </c>
      <c r="L149" s="64" t="n">
        <v>33</v>
      </c>
      <c r="M149" s="64" t="n">
        <v>65</v>
      </c>
      <c r="N149" s="64" t="n">
        <v>52</v>
      </c>
      <c r="O149" s="64" t="n">
        <v>7</v>
      </c>
      <c r="P149" s="64" t="n">
        <v>18</v>
      </c>
    </row>
    <row r="150" ht="15.75" customHeight="1" s="45">
      <c r="A150" s="61" t="n">
        <v>46093</v>
      </c>
      <c r="B150" s="62" t="inlineStr">
        <is>
          <t>Antes-Projeto</t>
        </is>
      </c>
      <c r="C150" s="65" t="inlineStr">
        <is>
          <t>Atend. Médico em UPA</t>
        </is>
      </c>
      <c r="D150" s="66" t="n">
        <v>197</v>
      </c>
      <c r="E150" s="66" t="n">
        <v>39</v>
      </c>
      <c r="F150" s="66" t="n">
        <v>134</v>
      </c>
      <c r="G150" s="66" t="n">
        <v>69</v>
      </c>
      <c r="H150" s="66" t="n">
        <v>81</v>
      </c>
      <c r="I150" s="66" t="n">
        <v>143</v>
      </c>
      <c r="J150" s="66" t="n">
        <v>96</v>
      </c>
      <c r="K150" s="66" t="n">
        <v>185</v>
      </c>
      <c r="L150" s="66" t="n">
        <v>102</v>
      </c>
      <c r="M150" s="66" t="n">
        <v>64</v>
      </c>
      <c r="N150" s="66" t="n">
        <v>193</v>
      </c>
      <c r="O150" s="66" t="n">
        <v>196</v>
      </c>
      <c r="P150" s="66" t="n">
        <v>119</v>
      </c>
    </row>
    <row r="151" ht="15.75" customHeight="1" s="45">
      <c r="A151" s="61" t="n">
        <v>46093</v>
      </c>
      <c r="B151" s="62" t="inlineStr">
        <is>
          <t>Antes-Projeto</t>
        </is>
      </c>
      <c r="C151" s="63" t="inlineStr">
        <is>
          <t>Exames Laboratoriais</t>
        </is>
      </c>
      <c r="D151" s="64" t="n">
        <v>676</v>
      </c>
      <c r="E151" s="64" t="n">
        <v>75</v>
      </c>
      <c r="F151" s="64" t="n">
        <v>272</v>
      </c>
      <c r="G151" s="64" t="n">
        <v>271</v>
      </c>
      <c r="H151" s="64" t="n">
        <v>388</v>
      </c>
      <c r="I151" s="64" t="n">
        <v>419</v>
      </c>
      <c r="J151" s="64" t="n">
        <v>238</v>
      </c>
      <c r="K151" s="64" t="n">
        <v>750</v>
      </c>
      <c r="L151" s="64" t="n">
        <v>433</v>
      </c>
      <c r="M151" s="64" t="n">
        <v>644</v>
      </c>
      <c r="N151" s="64" t="n">
        <v>702</v>
      </c>
      <c r="O151" s="64" t="n">
        <v>343</v>
      </c>
      <c r="P151" s="64" t="n">
        <v>250</v>
      </c>
    </row>
    <row r="152" ht="15.75" customHeight="1" s="45">
      <c r="A152" s="61" t="n">
        <v>46093</v>
      </c>
      <c r="B152" s="62" t="inlineStr">
        <is>
          <t>Antes-Projeto</t>
        </is>
      </c>
      <c r="C152" s="65" t="inlineStr">
        <is>
          <t>Radiografias</t>
        </is>
      </c>
      <c r="D152" s="66" t="n">
        <v>31</v>
      </c>
      <c r="E152" s="66" t="n">
        <v>7</v>
      </c>
      <c r="F152" s="66" t="n">
        <v>35</v>
      </c>
      <c r="G152" s="66" t="n">
        <v>23</v>
      </c>
      <c r="H152" s="66" t="n">
        <v>10</v>
      </c>
      <c r="I152" s="66" t="n">
        <v>24</v>
      </c>
      <c r="J152" s="66" t="n">
        <v>23</v>
      </c>
      <c r="K152" s="66" t="n">
        <v>57</v>
      </c>
      <c r="L152" s="66" t="n">
        <v>16</v>
      </c>
      <c r="M152" s="66" t="n">
        <v>71</v>
      </c>
      <c r="N152" s="66" t="n">
        <v>21</v>
      </c>
      <c r="O152" s="66" t="n">
        <v>40</v>
      </c>
      <c r="P152" s="66" t="n">
        <v>52</v>
      </c>
    </row>
    <row r="153" ht="15.75" customHeight="1" s="45">
      <c r="A153" s="61" t="n">
        <v>46093</v>
      </c>
      <c r="B153" s="62" t="inlineStr">
        <is>
          <t>Antes-Projeto</t>
        </is>
      </c>
      <c r="C153" s="63" t="inlineStr">
        <is>
          <t>Eletrocardiogramas</t>
        </is>
      </c>
      <c r="D153" s="64" t="n">
        <v>6</v>
      </c>
      <c r="E153" s="64" t="n">
        <v>2</v>
      </c>
      <c r="F153" s="64" t="n">
        <v>28</v>
      </c>
      <c r="G153" s="64" t="n">
        <v>15</v>
      </c>
      <c r="H153" s="64" t="n">
        <v>11</v>
      </c>
      <c r="I153" s="64" t="n">
        <v>12</v>
      </c>
      <c r="J153" s="64" t="n">
        <v>9</v>
      </c>
      <c r="K153" s="64" t="n">
        <v>18</v>
      </c>
      <c r="L153" s="64" t="n">
        <v>9</v>
      </c>
      <c r="M153" s="64" t="n">
        <v>15</v>
      </c>
      <c r="N153" s="64" t="n">
        <v>9</v>
      </c>
      <c r="O153" s="64" t="n">
        <v>12</v>
      </c>
      <c r="P153" s="64" t="n">
        <v>16</v>
      </c>
    </row>
    <row r="154" ht="15.75" customHeight="1" s="45">
      <c r="A154" s="61" t="n">
        <v>46093</v>
      </c>
      <c r="B154" s="62" t="inlineStr">
        <is>
          <t>Antes-Projeto</t>
        </is>
      </c>
      <c r="C154" s="68" t="inlineStr">
        <is>
          <t>GAEs Abertas</t>
        </is>
      </c>
      <c r="D154" s="69" t="n">
        <v>290</v>
      </c>
      <c r="E154" s="69" t="n">
        <v>142</v>
      </c>
      <c r="F154" s="69" t="n">
        <v>171</v>
      </c>
      <c r="G154" s="69" t="n">
        <v>137</v>
      </c>
      <c r="H154" s="69" t="n">
        <v>117</v>
      </c>
      <c r="I154" s="69" t="n">
        <v>197</v>
      </c>
      <c r="J154" s="69" t="n">
        <v>125</v>
      </c>
      <c r="K154" s="69" t="n">
        <v>286</v>
      </c>
      <c r="L154" s="69" t="n">
        <v>145</v>
      </c>
      <c r="M154" s="69" t="n">
        <v>267</v>
      </c>
      <c r="N154" s="69" t="n">
        <v>199</v>
      </c>
      <c r="O154" s="69" t="n">
        <v>286</v>
      </c>
      <c r="P154" s="69" t="n">
        <v>275</v>
      </c>
    </row>
    <row r="155" ht="15.75" customHeight="1" s="45">
      <c r="A155" s="61" t="n">
        <v>46093</v>
      </c>
      <c r="B155" s="62" t="inlineStr">
        <is>
          <t>Antes-Projeto</t>
        </is>
      </c>
      <c r="C155" s="68" t="inlineStr">
        <is>
          <t>GAEs Classificadas</t>
        </is>
      </c>
      <c r="D155" s="69" t="n">
        <v>280</v>
      </c>
      <c r="E155" s="69" t="n">
        <v>118</v>
      </c>
      <c r="F155" s="69" t="n">
        <v>169</v>
      </c>
      <c r="G155" s="69" t="n">
        <v>132</v>
      </c>
      <c r="H155" s="69" t="n">
        <v>105</v>
      </c>
      <c r="I155" s="69" t="n">
        <v>180</v>
      </c>
      <c r="J155" s="69" t="n">
        <v>114</v>
      </c>
      <c r="K155" s="69" t="n">
        <v>269</v>
      </c>
      <c r="L155" s="69" t="n">
        <v>139</v>
      </c>
      <c r="M155" s="69" t="n">
        <v>249</v>
      </c>
      <c r="N155" s="69" t="n">
        <v>195</v>
      </c>
      <c r="O155" s="69" t="n">
        <v>275</v>
      </c>
      <c r="P155" s="69" t="n">
        <v>266</v>
      </c>
    </row>
    <row r="156" ht="15.75" customHeight="1" s="45">
      <c r="A156" s="61" t="n">
        <v>46093</v>
      </c>
      <c r="B156" s="62" t="inlineStr">
        <is>
          <t>Antes-Projeto</t>
        </is>
      </c>
      <c r="C156" s="70" t="inlineStr">
        <is>
          <t>Percentual de GAEs abertas classificadas</t>
        </is>
      </c>
      <c r="D156" s="71">
        <f>IFERROR(D155/D154,"-")</f>
        <v/>
      </c>
      <c r="E156" s="71">
        <f>IFERROR(E155/E154,"-")</f>
        <v/>
      </c>
      <c r="F156" s="71">
        <f>IFERROR(F155/F154,"-")</f>
        <v/>
      </c>
      <c r="G156" s="71">
        <f>IFERROR(G155/G154,"-")</f>
        <v/>
      </c>
      <c r="H156" s="71">
        <f>IFERROR(H155/H154,"-")</f>
        <v/>
      </c>
      <c r="I156" s="71">
        <f>IFERROR(I155/I154,"-")</f>
        <v/>
      </c>
      <c r="J156" s="71">
        <f>IFERROR(J155/J154,"-")</f>
        <v/>
      </c>
      <c r="K156" s="71">
        <f>IFERROR(K155/K154,"-")</f>
        <v/>
      </c>
      <c r="L156" s="71">
        <f>IFERROR(L155/L154,"-")</f>
        <v/>
      </c>
      <c r="M156" s="71">
        <f>IFERROR(M155/M154,"-")</f>
        <v/>
      </c>
      <c r="N156" s="71">
        <f>IFERROR(N155/N154,"-")</f>
        <v/>
      </c>
      <c r="O156" s="71">
        <f>IFERROR(O155/O154,"-")</f>
        <v/>
      </c>
      <c r="P156" s="71">
        <f>IFERROR(P155/P154,"-")</f>
        <v/>
      </c>
    </row>
    <row r="157" ht="15.75" customHeight="1" s="45">
      <c r="A157" s="61" t="n">
        <v>46093</v>
      </c>
      <c r="B157" s="62" t="inlineStr">
        <is>
          <t>Antes-Projeto</t>
        </is>
      </c>
      <c r="C157" s="72" t="inlineStr">
        <is>
          <t>Tempo Médio — 🟡 Amarelo (hh:mm)</t>
        </is>
      </c>
      <c r="D157" s="73" t="n">
        <v>0.02361111111111111</v>
      </c>
      <c r="E157" s="73" t="n">
        <v>0.07435185185185185</v>
      </c>
      <c r="F157" s="73" t="n">
        <v>0.03224537037037037</v>
      </c>
      <c r="G157" s="73" t="n">
        <v>0.04657407407407407</v>
      </c>
      <c r="H157" s="73" t="n">
        <v>0.04971064814814815</v>
      </c>
      <c r="I157" s="73" t="n">
        <v>0.05329861111111111</v>
      </c>
      <c r="J157" s="73" t="n">
        <v>0.09406249999999999</v>
      </c>
      <c r="K157" s="73" t="n">
        <v>0.06304398148148148</v>
      </c>
      <c r="L157" s="73" t="n">
        <v>0.06618055555555556</v>
      </c>
      <c r="M157" s="73" t="n">
        <v>0.06138888888888889</v>
      </c>
      <c r="N157" s="73" t="n">
        <v>0.09267361111111111</v>
      </c>
      <c r="O157" s="73" t="n">
        <v>0.029375</v>
      </c>
      <c r="P157" s="73" t="n">
        <v>0.08980324074074074</v>
      </c>
    </row>
    <row r="158" ht="15.75" customHeight="1" s="45">
      <c r="A158" s="61" t="n">
        <v>46093</v>
      </c>
      <c r="B158" s="62" t="inlineStr">
        <is>
          <t>Antes-Projeto</t>
        </is>
      </c>
      <c r="C158" s="74" t="inlineStr">
        <is>
          <t>Tempo Médio — 🟠 Laranja (hh:mm)</t>
        </is>
      </c>
      <c r="D158" s="75" t="n">
        <v>0.005335648148148148</v>
      </c>
      <c r="E158" s="75" t="n">
        <v>0.01628472222222222</v>
      </c>
      <c r="F158" s="75" t="n">
        <v>0.004918981481481482</v>
      </c>
      <c r="G158" s="75" t="n">
        <v>0.01135416666666667</v>
      </c>
      <c r="H158" s="75" t="n">
        <v>0.005925925925925926</v>
      </c>
      <c r="I158" s="75" t="n">
        <v>0.01071759259259259</v>
      </c>
      <c r="J158" s="75" t="n">
        <v>0.008240740740740741</v>
      </c>
      <c r="K158" s="75" t="n">
        <v>0.02209490740740741</v>
      </c>
      <c r="L158" s="75" t="n">
        <v>0.01582175925925926</v>
      </c>
      <c r="M158" s="75" t="n">
        <v>0.02265046296296296</v>
      </c>
      <c r="N158" s="75" t="n">
        <v>0.01917824074074074</v>
      </c>
      <c r="O158" s="75" t="n">
        <v>0.009293981481481481</v>
      </c>
      <c r="P158" s="75" t="n">
        <v>0.007696759259259259</v>
      </c>
    </row>
    <row r="159" ht="15.75" customHeight="1" s="45">
      <c r="A159" s="76" t="n">
        <v>46093</v>
      </c>
      <c r="B159" s="77" t="inlineStr">
        <is>
          <t>Antes-Projeto</t>
        </is>
      </c>
      <c r="C159" s="78" t="inlineStr">
        <is>
          <t>Tempo Médio — 🟢 Verde   (hh:mm)</t>
        </is>
      </c>
      <c r="D159" s="79" t="n">
        <v>0.05928240740740741</v>
      </c>
      <c r="E159" s="79" t="n">
        <v>0.1484375</v>
      </c>
      <c r="F159" s="79" t="n">
        <v>0.09638888888888889</v>
      </c>
      <c r="G159" s="79" t="n">
        <v>0.1257175925925926</v>
      </c>
      <c r="H159" s="79" t="n">
        <v>0.1332175925925926</v>
      </c>
      <c r="I159" s="79" t="n">
        <v>0.07635416666666667</v>
      </c>
      <c r="J159" s="79" t="n">
        <v>0.2123726851851852</v>
      </c>
      <c r="K159" s="79" t="n">
        <v>0.07283564814814815</v>
      </c>
      <c r="L159" s="79" t="n">
        <v>0.09033564814814815</v>
      </c>
      <c r="M159" s="79" t="n">
        <v>0.1191319444444444</v>
      </c>
      <c r="N159" s="79" t="n">
        <v>0.1604050925925926</v>
      </c>
      <c r="O159" s="79" t="n">
        <v>0.09030092592592592</v>
      </c>
      <c r="P159" s="79" t="n">
        <v>0.1338078703703704</v>
      </c>
    </row>
    <row r="160" ht="15.75" customHeight="1" s="45">
      <c r="A160" s="57" t="n">
        <v>46094</v>
      </c>
      <c r="B160" s="58" t="inlineStr">
        <is>
          <t>Antes-Projeto</t>
        </is>
      </c>
      <c r="C160" s="59" t="inlineStr">
        <is>
          <t>Acolhim. + Atend. Urgência + Atend. UPA</t>
        </is>
      </c>
      <c r="D160" s="60">
        <f>SUM(D161:D163)</f>
        <v/>
      </c>
      <c r="E160" s="60">
        <f>SUM(E161:E163)</f>
        <v/>
      </c>
      <c r="F160" s="60">
        <f>SUM(F161:F163)</f>
        <v/>
      </c>
      <c r="G160" s="60">
        <f>SUM(G161:G163)</f>
        <v/>
      </c>
      <c r="H160" s="60">
        <f>SUM(H161:H163)</f>
        <v/>
      </c>
      <c r="I160" s="60">
        <f>SUM(I161:I163)</f>
        <v/>
      </c>
      <c r="J160" s="60">
        <f>SUM(J161:J163)</f>
        <v/>
      </c>
      <c r="K160" s="60">
        <f>SUM(K161:K163)</f>
        <v/>
      </c>
      <c r="L160" s="60">
        <f>SUM(L161:L163)</f>
        <v/>
      </c>
      <c r="M160" s="60">
        <f>SUM(M161:M163)</f>
        <v/>
      </c>
      <c r="N160" s="60">
        <f>SUM(N161:N163)</f>
        <v/>
      </c>
      <c r="O160" s="60">
        <f>SUM(O161:O163)</f>
        <v/>
      </c>
      <c r="P160" s="60">
        <f>SUM(P161:P163)</f>
        <v/>
      </c>
    </row>
    <row r="161" ht="15.75" customHeight="1" s="45">
      <c r="A161" s="61" t="n">
        <v>46094</v>
      </c>
      <c r="B161" s="62" t="inlineStr">
        <is>
          <t>Antes-Projeto</t>
        </is>
      </c>
      <c r="C161" s="63" t="inlineStr">
        <is>
          <t>Acolhimento c/ Classif. de Risco</t>
        </is>
      </c>
      <c r="D161" s="64" t="n">
        <v>246</v>
      </c>
      <c r="E161" s="64" t="n">
        <v>154</v>
      </c>
      <c r="F161" s="64" t="n">
        <v>146</v>
      </c>
      <c r="G161" s="64" t="n">
        <v>114</v>
      </c>
      <c r="H161" s="64" t="n">
        <v>106</v>
      </c>
      <c r="I161" s="64" t="n">
        <v>171</v>
      </c>
      <c r="J161" s="64" t="n">
        <v>112</v>
      </c>
      <c r="K161" s="64" t="n">
        <v>308</v>
      </c>
      <c r="L161" s="64" t="n">
        <v>159</v>
      </c>
      <c r="M161" s="64" t="n">
        <v>225</v>
      </c>
      <c r="N161" s="64" t="n">
        <v>200</v>
      </c>
      <c r="O161" s="64" t="n">
        <v>264</v>
      </c>
      <c r="P161" s="64" t="n">
        <v>239</v>
      </c>
    </row>
    <row r="162" ht="15.75" customHeight="1" s="45">
      <c r="A162" s="61" t="n">
        <v>46094</v>
      </c>
      <c r="B162" s="62" t="inlineStr">
        <is>
          <t>Antes-Projeto</t>
        </is>
      </c>
      <c r="C162" s="65" t="inlineStr">
        <is>
          <t>Atend. Urgência Obs. ≤ 24h</t>
        </is>
      </c>
      <c r="D162" s="66" t="n">
        <v>25</v>
      </c>
      <c r="E162" s="66" t="n">
        <v>45</v>
      </c>
      <c r="F162" s="66" t="n">
        <v>15</v>
      </c>
      <c r="G162" s="66" t="n">
        <v>29</v>
      </c>
      <c r="H162" s="66" t="n">
        <v>18</v>
      </c>
      <c r="I162" s="66" t="n">
        <v>21</v>
      </c>
      <c r="J162" s="66" t="n">
        <v>24</v>
      </c>
      <c r="K162" s="66" t="n">
        <v>29</v>
      </c>
      <c r="L162" s="66" t="n">
        <v>37</v>
      </c>
      <c r="M162" s="66" t="n">
        <v>85</v>
      </c>
      <c r="N162" s="66" t="n">
        <v>60</v>
      </c>
      <c r="O162" s="66" t="n">
        <v>4</v>
      </c>
      <c r="P162" s="66" t="n">
        <v>41</v>
      </c>
    </row>
    <row r="163" ht="15.75" customHeight="1" s="45">
      <c r="A163" s="61" t="n">
        <v>46094</v>
      </c>
      <c r="B163" s="62" t="inlineStr">
        <is>
          <t>Antes-Projeto</t>
        </is>
      </c>
      <c r="C163" s="63" t="inlineStr">
        <is>
          <t>Atend. Médico em UPA</t>
        </is>
      </c>
      <c r="D163" s="64" t="n">
        <v>170</v>
      </c>
      <c r="E163" s="64" t="n">
        <v>21</v>
      </c>
      <c r="F163" s="64" t="n">
        <v>105</v>
      </c>
      <c r="G163" s="64" t="n">
        <v>65</v>
      </c>
      <c r="H163" s="64" t="n">
        <v>63</v>
      </c>
      <c r="I163" s="64" t="n">
        <v>155</v>
      </c>
      <c r="J163" s="64" t="n">
        <v>79</v>
      </c>
      <c r="K163" s="64" t="n">
        <v>219</v>
      </c>
      <c r="L163" s="64" t="n">
        <v>111</v>
      </c>
      <c r="M163" s="64" t="n">
        <v>151</v>
      </c>
      <c r="N163" s="64" t="n">
        <v>189</v>
      </c>
      <c r="O163" s="64" t="n">
        <v>234</v>
      </c>
      <c r="P163" s="64" t="n">
        <v>143</v>
      </c>
    </row>
    <row r="164" ht="15.75" customHeight="1" s="45">
      <c r="A164" s="61" t="n">
        <v>46094</v>
      </c>
      <c r="B164" s="62" t="inlineStr">
        <is>
          <t>Antes-Projeto</t>
        </is>
      </c>
      <c r="C164" s="65" t="inlineStr">
        <is>
          <t>Exames Laboratoriais</t>
        </is>
      </c>
      <c r="D164" s="66" t="n">
        <v>487</v>
      </c>
      <c r="E164" s="66" t="n">
        <v>205</v>
      </c>
      <c r="F164" s="66" t="n">
        <v>494</v>
      </c>
      <c r="G164" s="66" t="n">
        <v>274</v>
      </c>
      <c r="H164" s="66" t="n">
        <v>282</v>
      </c>
      <c r="I164" s="66" t="n">
        <v>515</v>
      </c>
      <c r="J164" s="66" t="n">
        <v>318</v>
      </c>
      <c r="K164" s="66" t="n">
        <v>712</v>
      </c>
      <c r="L164" s="66" t="n">
        <v>623</v>
      </c>
      <c r="M164" s="66" t="n">
        <v>628</v>
      </c>
      <c r="N164" s="66" t="n">
        <v>664</v>
      </c>
      <c r="O164" s="66" t="n">
        <v>395</v>
      </c>
      <c r="P164" s="66" t="n">
        <v>667</v>
      </c>
    </row>
    <row r="165" ht="15.75" customHeight="1" s="45">
      <c r="A165" s="61" t="n">
        <v>46094</v>
      </c>
      <c r="B165" s="62" t="inlineStr">
        <is>
          <t>Antes-Projeto</t>
        </is>
      </c>
      <c r="C165" s="63" t="inlineStr">
        <is>
          <t>Radiografias</t>
        </is>
      </c>
      <c r="D165" s="64" t="n">
        <v>19</v>
      </c>
      <c r="E165" s="64" t="n">
        <v>5</v>
      </c>
      <c r="F165" s="64" t="n">
        <v>23</v>
      </c>
      <c r="G165" s="64" t="n">
        <v>12</v>
      </c>
      <c r="H165" s="64" t="n">
        <v>13</v>
      </c>
      <c r="I165" s="64" t="n">
        <v>31</v>
      </c>
      <c r="J165" s="64" t="n">
        <v>18</v>
      </c>
      <c r="K165" s="64" t="n">
        <v>63</v>
      </c>
      <c r="L165" s="64" t="n">
        <v>44</v>
      </c>
      <c r="M165" s="64" t="n">
        <v>31</v>
      </c>
      <c r="N165" s="64" t="n">
        <v>32</v>
      </c>
      <c r="O165" s="64" t="n">
        <v>39</v>
      </c>
      <c r="P165" s="64" t="n">
        <v>55</v>
      </c>
    </row>
    <row r="166" ht="15.75" customHeight="1" s="45">
      <c r="A166" s="61" t="n">
        <v>46094</v>
      </c>
      <c r="B166" s="62" t="inlineStr">
        <is>
          <t>Antes-Projeto</t>
        </is>
      </c>
      <c r="C166" s="65" t="inlineStr">
        <is>
          <t>Eletrocardiogramas</t>
        </is>
      </c>
      <c r="D166" s="66" t="n">
        <v>10</v>
      </c>
      <c r="E166" s="66" t="n">
        <v>56</v>
      </c>
      <c r="F166" s="66" t="n">
        <v>19</v>
      </c>
      <c r="G166" s="66" t="n">
        <v>10</v>
      </c>
      <c r="H166" s="66" t="n">
        <v>7</v>
      </c>
      <c r="I166" s="66" t="n">
        <v>15</v>
      </c>
      <c r="J166" s="66" t="n">
        <v>7</v>
      </c>
      <c r="K166" s="66" t="n">
        <v>18</v>
      </c>
      <c r="L166" s="66" t="n">
        <v>15</v>
      </c>
      <c r="M166" s="66" t="n">
        <v>12</v>
      </c>
      <c r="N166" s="66" t="n">
        <v>11</v>
      </c>
      <c r="O166" s="66" t="n">
        <v>11</v>
      </c>
      <c r="P166" s="66" t="n">
        <v>23</v>
      </c>
    </row>
    <row r="167" ht="15.75" customHeight="1" s="45">
      <c r="A167" s="61" t="n">
        <v>46094</v>
      </c>
      <c r="B167" s="62" t="inlineStr">
        <is>
          <t>Antes-Projeto</t>
        </is>
      </c>
      <c r="C167" s="68" t="inlineStr">
        <is>
          <t>GAEs Abertas</t>
        </is>
      </c>
      <c r="D167" s="69" t="n">
        <v>257</v>
      </c>
      <c r="E167" s="69" t="n">
        <v>170</v>
      </c>
      <c r="F167" s="69" t="n">
        <v>159</v>
      </c>
      <c r="G167" s="69" t="n">
        <v>119</v>
      </c>
      <c r="H167" s="69" t="n">
        <v>114</v>
      </c>
      <c r="I167" s="69" t="n">
        <v>185</v>
      </c>
      <c r="J167" s="69" t="n">
        <v>123</v>
      </c>
      <c r="K167" s="69" t="n">
        <v>351</v>
      </c>
      <c r="L167" s="69" t="n">
        <v>168</v>
      </c>
      <c r="M167" s="69" t="n">
        <v>248</v>
      </c>
      <c r="N167" s="69" t="n">
        <v>199</v>
      </c>
      <c r="O167" s="69" t="n">
        <v>282</v>
      </c>
      <c r="P167" s="69" t="n">
        <v>243</v>
      </c>
    </row>
    <row r="168" ht="15.75" customHeight="1" s="45">
      <c r="A168" s="61" t="n">
        <v>46094</v>
      </c>
      <c r="B168" s="62" t="inlineStr">
        <is>
          <t>Antes-Projeto</t>
        </is>
      </c>
      <c r="C168" s="68" t="inlineStr">
        <is>
          <t>GAEs Classificadas</t>
        </is>
      </c>
      <c r="D168" s="69" t="n">
        <v>248</v>
      </c>
      <c r="E168" s="69" t="n">
        <v>154</v>
      </c>
      <c r="F168" s="69" t="n">
        <v>150</v>
      </c>
      <c r="G168" s="69" t="n">
        <v>114</v>
      </c>
      <c r="H168" s="69" t="n">
        <v>109</v>
      </c>
      <c r="I168" s="69" t="n">
        <v>173</v>
      </c>
      <c r="J168" s="69" t="n">
        <v>113</v>
      </c>
      <c r="K168" s="69" t="n">
        <v>306</v>
      </c>
      <c r="L168" s="69" t="n">
        <v>159</v>
      </c>
      <c r="M168" s="69" t="n">
        <v>228</v>
      </c>
      <c r="N168" s="69" t="n">
        <v>187</v>
      </c>
      <c r="O168" s="69" t="n">
        <v>269</v>
      </c>
      <c r="P168" s="69" t="n">
        <v>238</v>
      </c>
    </row>
    <row r="169" ht="15.75" customHeight="1" s="45">
      <c r="A169" s="61" t="n">
        <v>46094</v>
      </c>
      <c r="B169" s="62" t="inlineStr">
        <is>
          <t>Antes-Projeto</t>
        </is>
      </c>
      <c r="C169" s="70" t="inlineStr">
        <is>
          <t>Percentual de GAEs abertas classificadas</t>
        </is>
      </c>
      <c r="D169" s="71">
        <f>IFERROR(D168/D167,"-")</f>
        <v/>
      </c>
      <c r="E169" s="71">
        <f>IFERROR(E168/E167,"-")</f>
        <v/>
      </c>
      <c r="F169" s="71">
        <f>IFERROR(F168/F167,"-")</f>
        <v/>
      </c>
      <c r="G169" s="71">
        <f>IFERROR(G168/G167,"-")</f>
        <v/>
      </c>
      <c r="H169" s="71">
        <f>IFERROR(H168/H167,"-")</f>
        <v/>
      </c>
      <c r="I169" s="71">
        <f>IFERROR(I168/I167,"-")</f>
        <v/>
      </c>
      <c r="J169" s="71">
        <f>IFERROR(J168/J167,"-")</f>
        <v/>
      </c>
      <c r="K169" s="71">
        <f>IFERROR(K168/K167,"-")</f>
        <v/>
      </c>
      <c r="L169" s="71">
        <f>IFERROR(L168/L167,"-")</f>
        <v/>
      </c>
      <c r="M169" s="71">
        <f>IFERROR(M168/M167,"-")</f>
        <v/>
      </c>
      <c r="N169" s="71">
        <f>IFERROR(N168/N167,"-")</f>
        <v/>
      </c>
      <c r="O169" s="71">
        <f>IFERROR(O168/O167,"-")</f>
        <v/>
      </c>
      <c r="P169" s="71">
        <f>IFERROR(P168/P167,"-")</f>
        <v/>
      </c>
    </row>
    <row r="170" ht="15.75" customHeight="1" s="45">
      <c r="A170" s="61" t="n">
        <v>46094</v>
      </c>
      <c r="B170" s="62" t="inlineStr">
        <is>
          <t>Antes-Projeto</t>
        </is>
      </c>
      <c r="C170" s="72" t="inlineStr">
        <is>
          <t>Tempo Médio — 🟡 Amarelo (hh:mm)</t>
        </is>
      </c>
      <c r="D170" s="73" t="n">
        <v>0.1082175925925926</v>
      </c>
      <c r="E170" s="73" t="n">
        <v>0.1791087962962963</v>
      </c>
      <c r="F170" s="73" t="n">
        <v>0.06829861111111112</v>
      </c>
      <c r="G170" s="73" t="n">
        <v>0.09777777777777778</v>
      </c>
      <c r="H170" s="73" t="n">
        <v>0.1140162037037037</v>
      </c>
      <c r="I170" s="73" t="n">
        <v>0.08915509259259259</v>
      </c>
      <c r="J170" s="73" t="n">
        <v>0.05082175925925926</v>
      </c>
      <c r="K170" s="73" t="n">
        <v>0.0450462962962963</v>
      </c>
      <c r="L170" s="73" t="n">
        <v>0.04940972222222222</v>
      </c>
      <c r="M170" s="73" t="n">
        <v>0.03925925925925926</v>
      </c>
      <c r="N170" s="73" t="n">
        <v>0.05457175925925926</v>
      </c>
      <c r="O170" s="73" t="n">
        <v>0.04200231481481481</v>
      </c>
      <c r="P170" s="73" t="n">
        <v>0.04565972222222222</v>
      </c>
    </row>
    <row r="171" ht="15.75" customHeight="1" s="45">
      <c r="A171" s="61" t="n">
        <v>46094</v>
      </c>
      <c r="B171" s="62" t="inlineStr">
        <is>
          <t>Antes-Projeto</t>
        </is>
      </c>
      <c r="C171" s="74" t="inlineStr">
        <is>
          <t>Tempo Médio — 🟠 Laranja (hh:mm)</t>
        </is>
      </c>
      <c r="D171" s="75" t="n">
        <v>0.01208333333333333</v>
      </c>
      <c r="E171" s="75" t="n">
        <v>0.03245370370370371</v>
      </c>
      <c r="F171" s="75" t="n">
        <v>0.005150462962962963</v>
      </c>
      <c r="G171" s="75" t="n">
        <v>0.007372685185185185</v>
      </c>
      <c r="H171" s="75" t="n">
        <v>0.003460648148148148</v>
      </c>
      <c r="I171" s="75" t="n">
        <v>0.006898148148148148</v>
      </c>
      <c r="J171" s="75" t="n">
        <v>0.0100462962962963</v>
      </c>
      <c r="K171" s="75" t="n">
        <v>0.01475694444444444</v>
      </c>
      <c r="L171" s="75" t="n">
        <v>0.01128472222222222</v>
      </c>
      <c r="M171" s="75" t="n">
        <v>0.01571759259259259</v>
      </c>
      <c r="N171" s="75" t="n">
        <v>0.01336805555555555</v>
      </c>
      <c r="O171" s="75" t="n">
        <v>0.01619212962962963</v>
      </c>
      <c r="P171" s="75" t="n">
        <v>0.01241898148148148</v>
      </c>
    </row>
    <row r="172" ht="15.75" customHeight="1" s="45">
      <c r="A172" s="76" t="n">
        <v>46094</v>
      </c>
      <c r="B172" s="77" t="inlineStr">
        <is>
          <t>Antes-Projeto</t>
        </is>
      </c>
      <c r="C172" s="78" t="inlineStr">
        <is>
          <t>Tempo Médio — 🟢 Verde   (hh:mm)</t>
        </is>
      </c>
      <c r="D172" s="79" t="n">
        <v>0.04945601851851852</v>
      </c>
      <c r="E172" s="79" t="n">
        <v>0.2925578703703703</v>
      </c>
      <c r="F172" s="79" t="n">
        <v>0.1721064814814815</v>
      </c>
      <c r="G172" s="79" t="n">
        <v>0.1308680555555556</v>
      </c>
      <c r="H172" s="79" t="n">
        <v>0.1661805555555556</v>
      </c>
      <c r="I172" s="79" t="n">
        <v>0.1294444444444444</v>
      </c>
      <c r="J172" s="79" t="n">
        <v>0.05949074074074074</v>
      </c>
      <c r="K172" s="79" t="n">
        <v>0.07938657407407407</v>
      </c>
      <c r="L172" s="79" t="n">
        <v>0.06168981481481482</v>
      </c>
      <c r="M172" s="79" t="n">
        <v>0.06627314814814815</v>
      </c>
      <c r="N172" s="79" t="n">
        <v>0.06152777777777778</v>
      </c>
      <c r="O172" s="79" t="n">
        <v>0.1106481481481481</v>
      </c>
      <c r="P172" s="79" t="n">
        <v>0.09230324074074074</v>
      </c>
    </row>
    <row r="173" ht="15.75" customHeight="1" s="45">
      <c r="A173" s="57" t="n">
        <v>46095</v>
      </c>
      <c r="B173" s="58" t="inlineStr">
        <is>
          <t>Antes-Projeto</t>
        </is>
      </c>
      <c r="C173" s="59" t="inlineStr">
        <is>
          <t>Acolhim. + Atend. Urgência + Atend. UPA</t>
        </is>
      </c>
      <c r="D173" s="60">
        <f>SUM(D174:D176)</f>
        <v/>
      </c>
      <c r="E173" s="60">
        <f>SUM(E174:E176)</f>
        <v/>
      </c>
      <c r="F173" s="60">
        <f>SUM(F174:F176)</f>
        <v/>
      </c>
      <c r="G173" s="60">
        <f>SUM(G174:G176)</f>
        <v/>
      </c>
      <c r="H173" s="60">
        <f>SUM(H174:H176)</f>
        <v/>
      </c>
      <c r="I173" s="60">
        <f>SUM(I174:I176)</f>
        <v/>
      </c>
      <c r="J173" s="60">
        <f>SUM(J174:J176)</f>
        <v/>
      </c>
      <c r="K173" s="60">
        <f>SUM(K174:K176)</f>
        <v/>
      </c>
      <c r="L173" s="60">
        <f>SUM(L174:L176)</f>
        <v/>
      </c>
      <c r="M173" s="60">
        <f>SUM(M174:M176)</f>
        <v/>
      </c>
      <c r="N173" s="60">
        <f>SUM(N174:N176)</f>
        <v/>
      </c>
      <c r="O173" s="60">
        <f>SUM(O174:O176)</f>
        <v/>
      </c>
      <c r="P173" s="60">
        <f>SUM(P174:P176)</f>
        <v/>
      </c>
    </row>
    <row r="174" ht="15.75" customHeight="1" s="45">
      <c r="A174" s="61" t="n">
        <v>46095</v>
      </c>
      <c r="B174" s="62" t="inlineStr">
        <is>
          <t>Antes-Projeto</t>
        </is>
      </c>
      <c r="C174" s="65" t="inlineStr">
        <is>
          <t>Acolhimento c/ Classif. de Risco</t>
        </is>
      </c>
      <c r="D174" s="66" t="n">
        <v>172</v>
      </c>
      <c r="E174" s="66" t="n">
        <v>136</v>
      </c>
      <c r="F174" s="66" t="n">
        <v>159</v>
      </c>
      <c r="G174" s="66" t="n">
        <v>135</v>
      </c>
      <c r="H174" s="66" t="n">
        <v>109</v>
      </c>
      <c r="I174" s="66" t="n">
        <v>162</v>
      </c>
      <c r="J174" s="66" t="n">
        <v>82</v>
      </c>
      <c r="K174" s="66" t="n">
        <v>235</v>
      </c>
      <c r="L174" s="66" t="n">
        <v>144</v>
      </c>
      <c r="M174" s="66" t="n">
        <v>240</v>
      </c>
      <c r="N174" s="66" t="n">
        <v>183</v>
      </c>
      <c r="O174" s="66" t="n">
        <v>242</v>
      </c>
      <c r="P174" s="66" t="n">
        <v>136</v>
      </c>
    </row>
    <row r="175" ht="15.75" customHeight="1" s="45">
      <c r="A175" s="61" t="n">
        <v>46095</v>
      </c>
      <c r="B175" s="62" t="inlineStr">
        <is>
          <t>Antes-Projeto</t>
        </is>
      </c>
      <c r="C175" s="63" t="inlineStr">
        <is>
          <t>Atend. Urgência Obs. ≤ 24h</t>
        </is>
      </c>
      <c r="D175" s="64" t="n">
        <v>17</v>
      </c>
      <c r="E175" s="64" t="n">
        <v>49</v>
      </c>
      <c r="F175" s="64" t="n">
        <v>15</v>
      </c>
      <c r="G175" s="64" t="n">
        <v>26</v>
      </c>
      <c r="H175" s="64" t="n">
        <v>13</v>
      </c>
      <c r="I175" s="64" t="n">
        <v>47</v>
      </c>
      <c r="J175" s="64" t="n">
        <v>13</v>
      </c>
      <c r="K175" s="64" t="n">
        <v>28</v>
      </c>
      <c r="L175" s="64" t="n">
        <v>43</v>
      </c>
      <c r="M175" s="64" t="n">
        <v>62</v>
      </c>
      <c r="N175" s="64" t="n">
        <v>42</v>
      </c>
      <c r="O175" s="64" t="n">
        <v>10</v>
      </c>
      <c r="P175" s="64" t="n">
        <v>23</v>
      </c>
    </row>
    <row r="176" ht="15.75" customHeight="1" s="45">
      <c r="A176" s="61" t="n">
        <v>46095</v>
      </c>
      <c r="B176" s="62" t="inlineStr">
        <is>
          <t>Antes-Projeto</t>
        </is>
      </c>
      <c r="C176" s="65" t="inlineStr">
        <is>
          <t>Atend. Médico em UPA</t>
        </is>
      </c>
      <c r="D176" s="66" t="n">
        <v>118</v>
      </c>
      <c r="E176" s="66" t="n">
        <v>82</v>
      </c>
      <c r="F176" s="66" t="n">
        <v>102</v>
      </c>
      <c r="G176" s="66" t="n">
        <v>32</v>
      </c>
      <c r="H176" s="66" t="n">
        <v>86</v>
      </c>
      <c r="I176" s="66" t="n">
        <v>121</v>
      </c>
      <c r="J176" s="66" t="n">
        <v>73</v>
      </c>
      <c r="K176" s="66" t="n">
        <v>165</v>
      </c>
      <c r="L176" s="66" t="n">
        <v>65</v>
      </c>
      <c r="M176" s="66" t="n">
        <v>197</v>
      </c>
      <c r="N176" s="66" t="n">
        <v>171</v>
      </c>
      <c r="O176" s="66" t="n">
        <v>165</v>
      </c>
      <c r="P176" s="66" t="n">
        <v>66</v>
      </c>
    </row>
    <row r="177" ht="15.75" customHeight="1" s="45">
      <c r="A177" s="61" t="n">
        <v>46095</v>
      </c>
      <c r="B177" s="62" t="inlineStr">
        <is>
          <t>Antes-Projeto</t>
        </is>
      </c>
      <c r="C177" s="63" t="inlineStr">
        <is>
          <t>Exames Laboratoriais</t>
        </is>
      </c>
      <c r="D177" s="64" t="n">
        <v>537</v>
      </c>
      <c r="E177" s="64" t="n">
        <v>187</v>
      </c>
      <c r="F177" s="64" t="n">
        <v>119</v>
      </c>
      <c r="G177" s="64" t="n">
        <v>172</v>
      </c>
      <c r="H177" s="64" t="n">
        <v>319</v>
      </c>
      <c r="I177" s="64" t="n">
        <v>571</v>
      </c>
      <c r="J177" s="64" t="n">
        <v>233</v>
      </c>
      <c r="K177" s="64" t="n">
        <v>832</v>
      </c>
      <c r="L177" s="64" t="n">
        <v>490</v>
      </c>
      <c r="M177" s="64" t="n">
        <v>681</v>
      </c>
      <c r="N177" s="64" t="n">
        <v>520</v>
      </c>
      <c r="O177" s="64" t="n">
        <v>435</v>
      </c>
      <c r="P177" s="64" t="n">
        <v>201</v>
      </c>
    </row>
    <row r="178" ht="15.75" customHeight="1" s="45">
      <c r="A178" s="61" t="n">
        <v>46095</v>
      </c>
      <c r="B178" s="62" t="inlineStr">
        <is>
          <t>Antes-Projeto</t>
        </is>
      </c>
      <c r="C178" s="65" t="inlineStr">
        <is>
          <t>Radiografias</t>
        </is>
      </c>
      <c r="D178" s="66" t="n">
        <v>22</v>
      </c>
      <c r="E178" s="66" t="n">
        <v>20</v>
      </c>
      <c r="F178" s="66" t="n">
        <v>24</v>
      </c>
      <c r="G178" s="66" t="n">
        <v>12</v>
      </c>
      <c r="H178" s="66" t="n">
        <v>22</v>
      </c>
      <c r="I178" s="66" t="n">
        <v>26</v>
      </c>
      <c r="J178" s="66" t="n">
        <v>15</v>
      </c>
      <c r="K178" s="66" t="n">
        <v>47</v>
      </c>
      <c r="L178" s="66" t="n">
        <v>22</v>
      </c>
      <c r="M178" s="66" t="n">
        <v>58</v>
      </c>
      <c r="N178" s="66" t="n">
        <v>59</v>
      </c>
      <c r="O178" s="66" t="n">
        <v>45</v>
      </c>
      <c r="P178" s="66" t="n">
        <v>29</v>
      </c>
    </row>
    <row r="179" ht="15.75" customHeight="1" s="45">
      <c r="A179" s="61" t="n">
        <v>46095</v>
      </c>
      <c r="B179" s="62" t="inlineStr">
        <is>
          <t>Antes-Projeto</t>
        </is>
      </c>
      <c r="C179" s="63" t="inlineStr">
        <is>
          <t>Eletrocardiogramas</t>
        </is>
      </c>
      <c r="D179" s="64" t="n">
        <v>11</v>
      </c>
      <c r="E179" s="64" t="n">
        <v>12</v>
      </c>
      <c r="F179" s="64" t="n">
        <v>17</v>
      </c>
      <c r="G179" s="64" t="n">
        <v>8</v>
      </c>
      <c r="H179" s="64" t="n">
        <v>9</v>
      </c>
      <c r="I179" s="64" t="n">
        <v>11</v>
      </c>
      <c r="J179" s="64" t="n">
        <v>8</v>
      </c>
      <c r="K179" s="64" t="n">
        <v>9</v>
      </c>
      <c r="L179" s="64" t="n">
        <v>8</v>
      </c>
      <c r="M179" s="64" t="n">
        <v>11</v>
      </c>
      <c r="N179" s="64" t="n">
        <v>12</v>
      </c>
      <c r="O179" s="64" t="n">
        <v>18</v>
      </c>
      <c r="P179" s="64" t="n">
        <v>9</v>
      </c>
    </row>
    <row r="180" ht="15.75" customHeight="1" s="45">
      <c r="A180" s="61" t="n">
        <v>46095</v>
      </c>
      <c r="B180" s="62" t="inlineStr">
        <is>
          <t>Antes-Projeto</t>
        </is>
      </c>
      <c r="C180" s="68" t="inlineStr">
        <is>
          <t>GAEs Abertas</t>
        </is>
      </c>
      <c r="D180" s="69" t="n">
        <v>176</v>
      </c>
      <c r="E180" s="69" t="n">
        <v>144</v>
      </c>
      <c r="F180" s="69" t="n">
        <v>157</v>
      </c>
      <c r="G180" s="69" t="n">
        <v>139</v>
      </c>
      <c r="H180" s="69" t="n">
        <v>123</v>
      </c>
      <c r="I180" s="69" t="n">
        <v>173</v>
      </c>
      <c r="J180" s="69" t="n">
        <v>86</v>
      </c>
      <c r="K180" s="69" t="n">
        <v>259</v>
      </c>
      <c r="L180" s="69" t="n">
        <v>149</v>
      </c>
      <c r="M180" s="69" t="n">
        <v>259</v>
      </c>
      <c r="N180" s="69" t="n">
        <v>184</v>
      </c>
      <c r="O180" s="69" t="n">
        <v>253</v>
      </c>
      <c r="P180" s="69" t="n">
        <v>140</v>
      </c>
    </row>
    <row r="181" ht="15.75" customHeight="1" s="45">
      <c r="A181" s="61" t="n">
        <v>46095</v>
      </c>
      <c r="B181" s="62" t="inlineStr">
        <is>
          <t>Antes-Projeto</t>
        </is>
      </c>
      <c r="C181" s="68" t="inlineStr">
        <is>
          <t>GAEs Classificadas</t>
        </is>
      </c>
      <c r="D181" s="69" t="n">
        <v>169</v>
      </c>
      <c r="E181" s="69" t="n">
        <v>137</v>
      </c>
      <c r="F181" s="69" t="n">
        <v>155</v>
      </c>
      <c r="G181" s="69" t="n">
        <v>136</v>
      </c>
      <c r="H181" s="69" t="n">
        <v>106</v>
      </c>
      <c r="I181" s="69" t="n">
        <v>162</v>
      </c>
      <c r="J181" s="69" t="n">
        <v>81</v>
      </c>
      <c r="K181" s="69" t="n">
        <v>238</v>
      </c>
      <c r="L181" s="69" t="n">
        <v>144</v>
      </c>
      <c r="M181" s="69" t="n">
        <v>236</v>
      </c>
      <c r="N181" s="69" t="n">
        <v>178</v>
      </c>
      <c r="O181" s="69" t="n">
        <v>234</v>
      </c>
      <c r="P181" s="69" t="n">
        <v>137</v>
      </c>
    </row>
    <row r="182" ht="15.75" customHeight="1" s="45">
      <c r="A182" s="61" t="n">
        <v>46095</v>
      </c>
      <c r="B182" s="62" t="inlineStr">
        <is>
          <t>Antes-Projeto</t>
        </is>
      </c>
      <c r="C182" s="70" t="inlineStr">
        <is>
          <t>Percentual de GAEs abertas classificadas</t>
        </is>
      </c>
      <c r="D182" s="71">
        <f>IFERROR(D181/D180,"-")</f>
        <v/>
      </c>
      <c r="E182" s="71">
        <f>IFERROR(E181/E180,"-")</f>
        <v/>
      </c>
      <c r="F182" s="71">
        <f>IFERROR(F181/F180,"-")</f>
        <v/>
      </c>
      <c r="G182" s="71">
        <f>IFERROR(G181/G180,"-")</f>
        <v/>
      </c>
      <c r="H182" s="71">
        <f>IFERROR(H181/H180,"-")</f>
        <v/>
      </c>
      <c r="I182" s="71">
        <f>IFERROR(I181/I180,"-")</f>
        <v/>
      </c>
      <c r="J182" s="71">
        <f>IFERROR(J181/J180,"-")</f>
        <v/>
      </c>
      <c r="K182" s="71">
        <f>IFERROR(K181/K180,"-")</f>
        <v/>
      </c>
      <c r="L182" s="71">
        <f>IFERROR(L181/L180,"-")</f>
        <v/>
      </c>
      <c r="M182" s="71">
        <f>IFERROR(M181/M180,"-")</f>
        <v/>
      </c>
      <c r="N182" s="71">
        <f>IFERROR(N181/N180,"-")</f>
        <v/>
      </c>
      <c r="O182" s="71">
        <f>IFERROR(O181/O180,"-")</f>
        <v/>
      </c>
      <c r="P182" s="71">
        <f>IFERROR(P181/P180,"-")</f>
        <v/>
      </c>
    </row>
    <row r="183" ht="15.75" customHeight="1" s="45">
      <c r="A183" s="61" t="n">
        <v>46095</v>
      </c>
      <c r="B183" s="62" t="inlineStr">
        <is>
          <t>Antes-Projeto</t>
        </is>
      </c>
      <c r="C183" s="72" t="inlineStr">
        <is>
          <t>Tempo Médio — 🟡 Amarelo (hh:mm)</t>
        </is>
      </c>
      <c r="D183" s="73" t="n">
        <v>0.06918981481481482</v>
      </c>
      <c r="E183" s="73" t="n">
        <v>0.1309953703703704</v>
      </c>
      <c r="F183" s="73" t="n">
        <v>0.0346875</v>
      </c>
      <c r="G183" s="73" t="n">
        <v>0.03840277777777778</v>
      </c>
      <c r="H183" s="73" t="n">
        <v>0.02704861111111111</v>
      </c>
      <c r="I183" s="73" t="n">
        <v>0.04447916666666667</v>
      </c>
      <c r="J183" s="73" t="n">
        <v>0.03048611111111111</v>
      </c>
      <c r="K183" s="73" t="n">
        <v>0.04629629629629629</v>
      </c>
      <c r="L183" s="73" t="n">
        <v>0.1946296296296296</v>
      </c>
      <c r="M183" s="73" t="n">
        <v>0.0389699074074074</v>
      </c>
      <c r="N183" s="73" t="n">
        <v>0.08472222222222223</v>
      </c>
      <c r="O183" s="73" t="n">
        <v>0.06585648148148149</v>
      </c>
      <c r="P183" s="73" t="n">
        <v>0.1020717592592593</v>
      </c>
    </row>
    <row r="184" ht="15.75" customHeight="1" s="45">
      <c r="A184" s="61" t="n">
        <v>46095</v>
      </c>
      <c r="B184" s="62" t="inlineStr">
        <is>
          <t>Antes-Projeto</t>
        </is>
      </c>
      <c r="C184" s="74" t="inlineStr">
        <is>
          <t>Tempo Médio — 🟠 Laranja (hh:mm)</t>
        </is>
      </c>
      <c r="D184" s="75" t="n">
        <v>0.009305555555555555</v>
      </c>
      <c r="E184" s="75" t="n">
        <v>0.01233796296296296</v>
      </c>
      <c r="F184" s="75" t="n">
        <v>0.008958333333333334</v>
      </c>
      <c r="G184" s="75" t="n">
        <v>0.01836805555555555</v>
      </c>
      <c r="H184" s="80" t="n">
        <v>0</v>
      </c>
      <c r="I184" s="75" t="n">
        <v>0.006736111111111111</v>
      </c>
      <c r="J184" s="75" t="n">
        <v>0.01322916666666667</v>
      </c>
      <c r="K184" s="75" t="n">
        <v>0.01266203703703704</v>
      </c>
      <c r="L184" s="75" t="n">
        <v>0.01671296296296296</v>
      </c>
      <c r="M184" s="75" t="n">
        <v>0.08241898148148148</v>
      </c>
      <c r="N184" s="75" t="n">
        <v>0.00886574074074074</v>
      </c>
      <c r="O184" s="75" t="n">
        <v>0.01368055555555556</v>
      </c>
      <c r="P184" s="75" t="n">
        <v>0.01586805555555556</v>
      </c>
    </row>
    <row r="185" ht="15.75" customHeight="1" s="45">
      <c r="A185" s="76" t="n">
        <v>46095</v>
      </c>
      <c r="B185" s="77" t="inlineStr">
        <is>
          <t>Antes-Projeto</t>
        </is>
      </c>
      <c r="C185" s="78" t="inlineStr">
        <is>
          <t>Tempo Médio — 🟢 Verde   (hh:mm)</t>
        </is>
      </c>
      <c r="D185" s="79" t="n">
        <v>0.1455787037037037</v>
      </c>
      <c r="E185" s="79" t="n">
        <v>0.2632638888888889</v>
      </c>
      <c r="F185" s="79" t="n">
        <v>0.194224537037037</v>
      </c>
      <c r="G185" s="79" t="n">
        <v>0.06869212962962963</v>
      </c>
      <c r="H185" s="79" t="n">
        <v>0.1008912037037037</v>
      </c>
      <c r="I185" s="79" t="n">
        <v>0.1662615740740741</v>
      </c>
      <c r="J185" s="79" t="n">
        <v>0.05318287037037037</v>
      </c>
      <c r="K185" s="79" t="n">
        <v>0.1159722222222222</v>
      </c>
      <c r="L185" s="79" t="n">
        <v>0.246724537037037</v>
      </c>
      <c r="M185" s="79" t="n">
        <v>0.07829861111111111</v>
      </c>
      <c r="N185" s="79" t="n">
        <v>0.2387268518518519</v>
      </c>
      <c r="O185" s="79" t="n">
        <v>0.1278587962962963</v>
      </c>
      <c r="P185" s="79" t="n">
        <v>0.04025462962962963</v>
      </c>
    </row>
    <row r="186" ht="15.75" customHeight="1" s="45">
      <c r="A186" s="57" t="n">
        <v>46096</v>
      </c>
      <c r="B186" s="58" t="inlineStr">
        <is>
          <t>Antes-Projeto</t>
        </is>
      </c>
      <c r="C186" s="59" t="inlineStr">
        <is>
          <t>Acolhim. + Atend. Urgência + Atend. UPA</t>
        </is>
      </c>
      <c r="D186" s="60">
        <f>SUM(D187:D189)</f>
        <v/>
      </c>
      <c r="E186" s="60">
        <f>SUM(E187:E189)</f>
        <v/>
      </c>
      <c r="F186" s="60">
        <f>SUM(F187:F189)</f>
        <v/>
      </c>
      <c r="G186" s="60">
        <f>SUM(G187:G189)</f>
        <v/>
      </c>
      <c r="H186" s="60">
        <f>SUM(H187:H189)</f>
        <v/>
      </c>
      <c r="I186" s="60">
        <f>SUM(I187:I189)</f>
        <v/>
      </c>
      <c r="J186" s="60">
        <f>SUM(J187:J189)</f>
        <v/>
      </c>
      <c r="K186" s="60">
        <f>SUM(K187:K189)</f>
        <v/>
      </c>
      <c r="L186" s="60">
        <f>SUM(L187:L189)</f>
        <v/>
      </c>
      <c r="M186" s="60">
        <f>SUM(M187:M189)</f>
        <v/>
      </c>
      <c r="N186" s="60">
        <f>SUM(N187:N189)</f>
        <v/>
      </c>
      <c r="O186" s="60">
        <f>SUM(O187:O189)</f>
        <v/>
      </c>
      <c r="P186" s="60">
        <f>SUM(P187:P189)</f>
        <v/>
      </c>
    </row>
    <row r="187" ht="15.75" customHeight="1" s="45">
      <c r="A187" s="61" t="n">
        <v>46096</v>
      </c>
      <c r="B187" s="62" t="inlineStr">
        <is>
          <t>Antes-Projeto</t>
        </is>
      </c>
      <c r="C187" s="63" t="inlineStr">
        <is>
          <t>Acolhimento c/ Classif. de Risco</t>
        </is>
      </c>
      <c r="D187" s="64" t="n">
        <v>168</v>
      </c>
      <c r="E187" s="64" t="n">
        <v>112</v>
      </c>
      <c r="F187" s="64" t="n">
        <v>147</v>
      </c>
      <c r="G187" s="64" t="n">
        <v>97</v>
      </c>
      <c r="H187" s="64" t="n">
        <v>107</v>
      </c>
      <c r="I187" s="64" t="n">
        <v>147</v>
      </c>
      <c r="J187" s="64" t="n">
        <v>83</v>
      </c>
      <c r="K187" s="64" t="n">
        <v>238</v>
      </c>
      <c r="L187" s="64" t="n">
        <v>121</v>
      </c>
      <c r="M187" s="64" t="n">
        <v>207</v>
      </c>
      <c r="N187" s="64" t="n">
        <v>161</v>
      </c>
      <c r="O187" s="64" t="n">
        <v>223</v>
      </c>
      <c r="P187" s="64" t="n">
        <v>177</v>
      </c>
    </row>
    <row r="188" ht="15.75" customHeight="1" s="45">
      <c r="A188" s="61" t="n">
        <v>46096</v>
      </c>
      <c r="B188" s="62" t="inlineStr">
        <is>
          <t>Antes-Projeto</t>
        </is>
      </c>
      <c r="C188" s="65" t="inlineStr">
        <is>
          <t>Atend. Urgência Obs. ≤ 24h</t>
        </is>
      </c>
      <c r="D188" s="66" t="n">
        <v>14</v>
      </c>
      <c r="E188" s="66" t="n">
        <v>32</v>
      </c>
      <c r="F188" s="66" t="n">
        <v>17</v>
      </c>
      <c r="G188" s="66" t="n">
        <v>42</v>
      </c>
      <c r="H188" s="66" t="n">
        <v>16</v>
      </c>
      <c r="I188" s="66" t="n">
        <v>45</v>
      </c>
      <c r="J188" s="66" t="n">
        <v>28</v>
      </c>
      <c r="K188" s="66" t="n">
        <v>60</v>
      </c>
      <c r="L188" s="66" t="n">
        <v>55</v>
      </c>
      <c r="M188" s="66" t="n">
        <v>52</v>
      </c>
      <c r="N188" s="66" t="n">
        <v>39</v>
      </c>
      <c r="O188" s="66" t="n">
        <v>5</v>
      </c>
      <c r="P188" s="66" t="n">
        <v>32</v>
      </c>
    </row>
    <row r="189" ht="15.75" customHeight="1" s="45">
      <c r="A189" s="61" t="n">
        <v>46096</v>
      </c>
      <c r="B189" s="62" t="inlineStr">
        <is>
          <t>Antes-Projeto</t>
        </is>
      </c>
      <c r="C189" s="63" t="inlineStr">
        <is>
          <t>Atend. Médico em UPA</t>
        </is>
      </c>
      <c r="D189" s="64" t="n">
        <v>95</v>
      </c>
      <c r="E189" s="64" t="n">
        <v>118</v>
      </c>
      <c r="F189" s="64" t="n">
        <v>102</v>
      </c>
      <c r="G189" s="64" t="n">
        <v>73</v>
      </c>
      <c r="H189" s="64" t="n">
        <v>84</v>
      </c>
      <c r="I189" s="64" t="n">
        <v>126</v>
      </c>
      <c r="J189" s="64" t="n">
        <v>78</v>
      </c>
      <c r="K189" s="64" t="n">
        <v>130</v>
      </c>
      <c r="L189" s="64" t="n">
        <v>58</v>
      </c>
      <c r="M189" s="64" t="n">
        <v>110</v>
      </c>
      <c r="N189" s="64" t="n">
        <v>167</v>
      </c>
      <c r="O189" s="64" t="n">
        <v>135</v>
      </c>
      <c r="P189" s="64" t="n">
        <v>76</v>
      </c>
    </row>
    <row r="190" ht="15.75" customHeight="1" s="45">
      <c r="A190" s="61" t="n">
        <v>46096</v>
      </c>
      <c r="B190" s="62" t="inlineStr">
        <is>
          <t>Antes-Projeto</t>
        </is>
      </c>
      <c r="C190" s="65" t="inlineStr">
        <is>
          <t>Exames Laboratoriais</t>
        </is>
      </c>
      <c r="D190" s="66" t="n">
        <v>361</v>
      </c>
      <c r="E190" s="66" t="n">
        <v>268</v>
      </c>
      <c r="F190" s="66" t="n">
        <v>324</v>
      </c>
      <c r="G190" s="66" t="n">
        <v>254</v>
      </c>
      <c r="H190" s="66" t="n">
        <v>233</v>
      </c>
      <c r="I190" s="66" t="n">
        <v>628</v>
      </c>
      <c r="J190" s="66" t="n">
        <v>160</v>
      </c>
      <c r="K190" s="66" t="n">
        <v>710</v>
      </c>
      <c r="L190" s="66" t="n">
        <v>546</v>
      </c>
      <c r="M190" s="66" t="n">
        <v>631</v>
      </c>
      <c r="N190" s="66" t="n">
        <v>718</v>
      </c>
      <c r="O190" s="66" t="n">
        <v>433</v>
      </c>
      <c r="P190" s="66" t="n">
        <v>125</v>
      </c>
    </row>
    <row r="191" ht="15.75" customHeight="1" s="45">
      <c r="A191" s="61" t="n">
        <v>46096</v>
      </c>
      <c r="B191" s="62" t="inlineStr">
        <is>
          <t>Antes-Projeto</t>
        </is>
      </c>
      <c r="C191" s="63" t="inlineStr">
        <is>
          <t>Radiografias</t>
        </is>
      </c>
      <c r="D191" s="64" t="n">
        <v>22</v>
      </c>
      <c r="E191" s="64" t="n">
        <v>26</v>
      </c>
      <c r="F191" s="64" t="n">
        <v>28</v>
      </c>
      <c r="G191" s="64" t="n">
        <v>24</v>
      </c>
      <c r="H191" s="64" t="n">
        <v>18</v>
      </c>
      <c r="I191" s="64" t="n">
        <v>25</v>
      </c>
      <c r="J191" s="64" t="n">
        <v>9</v>
      </c>
      <c r="K191" s="64" t="n">
        <v>14</v>
      </c>
      <c r="L191" s="64" t="n">
        <v>15</v>
      </c>
      <c r="M191" s="64" t="n">
        <v>58</v>
      </c>
      <c r="N191" s="64" t="n">
        <v>28</v>
      </c>
      <c r="O191" s="64" t="n">
        <v>35</v>
      </c>
      <c r="P191" s="64" t="n">
        <v>24</v>
      </c>
    </row>
    <row r="192" ht="15.75" customHeight="1" s="45">
      <c r="A192" s="61" t="n">
        <v>46096</v>
      </c>
      <c r="B192" s="62" t="inlineStr">
        <is>
          <t>Antes-Projeto</t>
        </is>
      </c>
      <c r="C192" s="65" t="inlineStr">
        <is>
          <t>Eletrocardiogramas</t>
        </is>
      </c>
      <c r="D192" s="66" t="n">
        <v>8</v>
      </c>
      <c r="E192" s="66" t="n">
        <v>6</v>
      </c>
      <c r="F192" s="66" t="n">
        <v>18</v>
      </c>
      <c r="G192" s="66" t="n">
        <v>8</v>
      </c>
      <c r="H192" s="66" t="n">
        <v>9</v>
      </c>
      <c r="I192" s="66" t="n">
        <v>22</v>
      </c>
      <c r="J192" s="66" t="n">
        <v>8</v>
      </c>
      <c r="K192" s="66" t="n">
        <v>13</v>
      </c>
      <c r="L192" s="66" t="n">
        <v>8</v>
      </c>
      <c r="M192" s="66" t="n">
        <v>12</v>
      </c>
      <c r="N192" s="66" t="n">
        <v>9</v>
      </c>
      <c r="O192" s="66" t="n">
        <v>15</v>
      </c>
      <c r="P192" s="66" t="n">
        <v>19</v>
      </c>
    </row>
    <row r="193" ht="15.75" customHeight="1" s="45">
      <c r="A193" s="61" t="n">
        <v>46096</v>
      </c>
      <c r="B193" s="62" t="inlineStr">
        <is>
          <t>Antes-Projeto</t>
        </is>
      </c>
      <c r="C193" s="68" t="inlineStr">
        <is>
          <t>GAEs Abertas</t>
        </is>
      </c>
      <c r="D193" s="69" t="n">
        <v>181</v>
      </c>
      <c r="E193" s="69" t="n">
        <v>114</v>
      </c>
      <c r="F193" s="69" t="n">
        <v>151</v>
      </c>
      <c r="G193" s="69" t="n">
        <v>101</v>
      </c>
      <c r="H193" s="69" t="n">
        <v>107</v>
      </c>
      <c r="I193" s="69" t="n">
        <v>154</v>
      </c>
      <c r="J193" s="69" t="n">
        <v>85</v>
      </c>
      <c r="K193" s="69" t="n">
        <v>259</v>
      </c>
      <c r="L193" s="69" t="n">
        <v>123</v>
      </c>
      <c r="M193" s="69" t="n">
        <v>221</v>
      </c>
      <c r="N193" s="69" t="n">
        <v>162</v>
      </c>
      <c r="O193" s="69" t="n">
        <v>229</v>
      </c>
      <c r="P193" s="69" t="n">
        <v>183</v>
      </c>
    </row>
    <row r="194" ht="15.75" customHeight="1" s="45">
      <c r="A194" s="61" t="n">
        <v>46096</v>
      </c>
      <c r="B194" s="62" t="inlineStr">
        <is>
          <t>Antes-Projeto</t>
        </is>
      </c>
      <c r="C194" s="68" t="inlineStr">
        <is>
          <t>GAEs Classificadas</t>
        </is>
      </c>
      <c r="D194" s="69" t="n">
        <v>166</v>
      </c>
      <c r="E194" s="69" t="n">
        <v>111</v>
      </c>
      <c r="F194" s="69" t="n">
        <v>147</v>
      </c>
      <c r="G194" s="69" t="n">
        <v>99</v>
      </c>
      <c r="H194" s="69" t="n">
        <v>107</v>
      </c>
      <c r="I194" s="69" t="n">
        <v>142</v>
      </c>
      <c r="J194" s="69" t="n">
        <v>83</v>
      </c>
      <c r="K194" s="69" t="n">
        <v>237</v>
      </c>
      <c r="L194" s="69" t="n">
        <v>118</v>
      </c>
      <c r="M194" s="69" t="n">
        <v>208</v>
      </c>
      <c r="N194" s="69" t="n">
        <v>157</v>
      </c>
      <c r="O194" s="69" t="n">
        <v>223</v>
      </c>
      <c r="P194" s="69" t="n">
        <v>177</v>
      </c>
    </row>
    <row r="195" ht="15.75" customHeight="1" s="45">
      <c r="A195" s="61" t="n">
        <v>46096</v>
      </c>
      <c r="B195" s="62" t="inlineStr">
        <is>
          <t>Antes-Projeto</t>
        </is>
      </c>
      <c r="C195" s="70" t="inlineStr">
        <is>
          <t>Percentual de GAEs abertas classificadas</t>
        </is>
      </c>
      <c r="D195" s="71">
        <f>IFERROR(D194/D193,"-")</f>
        <v/>
      </c>
      <c r="E195" s="71">
        <f>IFERROR(E194/E193,"-")</f>
        <v/>
      </c>
      <c r="F195" s="71">
        <f>IFERROR(F194/F193,"-")</f>
        <v/>
      </c>
      <c r="G195" s="71">
        <f>IFERROR(G194/G193,"-")</f>
        <v/>
      </c>
      <c r="H195" s="71">
        <f>IFERROR(H194/H193,"-")</f>
        <v/>
      </c>
      <c r="I195" s="71">
        <f>IFERROR(I194/I193,"-")</f>
        <v/>
      </c>
      <c r="J195" s="71">
        <f>IFERROR(J194/J193,"-")</f>
        <v/>
      </c>
      <c r="K195" s="71">
        <f>IFERROR(K194/K193,"-")</f>
        <v/>
      </c>
      <c r="L195" s="71">
        <f>IFERROR(L194/L193,"-")</f>
        <v/>
      </c>
      <c r="M195" s="71">
        <f>IFERROR(M194/M193,"-")</f>
        <v/>
      </c>
      <c r="N195" s="71">
        <f>IFERROR(N194/N193,"-")</f>
        <v/>
      </c>
      <c r="O195" s="71">
        <f>IFERROR(O194/O193,"-")</f>
        <v/>
      </c>
      <c r="P195" s="71">
        <f>IFERROR(P194/P193,"-")</f>
        <v/>
      </c>
    </row>
    <row r="196" ht="15.75" customHeight="1" s="45">
      <c r="A196" s="61" t="n">
        <v>46096</v>
      </c>
      <c r="B196" s="62" t="inlineStr">
        <is>
          <t>Antes-Projeto</t>
        </is>
      </c>
      <c r="C196" s="72" t="inlineStr">
        <is>
          <t>Tempo Médio — 🟡 Amarelo (hh:mm)</t>
        </is>
      </c>
      <c r="D196" s="73" t="n">
        <v>0.03891203703703704</v>
      </c>
      <c r="E196" s="73" t="n">
        <v>0.05734953703703704</v>
      </c>
      <c r="F196" s="73" t="n">
        <v>0.04157407407407408</v>
      </c>
      <c r="G196" s="73" t="n">
        <v>0.02541666666666667</v>
      </c>
      <c r="H196" s="73" t="n">
        <v>0.05078703703703704</v>
      </c>
      <c r="I196" s="73" t="n">
        <v>0.02842592592592593</v>
      </c>
      <c r="J196" s="73" t="n">
        <v>0.05015046296296297</v>
      </c>
      <c r="K196" s="73" t="n">
        <v>0.1164467592592593</v>
      </c>
      <c r="L196" s="73" t="n">
        <v>0.1718402777777778</v>
      </c>
      <c r="M196" s="73" t="n">
        <v>0.02612268518518519</v>
      </c>
      <c r="N196" s="73" t="n">
        <v>0.04826388888888889</v>
      </c>
      <c r="O196" s="73" t="n">
        <v>0.06604166666666667</v>
      </c>
      <c r="P196" s="73" t="n">
        <v>0.04454861111111111</v>
      </c>
    </row>
    <row r="197" ht="15.75" customHeight="1" s="45">
      <c r="A197" s="61" t="n">
        <v>46096</v>
      </c>
      <c r="B197" s="62" t="inlineStr">
        <is>
          <t>Antes-Projeto</t>
        </is>
      </c>
      <c r="C197" s="74" t="inlineStr">
        <is>
          <t>Tempo Médio — 🟠 Laranja (hh:mm)</t>
        </is>
      </c>
      <c r="D197" s="75" t="n">
        <v>0.01278935185185185</v>
      </c>
      <c r="E197" s="75" t="n">
        <v>0.00738425925925926</v>
      </c>
      <c r="F197" s="75" t="n">
        <v>0.008333333333333333</v>
      </c>
      <c r="G197" s="75" t="n">
        <v>0.009270833333333334</v>
      </c>
      <c r="H197" s="75" t="n">
        <v>0.008819444444444444</v>
      </c>
      <c r="I197" s="75" t="n">
        <v>0.006481481481481481</v>
      </c>
      <c r="J197" s="75" t="n">
        <v>0.008298611111111111</v>
      </c>
      <c r="K197" s="75" t="n">
        <v>0.0218287037037037</v>
      </c>
      <c r="L197" s="75" t="n">
        <v>0.01434027777777778</v>
      </c>
      <c r="M197" s="75" t="n">
        <v>0.008483796296296297</v>
      </c>
      <c r="N197" s="75" t="n">
        <v>0.009282407407407408</v>
      </c>
      <c r="O197" s="75" t="n">
        <v>0.01253472222222222</v>
      </c>
      <c r="P197" s="75" t="n">
        <v>0.009282407407407408</v>
      </c>
    </row>
    <row r="198" ht="15.75" customHeight="1" s="45">
      <c r="A198" s="76" t="n">
        <v>46096</v>
      </c>
      <c r="B198" s="77" t="inlineStr">
        <is>
          <t>Antes-Projeto</t>
        </is>
      </c>
      <c r="C198" s="78" t="inlineStr">
        <is>
          <t>Tempo Médio — 🟢 Verde   (hh:mm)</t>
        </is>
      </c>
      <c r="D198" s="79" t="n">
        <v>0.09682870370370371</v>
      </c>
      <c r="E198" s="79" t="n">
        <v>0.1012615740740741</v>
      </c>
      <c r="F198" s="79" t="n">
        <v>0.1512962962962963</v>
      </c>
      <c r="G198" s="79" t="n">
        <v>0.08012731481481482</v>
      </c>
      <c r="H198" s="79" t="n">
        <v>0.09065972222222222</v>
      </c>
      <c r="I198" s="79" t="n">
        <v>0.09791666666666667</v>
      </c>
      <c r="J198" s="79" t="n">
        <v>0.1516087962962963</v>
      </c>
      <c r="K198" s="79" t="n">
        <v>0.1985300925925926</v>
      </c>
      <c r="L198" s="79" t="n">
        <v>0.2087384259259259</v>
      </c>
      <c r="M198" s="79" t="n">
        <v>0.05086805555555556</v>
      </c>
      <c r="N198" s="79" t="n">
        <v>0.09915509259259259</v>
      </c>
      <c r="O198" s="79" t="n">
        <v>0.2014467592592593</v>
      </c>
      <c r="P198" s="79" t="n">
        <v>0.05177083333333334</v>
      </c>
    </row>
    <row r="199" ht="15.75" customHeight="1" s="45">
      <c r="A199" s="57" t="n">
        <v>46097</v>
      </c>
      <c r="B199" s="58" t="inlineStr">
        <is>
          <t>Antes-Projeto</t>
        </is>
      </c>
      <c r="C199" s="59" t="inlineStr">
        <is>
          <t>Acolhim. + Atend. Urgência + Atend. UPA</t>
        </is>
      </c>
      <c r="D199" s="60">
        <f>SUM(D200:D202)</f>
        <v/>
      </c>
      <c r="E199" s="60">
        <f>SUM(E200:E202)</f>
        <v/>
      </c>
      <c r="F199" s="60">
        <f>SUM(F200:F202)</f>
        <v/>
      </c>
      <c r="G199" s="60">
        <f>SUM(G200:G202)</f>
        <v/>
      </c>
      <c r="H199" s="60">
        <f>SUM(H200:H202)</f>
        <v/>
      </c>
      <c r="I199" s="60">
        <f>SUM(I200:I202)</f>
        <v/>
      </c>
      <c r="J199" s="60">
        <f>SUM(J200:J202)</f>
        <v/>
      </c>
      <c r="K199" s="60">
        <f>SUM(K200:K202)</f>
        <v/>
      </c>
      <c r="L199" s="60">
        <f>SUM(L200:L202)</f>
        <v/>
      </c>
      <c r="M199" s="60">
        <f>SUM(M200:M202)</f>
        <v/>
      </c>
      <c r="N199" s="60">
        <f>SUM(N200:N202)</f>
        <v/>
      </c>
      <c r="O199" s="60">
        <f>SUM(O200:O202)</f>
        <v/>
      </c>
      <c r="P199" s="60">
        <f>SUM(P200:P202)</f>
        <v/>
      </c>
    </row>
    <row r="200" ht="15.75" customHeight="1" s="45">
      <c r="A200" s="61" t="n">
        <v>46097</v>
      </c>
      <c r="B200" s="62" t="inlineStr">
        <is>
          <t>Antes-Projeto</t>
        </is>
      </c>
      <c r="C200" s="65" t="inlineStr">
        <is>
          <t>Acolhimento c/ Classif. de Risco</t>
        </is>
      </c>
      <c r="D200" s="66" t="n">
        <v>233</v>
      </c>
      <c r="E200" s="66" t="n">
        <v>160</v>
      </c>
      <c r="F200" s="66" t="n">
        <v>175</v>
      </c>
      <c r="G200" s="66" t="n">
        <v>135</v>
      </c>
      <c r="H200" s="66" t="n">
        <v>129</v>
      </c>
      <c r="I200" s="66" t="n">
        <v>205</v>
      </c>
      <c r="J200" s="66" t="n">
        <v>139</v>
      </c>
      <c r="K200" s="66" t="n">
        <v>325</v>
      </c>
      <c r="L200" s="66" t="n">
        <v>153</v>
      </c>
      <c r="M200" s="66" t="n">
        <v>289</v>
      </c>
      <c r="N200" s="66" t="n">
        <v>232</v>
      </c>
      <c r="O200" s="66" t="n">
        <v>324</v>
      </c>
      <c r="P200" s="66" t="n">
        <v>279</v>
      </c>
    </row>
    <row r="201" ht="15.75" customHeight="1" s="45">
      <c r="A201" s="61" t="n">
        <v>46097</v>
      </c>
      <c r="B201" s="62" t="inlineStr">
        <is>
          <t>Antes-Projeto</t>
        </is>
      </c>
      <c r="C201" s="63" t="inlineStr">
        <is>
          <t>Atend. Urgência Obs. ≤ 24h</t>
        </is>
      </c>
      <c r="D201" s="64" t="n">
        <v>17</v>
      </c>
      <c r="E201" s="64" t="n">
        <v>54</v>
      </c>
      <c r="F201" s="64" t="n">
        <v>20</v>
      </c>
      <c r="G201" s="64" t="n">
        <v>15</v>
      </c>
      <c r="H201" s="64" t="n">
        <v>26</v>
      </c>
      <c r="I201" s="64" t="n">
        <v>30</v>
      </c>
      <c r="J201" s="64" t="n">
        <v>34</v>
      </c>
      <c r="K201" s="64" t="n">
        <v>40</v>
      </c>
      <c r="L201" s="64" t="n">
        <v>51</v>
      </c>
      <c r="M201" s="64" t="n">
        <v>29</v>
      </c>
      <c r="N201" s="64" t="n">
        <v>34</v>
      </c>
      <c r="O201" s="64" t="n">
        <v>18</v>
      </c>
      <c r="P201" s="64" t="n">
        <v>34</v>
      </c>
    </row>
    <row r="202" ht="15.75" customHeight="1" s="45">
      <c r="A202" s="61" t="n">
        <v>46097</v>
      </c>
      <c r="B202" s="62" t="inlineStr">
        <is>
          <t>Antes-Projeto</t>
        </is>
      </c>
      <c r="C202" s="65" t="inlineStr">
        <is>
          <t>Atend. Médico em UPA</t>
        </is>
      </c>
      <c r="D202" s="66" t="n">
        <v>134</v>
      </c>
      <c r="E202" s="66" t="n">
        <v>47</v>
      </c>
      <c r="F202" s="66" t="n">
        <v>130</v>
      </c>
      <c r="G202" s="66" t="n">
        <v>95</v>
      </c>
      <c r="H202" s="66" t="n">
        <v>43</v>
      </c>
      <c r="I202" s="66" t="n">
        <v>166</v>
      </c>
      <c r="J202" s="66" t="n">
        <v>99</v>
      </c>
      <c r="K202" s="66" t="n">
        <v>194</v>
      </c>
      <c r="L202" s="66" t="n">
        <v>83</v>
      </c>
      <c r="M202" s="66" t="n">
        <v>148</v>
      </c>
      <c r="N202" s="66" t="n">
        <v>201</v>
      </c>
      <c r="O202" s="66" t="n">
        <v>224</v>
      </c>
      <c r="P202" s="66" t="n">
        <v>167</v>
      </c>
    </row>
    <row r="203" ht="15.75" customHeight="1" s="45">
      <c r="A203" s="61" t="n">
        <v>46097</v>
      </c>
      <c r="B203" s="62" t="inlineStr">
        <is>
          <t>Antes-Projeto</t>
        </is>
      </c>
      <c r="C203" s="63" t="inlineStr">
        <is>
          <t>Exames Laboratoriais</t>
        </is>
      </c>
      <c r="D203" s="64" t="n">
        <v>372</v>
      </c>
      <c r="E203" s="64" t="n">
        <v>230</v>
      </c>
      <c r="F203" s="64" t="n">
        <v>86</v>
      </c>
      <c r="G203" s="64" t="n">
        <v>290</v>
      </c>
      <c r="H203" s="64" t="n">
        <v>256</v>
      </c>
      <c r="I203" s="64" t="n">
        <v>771</v>
      </c>
      <c r="J203" s="64" t="n">
        <v>310</v>
      </c>
      <c r="K203" s="64" t="n">
        <v>848</v>
      </c>
      <c r="L203" s="64" t="n">
        <v>514</v>
      </c>
      <c r="M203" s="64" t="n">
        <v>774</v>
      </c>
      <c r="N203" s="64" t="n">
        <v>417</v>
      </c>
      <c r="O203" s="64" t="n">
        <v>282</v>
      </c>
      <c r="P203" s="64" t="n">
        <v>366</v>
      </c>
    </row>
    <row r="204" ht="15.75" customHeight="1" s="45">
      <c r="A204" s="61" t="n">
        <v>46097</v>
      </c>
      <c r="B204" s="62" t="inlineStr">
        <is>
          <t>Antes-Projeto</t>
        </is>
      </c>
      <c r="C204" s="65" t="inlineStr">
        <is>
          <t>Radiografias</t>
        </is>
      </c>
      <c r="D204" s="66" t="n">
        <v>26</v>
      </c>
      <c r="E204" s="66" t="n">
        <v>20</v>
      </c>
      <c r="F204" s="66" t="n">
        <v>27</v>
      </c>
      <c r="G204" s="66" t="n">
        <v>16</v>
      </c>
      <c r="H204" s="66" t="n">
        <v>10</v>
      </c>
      <c r="I204" s="66" t="n">
        <v>22</v>
      </c>
      <c r="J204" s="66" t="n">
        <v>21</v>
      </c>
      <c r="K204" s="66" t="n">
        <v>29</v>
      </c>
      <c r="L204" s="66" t="n">
        <v>26</v>
      </c>
      <c r="M204" s="66" t="n">
        <v>51</v>
      </c>
      <c r="N204" s="66" t="n">
        <v>27</v>
      </c>
      <c r="O204" s="66" t="n">
        <v>58</v>
      </c>
      <c r="P204" s="66" t="n">
        <v>54</v>
      </c>
    </row>
    <row r="205" ht="15.75" customHeight="1" s="45">
      <c r="A205" s="61" t="n">
        <v>46097</v>
      </c>
      <c r="B205" s="62" t="inlineStr">
        <is>
          <t>Antes-Projeto</t>
        </is>
      </c>
      <c r="C205" s="63" t="inlineStr">
        <is>
          <t>Eletrocardiogramas</t>
        </is>
      </c>
      <c r="D205" s="64" t="n">
        <v>19</v>
      </c>
      <c r="E205" s="64" t="n">
        <v>7</v>
      </c>
      <c r="F205" s="64" t="n">
        <v>33</v>
      </c>
      <c r="G205" s="64" t="n">
        <v>12</v>
      </c>
      <c r="H205" s="64" t="n">
        <v>7</v>
      </c>
      <c r="I205" s="64" t="n">
        <v>18</v>
      </c>
      <c r="J205" s="64" t="n">
        <v>9</v>
      </c>
      <c r="K205" s="64" t="n">
        <v>13</v>
      </c>
      <c r="L205" s="64" t="n">
        <v>8</v>
      </c>
      <c r="M205" s="64" t="n">
        <v>9</v>
      </c>
      <c r="N205" s="64" t="n">
        <v>7</v>
      </c>
      <c r="O205" s="64" t="n">
        <v>22</v>
      </c>
      <c r="P205" s="64" t="n">
        <v>30</v>
      </c>
    </row>
    <row r="206" ht="15.75" customHeight="1" s="45">
      <c r="A206" s="61" t="n">
        <v>46097</v>
      </c>
      <c r="B206" s="62" t="inlineStr">
        <is>
          <t>Antes-Projeto</t>
        </is>
      </c>
      <c r="C206" s="68" t="inlineStr">
        <is>
          <t>GAEs Abertas</t>
        </is>
      </c>
      <c r="D206" s="69" t="n">
        <v>247</v>
      </c>
      <c r="E206" s="69" t="n">
        <v>174</v>
      </c>
      <c r="F206" s="69" t="n">
        <v>186</v>
      </c>
      <c r="G206" s="69" t="n">
        <v>143</v>
      </c>
      <c r="H206" s="69" t="n">
        <v>158</v>
      </c>
      <c r="I206" s="69" t="n">
        <v>230</v>
      </c>
      <c r="J206" s="69" t="n">
        <v>147</v>
      </c>
      <c r="K206" s="69" t="n">
        <v>360</v>
      </c>
      <c r="L206" s="69" t="n">
        <v>170</v>
      </c>
      <c r="M206" s="69" t="n">
        <v>319</v>
      </c>
      <c r="N206" s="69" t="n">
        <v>247</v>
      </c>
      <c r="O206" s="69" t="n">
        <v>348</v>
      </c>
      <c r="P206" s="69" t="n">
        <v>287</v>
      </c>
    </row>
    <row r="207" ht="15.75" customHeight="1" s="45">
      <c r="A207" s="61" t="n">
        <v>46097</v>
      </c>
      <c r="B207" s="62" t="inlineStr">
        <is>
          <t>Antes-Projeto</t>
        </is>
      </c>
      <c r="C207" s="68" t="inlineStr">
        <is>
          <t>GAEs Classificadas</t>
        </is>
      </c>
      <c r="D207" s="69" t="n">
        <v>234</v>
      </c>
      <c r="E207" s="69" t="n">
        <v>160</v>
      </c>
      <c r="F207" s="69" t="n">
        <v>175</v>
      </c>
      <c r="G207" s="69" t="n">
        <v>136</v>
      </c>
      <c r="H207" s="69" t="n">
        <v>129</v>
      </c>
      <c r="I207" s="69" t="n">
        <v>200</v>
      </c>
      <c r="J207" s="69" t="n">
        <v>138</v>
      </c>
      <c r="K207" s="69" t="n">
        <v>325</v>
      </c>
      <c r="L207" s="69" t="n">
        <v>155</v>
      </c>
      <c r="M207" s="69" t="n">
        <v>294</v>
      </c>
      <c r="N207" s="69" t="n">
        <v>229</v>
      </c>
      <c r="O207" s="69" t="n">
        <v>324</v>
      </c>
      <c r="P207" s="69" t="n">
        <v>283</v>
      </c>
    </row>
    <row r="208" ht="15.75" customHeight="1" s="45">
      <c r="A208" s="61" t="n">
        <v>46097</v>
      </c>
      <c r="B208" s="62" t="inlineStr">
        <is>
          <t>Antes-Projeto</t>
        </is>
      </c>
      <c r="C208" s="70" t="inlineStr">
        <is>
          <t>Percentual de GAEs abertas classificadas</t>
        </is>
      </c>
      <c r="D208" s="71">
        <f>IFERROR(D207/D206,"-")</f>
        <v/>
      </c>
      <c r="E208" s="71">
        <f>IFERROR(E207/E206,"-")</f>
        <v/>
      </c>
      <c r="F208" s="71">
        <f>IFERROR(F207/F206,"-")</f>
        <v/>
      </c>
      <c r="G208" s="71">
        <f>IFERROR(G207/G206,"-")</f>
        <v/>
      </c>
      <c r="H208" s="71">
        <f>IFERROR(H207/H206,"-")</f>
        <v/>
      </c>
      <c r="I208" s="71">
        <f>IFERROR(I207/I206,"-")</f>
        <v/>
      </c>
      <c r="J208" s="71">
        <f>IFERROR(J207/J206,"-")</f>
        <v/>
      </c>
      <c r="K208" s="71">
        <f>IFERROR(K207/K206,"-")</f>
        <v/>
      </c>
      <c r="L208" s="71">
        <f>IFERROR(L207/L206,"-")</f>
        <v/>
      </c>
      <c r="M208" s="71">
        <f>IFERROR(M207/M206,"-")</f>
        <v/>
      </c>
      <c r="N208" s="71">
        <f>IFERROR(N207/N206,"-")</f>
        <v/>
      </c>
      <c r="O208" s="71">
        <f>IFERROR(O207/O206,"-")</f>
        <v/>
      </c>
      <c r="P208" s="71">
        <f>IFERROR(P207/P206,"-")</f>
        <v/>
      </c>
    </row>
    <row r="209" ht="15.75" customHeight="1" s="45">
      <c r="A209" s="61" t="n">
        <v>46097</v>
      </c>
      <c r="B209" s="62" t="inlineStr">
        <is>
          <t>Antes-Projeto</t>
        </is>
      </c>
      <c r="C209" s="72" t="inlineStr">
        <is>
          <t>Tempo Médio — 🟡 Amarelo (hh:mm)</t>
        </is>
      </c>
      <c r="D209" s="73" t="n">
        <v>0.1075231481481481</v>
      </c>
      <c r="E209" s="73" t="n">
        <v>0.09871527777777778</v>
      </c>
      <c r="F209" s="73" t="n">
        <v>0.06243055555555556</v>
      </c>
      <c r="G209" s="73" t="n">
        <v>0.03673611111111111</v>
      </c>
      <c r="H209" s="73" t="n">
        <v>0.1482175925925926</v>
      </c>
      <c r="I209" s="73" t="n">
        <v>0.06969907407407408</v>
      </c>
      <c r="J209" s="73" t="n">
        <v>0.05803240740740741</v>
      </c>
      <c r="K209" s="73" t="n">
        <v>0.08021990740740741</v>
      </c>
      <c r="L209" s="73" t="n">
        <v>0.1464930555555556</v>
      </c>
      <c r="M209" s="73" t="n">
        <v>0.0277662037037037</v>
      </c>
      <c r="N209" s="73" t="n">
        <v>0.06224537037037037</v>
      </c>
      <c r="O209" s="73" t="n">
        <v>0.07096064814814815</v>
      </c>
      <c r="P209" s="73" t="n">
        <v>0.08138888888888889</v>
      </c>
    </row>
    <row r="210" ht="15.75" customHeight="1" s="45">
      <c r="A210" s="61" t="n">
        <v>46097</v>
      </c>
      <c r="B210" s="62" t="inlineStr">
        <is>
          <t>Antes-Projeto</t>
        </is>
      </c>
      <c r="C210" s="74" t="inlineStr">
        <is>
          <t>Tempo Médio — 🟠 Laranja (hh:mm)</t>
        </is>
      </c>
      <c r="D210" s="75" t="n">
        <v>0.02063657407407407</v>
      </c>
      <c r="E210" s="75" t="n">
        <v>0.01497685185185185</v>
      </c>
      <c r="F210" s="75" t="n">
        <v>0.009305555555555555</v>
      </c>
      <c r="G210" s="75" t="n">
        <v>0.009444444444444445</v>
      </c>
      <c r="H210" s="75" t="n">
        <v>0.01762731481481481</v>
      </c>
      <c r="I210" s="75" t="n">
        <v>0.005578703703703704</v>
      </c>
      <c r="J210" s="75" t="n">
        <v>0.01349537037037037</v>
      </c>
      <c r="K210" s="75" t="n">
        <v>0.0109375</v>
      </c>
      <c r="L210" s="75" t="n">
        <v>0.02061342592592593</v>
      </c>
      <c r="M210" s="75" t="n">
        <v>0.007141203703703703</v>
      </c>
      <c r="N210" s="75" t="n">
        <v>0.01103009259259259</v>
      </c>
      <c r="O210" s="75" t="n">
        <v>0.01153935185185185</v>
      </c>
      <c r="P210" s="75" t="n">
        <v>0.01060185185185185</v>
      </c>
    </row>
    <row r="211" ht="15.75" customHeight="1" s="45">
      <c r="A211" s="76" t="n">
        <v>46097</v>
      </c>
      <c r="B211" s="77" t="inlineStr">
        <is>
          <t>Antes-Projeto</t>
        </is>
      </c>
      <c r="C211" s="78" t="inlineStr">
        <is>
          <t>Tempo Médio — 🟢 Verde   (hh:mm)</t>
        </is>
      </c>
      <c r="D211" s="79" t="n">
        <v>0.08296296296296296</v>
      </c>
      <c r="E211" s="79" t="n">
        <v>0.138587962962963</v>
      </c>
      <c r="F211" s="79" t="n">
        <v>0.1269444444444444</v>
      </c>
      <c r="G211" s="79" t="n">
        <v>0.08971064814814815</v>
      </c>
      <c r="H211" s="79" t="n">
        <v>0.120162037037037</v>
      </c>
      <c r="I211" s="79" t="n">
        <v>0.1355092592592592</v>
      </c>
      <c r="J211" s="79" t="n">
        <v>0.1101273148148148</v>
      </c>
      <c r="K211" s="79" t="n">
        <v>0.1755671296296296</v>
      </c>
      <c r="L211" s="79" t="n">
        <v>0.1361342592592593</v>
      </c>
      <c r="M211" s="79" t="n">
        <v>0.08564814814814815</v>
      </c>
      <c r="N211" s="79" t="n">
        <v>0.1280671296296296</v>
      </c>
      <c r="O211" s="79" t="n">
        <v>0.1090856481481482</v>
      </c>
      <c r="P211" s="79" t="n">
        <v>0.1176273148148148</v>
      </c>
    </row>
    <row r="212" ht="15.75" customHeight="1" s="45">
      <c r="A212" s="57" t="n">
        <v>46098</v>
      </c>
      <c r="B212" s="58" t="inlineStr">
        <is>
          <t>Antes-Projeto</t>
        </is>
      </c>
      <c r="C212" s="59" t="inlineStr">
        <is>
          <t>Acolhim. + Atend. Urgência + Atend. UPA</t>
        </is>
      </c>
      <c r="D212" s="60">
        <f>SUM(D213:D215)</f>
        <v/>
      </c>
      <c r="E212" s="60">
        <f>SUM(E213:E215)</f>
        <v/>
      </c>
      <c r="F212" s="60">
        <f>SUM(F213:F215)</f>
        <v/>
      </c>
      <c r="G212" s="60">
        <f>SUM(G213:G215)</f>
        <v/>
      </c>
      <c r="H212" s="60">
        <f>SUM(H213:H215)</f>
        <v/>
      </c>
      <c r="I212" s="60">
        <f>SUM(I213:I215)</f>
        <v/>
      </c>
      <c r="J212" s="60">
        <f>SUM(J213:J215)</f>
        <v/>
      </c>
      <c r="K212" s="60">
        <f>SUM(K213:K215)</f>
        <v/>
      </c>
      <c r="L212" s="60">
        <f>SUM(L213:L215)</f>
        <v/>
      </c>
      <c r="M212" s="60">
        <f>SUM(M213:M215)</f>
        <v/>
      </c>
      <c r="N212" s="60">
        <f>SUM(N213:N215)</f>
        <v/>
      </c>
      <c r="O212" s="60">
        <f>SUM(O213:O215)</f>
        <v/>
      </c>
      <c r="P212" s="60">
        <f>SUM(P213:P215)</f>
        <v/>
      </c>
    </row>
    <row r="213" ht="15.75" customHeight="1" s="45">
      <c r="A213" s="61" t="n">
        <v>46098</v>
      </c>
      <c r="B213" s="62" t="inlineStr">
        <is>
          <t>Antes-Projeto</t>
        </is>
      </c>
      <c r="C213" s="63" t="inlineStr">
        <is>
          <t>Acolhimento c/ Classif. de Risco</t>
        </is>
      </c>
      <c r="D213" s="64" t="n">
        <v>182</v>
      </c>
      <c r="E213" s="64" t="n">
        <v>186</v>
      </c>
      <c r="F213" s="64" t="n">
        <v>175</v>
      </c>
      <c r="G213" s="64" t="n">
        <v>147</v>
      </c>
      <c r="H213" s="64" t="n">
        <v>138</v>
      </c>
      <c r="I213" s="64" t="n">
        <v>189</v>
      </c>
      <c r="J213" s="64" t="n">
        <v>113</v>
      </c>
      <c r="K213" s="64" t="n">
        <v>327</v>
      </c>
      <c r="L213" s="64" t="n">
        <v>148</v>
      </c>
      <c r="M213" s="64" t="n">
        <v>285</v>
      </c>
      <c r="N213" s="64" t="n">
        <v>197</v>
      </c>
      <c r="O213" s="64" t="n">
        <v>287</v>
      </c>
      <c r="P213" s="64" t="n">
        <v>262</v>
      </c>
    </row>
    <row r="214" ht="15.75" customHeight="1" s="45">
      <c r="A214" s="61" t="n">
        <v>46098</v>
      </c>
      <c r="B214" s="62" t="inlineStr">
        <is>
          <t>Antes-Projeto</t>
        </is>
      </c>
      <c r="C214" s="65" t="inlineStr">
        <is>
          <t>Atend. Urgência Obs. ≤ 24h</t>
        </is>
      </c>
      <c r="D214" s="66" t="n">
        <v>21</v>
      </c>
      <c r="E214" s="66" t="n">
        <v>45</v>
      </c>
      <c r="F214" s="66" t="n">
        <v>23</v>
      </c>
      <c r="G214" s="66" t="n">
        <v>33</v>
      </c>
      <c r="H214" s="66" t="n">
        <v>13</v>
      </c>
      <c r="I214" s="66" t="n">
        <v>28</v>
      </c>
      <c r="J214" s="66" t="n">
        <v>32</v>
      </c>
      <c r="K214" s="66" t="n">
        <v>150</v>
      </c>
      <c r="L214" s="66" t="n">
        <v>31</v>
      </c>
      <c r="M214" s="66" t="n">
        <v>73</v>
      </c>
      <c r="N214" s="66" t="n">
        <v>59</v>
      </c>
      <c r="O214" s="66" t="n">
        <v>9</v>
      </c>
      <c r="P214" s="66" t="n">
        <v>40</v>
      </c>
    </row>
    <row r="215" ht="15.75" customHeight="1" s="45">
      <c r="A215" s="61" t="n">
        <v>46098</v>
      </c>
      <c r="B215" s="62" t="inlineStr">
        <is>
          <t>Antes-Projeto</t>
        </is>
      </c>
      <c r="C215" s="63" t="inlineStr">
        <is>
          <t>Atend. Médico em UPA</t>
        </is>
      </c>
      <c r="D215" s="64" t="n">
        <v>109</v>
      </c>
      <c r="E215" s="64" t="n">
        <v>113</v>
      </c>
      <c r="F215" s="64" t="n">
        <v>146</v>
      </c>
      <c r="G215" s="64" t="n">
        <v>53</v>
      </c>
      <c r="H215" s="64" t="n">
        <v>64</v>
      </c>
      <c r="I215" s="64" t="n">
        <v>142</v>
      </c>
      <c r="J215" s="64" t="n">
        <v>54</v>
      </c>
      <c r="K215" s="64" t="n">
        <v>252</v>
      </c>
      <c r="L215" s="64" t="n">
        <v>83</v>
      </c>
      <c r="M215" s="64" t="n">
        <v>168</v>
      </c>
      <c r="N215" s="64" t="n">
        <v>171</v>
      </c>
      <c r="O215" s="64" t="n">
        <v>195</v>
      </c>
      <c r="P215" s="64" t="n">
        <v>148</v>
      </c>
    </row>
    <row r="216" ht="15.75" customHeight="1" s="45">
      <c r="A216" s="61" t="n">
        <v>46098</v>
      </c>
      <c r="B216" s="62" t="inlineStr">
        <is>
          <t>Antes-Projeto</t>
        </is>
      </c>
      <c r="C216" s="65" t="inlineStr">
        <is>
          <t>Exames Laboratoriais</t>
        </is>
      </c>
      <c r="D216" s="66" t="n">
        <v>634</v>
      </c>
      <c r="E216" s="66" t="n">
        <v>392</v>
      </c>
      <c r="F216" s="66" t="n">
        <v>466</v>
      </c>
      <c r="G216" s="66" t="n">
        <v>261</v>
      </c>
      <c r="H216" s="66" t="n">
        <v>303</v>
      </c>
      <c r="I216" s="66" t="n">
        <v>518</v>
      </c>
      <c r="J216" s="66" t="n">
        <v>233</v>
      </c>
      <c r="K216" s="66" t="n">
        <v>879</v>
      </c>
      <c r="L216" s="66" t="n">
        <v>632</v>
      </c>
      <c r="M216" s="66" t="n">
        <v>730</v>
      </c>
      <c r="N216" s="66" t="n">
        <v>551</v>
      </c>
      <c r="O216" s="66" t="n">
        <v>598</v>
      </c>
      <c r="P216" s="66" t="n">
        <v>603</v>
      </c>
    </row>
    <row r="217" ht="15.75" customHeight="1" s="45">
      <c r="A217" s="61" t="n">
        <v>46098</v>
      </c>
      <c r="B217" s="62" t="inlineStr">
        <is>
          <t>Antes-Projeto</t>
        </is>
      </c>
      <c r="C217" s="63" t="inlineStr">
        <is>
          <t>Radiografias</t>
        </is>
      </c>
      <c r="D217" s="64" t="n">
        <v>30</v>
      </c>
      <c r="E217" s="64" t="n">
        <v>29</v>
      </c>
      <c r="F217" s="64" t="n">
        <v>23</v>
      </c>
      <c r="G217" s="64" t="n">
        <v>35</v>
      </c>
      <c r="H217" s="64" t="n">
        <v>18</v>
      </c>
      <c r="I217" s="64" t="n">
        <v>22</v>
      </c>
      <c r="J217" s="64" t="n">
        <v>25</v>
      </c>
      <c r="K217" s="64" t="n">
        <v>67</v>
      </c>
      <c r="L217" s="64" t="n">
        <v>21</v>
      </c>
      <c r="M217" s="64" t="n">
        <v>61</v>
      </c>
      <c r="N217" s="64" t="n">
        <v>54</v>
      </c>
      <c r="O217" s="64" t="n">
        <v>52</v>
      </c>
      <c r="P217" s="64" t="n">
        <v>39</v>
      </c>
    </row>
    <row r="218" ht="15.75" customHeight="1" s="45">
      <c r="A218" s="61" t="n">
        <v>46098</v>
      </c>
      <c r="B218" s="62" t="inlineStr">
        <is>
          <t>Antes-Projeto</t>
        </is>
      </c>
      <c r="C218" s="65" t="inlineStr">
        <is>
          <t>Eletrocardiogramas</t>
        </is>
      </c>
      <c r="D218" s="66" t="n">
        <v>27</v>
      </c>
      <c r="E218" s="66" t="n">
        <v>9</v>
      </c>
      <c r="F218" s="66" t="n">
        <v>27</v>
      </c>
      <c r="G218" s="66" t="n">
        <v>14</v>
      </c>
      <c r="H218" s="66" t="n">
        <v>32</v>
      </c>
      <c r="I218" s="66" t="n">
        <v>10</v>
      </c>
      <c r="J218" s="66" t="n">
        <v>7</v>
      </c>
      <c r="K218" s="66" t="n">
        <v>23</v>
      </c>
      <c r="L218" s="66" t="n">
        <v>17</v>
      </c>
      <c r="M218" s="66" t="n">
        <v>13</v>
      </c>
      <c r="N218" s="66" t="n">
        <v>13</v>
      </c>
      <c r="O218" s="66" t="n">
        <v>16</v>
      </c>
      <c r="P218" s="66" t="n">
        <v>19</v>
      </c>
    </row>
    <row r="219" ht="15.75" customHeight="1" s="45">
      <c r="A219" s="61" t="n">
        <v>46098</v>
      </c>
      <c r="B219" s="62" t="inlineStr">
        <is>
          <t>Antes-Projeto</t>
        </is>
      </c>
      <c r="C219" s="68" t="inlineStr">
        <is>
          <t>GAEs Abertas</t>
        </is>
      </c>
      <c r="D219" s="69" t="n">
        <v>237</v>
      </c>
      <c r="E219" s="69" t="n">
        <v>199</v>
      </c>
      <c r="F219" s="69" t="n">
        <v>179</v>
      </c>
      <c r="G219" s="69" t="n">
        <v>152</v>
      </c>
      <c r="H219" s="69" t="n">
        <v>145</v>
      </c>
      <c r="I219" s="69" t="n">
        <v>203</v>
      </c>
      <c r="J219" s="69" t="n">
        <v>117</v>
      </c>
      <c r="K219" s="69" t="n">
        <v>343</v>
      </c>
      <c r="L219" s="69" t="n">
        <v>154</v>
      </c>
      <c r="M219" s="69" t="n">
        <v>303</v>
      </c>
      <c r="N219" s="69" t="n">
        <v>207</v>
      </c>
      <c r="O219" s="69" t="n">
        <v>304</v>
      </c>
      <c r="P219" s="69" t="n">
        <v>272</v>
      </c>
    </row>
    <row r="220" ht="15.75" customHeight="1" s="45">
      <c r="A220" s="61" t="n">
        <v>46098</v>
      </c>
      <c r="B220" s="62" t="inlineStr">
        <is>
          <t>Antes-Projeto</t>
        </is>
      </c>
      <c r="C220" s="68" t="inlineStr">
        <is>
          <t>GAEs Classificadas</t>
        </is>
      </c>
      <c r="D220" s="69" t="n">
        <v>187</v>
      </c>
      <c r="E220" s="69" t="n">
        <v>188</v>
      </c>
      <c r="F220" s="69" t="n">
        <v>177</v>
      </c>
      <c r="G220" s="69" t="n">
        <v>148</v>
      </c>
      <c r="H220" s="69" t="n">
        <v>138</v>
      </c>
      <c r="I220" s="69" t="n">
        <v>186</v>
      </c>
      <c r="J220" s="69" t="n">
        <v>114</v>
      </c>
      <c r="K220" s="69" t="n">
        <v>326</v>
      </c>
      <c r="L220" s="69" t="n">
        <v>146</v>
      </c>
      <c r="M220" s="69" t="n">
        <v>282</v>
      </c>
      <c r="N220" s="69" t="n">
        <v>197</v>
      </c>
      <c r="O220" s="69" t="n">
        <v>287</v>
      </c>
      <c r="P220" s="69" t="n">
        <v>257</v>
      </c>
    </row>
    <row r="221" ht="15.75" customHeight="1" s="45">
      <c r="A221" s="61" t="n">
        <v>46098</v>
      </c>
      <c r="B221" s="62" t="inlineStr">
        <is>
          <t>Antes-Projeto</t>
        </is>
      </c>
      <c r="C221" s="70" t="inlineStr">
        <is>
          <t>Percentual de GAEs abertas classificadas</t>
        </is>
      </c>
      <c r="D221" s="71">
        <f>IFERROR(D220/D219,"-")</f>
        <v/>
      </c>
      <c r="E221" s="71">
        <f>IFERROR(E220/E219,"-")</f>
        <v/>
      </c>
      <c r="F221" s="71">
        <f>IFERROR(F220/F219,"-")</f>
        <v/>
      </c>
      <c r="G221" s="71">
        <f>IFERROR(G220/G219,"-")</f>
        <v/>
      </c>
      <c r="H221" s="71">
        <f>IFERROR(H220/H219,"-")</f>
        <v/>
      </c>
      <c r="I221" s="71">
        <f>IFERROR(I220/I219,"-")</f>
        <v/>
      </c>
      <c r="J221" s="71">
        <f>IFERROR(J220/J219,"-")</f>
        <v/>
      </c>
      <c r="K221" s="71">
        <f>IFERROR(K220/K219,"-")</f>
        <v/>
      </c>
      <c r="L221" s="71">
        <f>IFERROR(L220/L219,"-")</f>
        <v/>
      </c>
      <c r="M221" s="71">
        <f>IFERROR(M220/M219,"-")</f>
        <v/>
      </c>
      <c r="N221" s="71">
        <f>IFERROR(N220/N219,"-")</f>
        <v/>
      </c>
      <c r="O221" s="71">
        <f>IFERROR(O220/O219,"-")</f>
        <v/>
      </c>
      <c r="P221" s="71">
        <f>IFERROR(P220/P219,"-")</f>
        <v/>
      </c>
    </row>
    <row r="222" ht="15.75" customHeight="1" s="45">
      <c r="A222" s="61" t="n">
        <v>46098</v>
      </c>
      <c r="B222" s="62" t="inlineStr">
        <is>
          <t>Antes-Projeto</t>
        </is>
      </c>
      <c r="C222" s="72" t="inlineStr">
        <is>
          <t>Tempo Médio — 🟡 Amarelo (hh:mm)</t>
        </is>
      </c>
      <c r="D222" s="73" t="n">
        <v>0.1765277777777778</v>
      </c>
      <c r="E222" s="73" t="n">
        <v>0.03869212962962963</v>
      </c>
      <c r="F222" s="73" t="n">
        <v>0.02127314814814815</v>
      </c>
      <c r="G222" s="73" t="n">
        <v>0.03251157407407407</v>
      </c>
      <c r="H222" s="73" t="n">
        <v>0.1597569444444444</v>
      </c>
      <c r="I222" s="73" t="n">
        <v>0.04443287037037037</v>
      </c>
      <c r="J222" s="73" t="n">
        <v>0.04259259259259259</v>
      </c>
      <c r="K222" s="73" t="n">
        <v>0.05564814814814815</v>
      </c>
      <c r="L222" s="73" t="n">
        <v>0.1673726851851852</v>
      </c>
      <c r="M222" s="73" t="n">
        <v>0.06140046296296296</v>
      </c>
      <c r="N222" s="73" t="n">
        <v>0.03623842592592592</v>
      </c>
      <c r="O222" s="73" t="n">
        <v>0.04835648148148148</v>
      </c>
      <c r="P222" s="73" t="n">
        <v>0.09892361111111111</v>
      </c>
    </row>
    <row r="223" ht="15.75" customHeight="1" s="45">
      <c r="A223" s="61" t="n">
        <v>46098</v>
      </c>
      <c r="B223" s="62" t="inlineStr">
        <is>
          <t>Antes-Projeto</t>
        </is>
      </c>
      <c r="C223" s="74" t="inlineStr">
        <is>
          <t>Tempo Médio — 🟠 Laranja (hh:mm)</t>
        </is>
      </c>
      <c r="D223" s="75" t="n">
        <v>0.01158564814814815</v>
      </c>
      <c r="E223" s="75" t="n">
        <v>0.008750000000000001</v>
      </c>
      <c r="F223" s="75" t="n">
        <v>0.00318287037037037</v>
      </c>
      <c r="G223" s="75" t="n">
        <v>0.007638888888888889</v>
      </c>
      <c r="H223" s="75" t="n">
        <v>0.01311342592592593</v>
      </c>
      <c r="I223" s="75" t="n">
        <v>0.006979166666666667</v>
      </c>
      <c r="J223" s="75" t="n">
        <v>0.01416666666666667</v>
      </c>
      <c r="K223" s="75" t="n">
        <v>0.01277777777777778</v>
      </c>
      <c r="L223" s="75" t="n">
        <v>0.01684027777777778</v>
      </c>
      <c r="M223" s="75" t="n">
        <v>0.01703703703703704</v>
      </c>
      <c r="N223" s="75" t="n">
        <v>0.007881944444444445</v>
      </c>
      <c r="O223" s="75" t="n">
        <v>0.01209490740740741</v>
      </c>
      <c r="P223" s="75" t="n">
        <v>0.01174768518518519</v>
      </c>
    </row>
    <row r="224" ht="15.75" customHeight="1" s="45">
      <c r="A224" s="76" t="n">
        <v>46098</v>
      </c>
      <c r="B224" s="77" t="inlineStr">
        <is>
          <t>Antes-Projeto</t>
        </is>
      </c>
      <c r="C224" s="78" t="inlineStr">
        <is>
          <t>Tempo Médio — 🟢 Verde   (hh:mm)</t>
        </is>
      </c>
      <c r="D224" s="79" t="n">
        <v>0.07390046296296296</v>
      </c>
      <c r="E224" s="79" t="n">
        <v>0.06828703703703703</v>
      </c>
      <c r="F224" s="79" t="n">
        <v>0.05866898148148148</v>
      </c>
      <c r="G224" s="79" t="n">
        <v>0.1018171296296296</v>
      </c>
      <c r="H224" s="79" t="n">
        <v>0.08820601851851852</v>
      </c>
      <c r="I224" s="79" t="n">
        <v>0.08104166666666666</v>
      </c>
      <c r="J224" s="79" t="n">
        <v>0.1205208333333333</v>
      </c>
      <c r="K224" s="79" t="n">
        <v>0.07961805555555555</v>
      </c>
      <c r="L224" s="79" t="n">
        <v>0.1481134259259259</v>
      </c>
      <c r="M224" s="79" t="n">
        <v>0.06971064814814815</v>
      </c>
      <c r="N224" s="79" t="n">
        <v>0.1201851851851852</v>
      </c>
      <c r="O224" s="79" t="n">
        <v>0.1231944444444444</v>
      </c>
      <c r="P224" s="79" t="n">
        <v>0.120787037037037</v>
      </c>
    </row>
    <row r="225" ht="15.75" customHeight="1" s="45">
      <c r="A225" s="57" t="n">
        <v>46099</v>
      </c>
      <c r="B225" s="58" t="inlineStr">
        <is>
          <t>Antes-Projeto</t>
        </is>
      </c>
      <c r="C225" s="59" t="inlineStr">
        <is>
          <t>Acolhim. + Atend. Urgência + Atend. UPA</t>
        </is>
      </c>
      <c r="D225" s="60">
        <f>SUM(D226:D228)</f>
        <v/>
      </c>
      <c r="E225" s="60">
        <f>SUM(E226:E228)</f>
        <v/>
      </c>
      <c r="F225" s="60">
        <f>SUM(F226:F228)</f>
        <v/>
      </c>
      <c r="G225" s="60">
        <f>SUM(G226:G228)</f>
        <v/>
      </c>
      <c r="H225" s="60">
        <f>SUM(H226:H228)</f>
        <v/>
      </c>
      <c r="I225" s="60">
        <f>SUM(I226:I228)</f>
        <v/>
      </c>
      <c r="J225" s="60">
        <f>SUM(J226:J228)</f>
        <v/>
      </c>
      <c r="K225" s="60">
        <f>SUM(K226:K228)</f>
        <v/>
      </c>
      <c r="L225" s="60">
        <f>SUM(L226:L228)</f>
        <v/>
      </c>
      <c r="M225" s="60">
        <f>SUM(M226:M228)</f>
        <v/>
      </c>
      <c r="N225" s="60">
        <f>SUM(N226:N228)</f>
        <v/>
      </c>
      <c r="O225" s="60">
        <f>SUM(O226:O228)</f>
        <v/>
      </c>
      <c r="P225" s="60">
        <f>SUM(P226:P228)</f>
        <v/>
      </c>
    </row>
    <row r="226" ht="15.75" customHeight="1" s="45">
      <c r="A226" s="61" t="n">
        <v>46099</v>
      </c>
      <c r="B226" s="62" t="inlineStr">
        <is>
          <t>Antes-Projeto</t>
        </is>
      </c>
      <c r="C226" s="65" t="inlineStr">
        <is>
          <t>Acolhimento c/ Classif. de Risco</t>
        </is>
      </c>
      <c r="D226" s="66" t="n">
        <v>267</v>
      </c>
      <c r="E226" s="66" t="n">
        <v>156</v>
      </c>
      <c r="F226" s="66" t="n">
        <v>149</v>
      </c>
      <c r="G226" s="66" t="n">
        <v>130</v>
      </c>
      <c r="H226" s="66" t="n">
        <v>139</v>
      </c>
      <c r="I226" s="66" t="n">
        <v>176</v>
      </c>
      <c r="J226" s="66" t="n">
        <v>92</v>
      </c>
      <c r="K226" s="66" t="n">
        <v>313</v>
      </c>
      <c r="L226" s="66" t="n">
        <v>140</v>
      </c>
      <c r="M226" s="66" t="n">
        <v>275</v>
      </c>
      <c r="N226" s="66" t="n">
        <v>227</v>
      </c>
      <c r="O226" s="66" t="n">
        <v>283</v>
      </c>
      <c r="P226" s="66" t="n">
        <v>252</v>
      </c>
    </row>
    <row r="227" ht="15.75" customHeight="1" s="45">
      <c r="A227" s="61" t="n">
        <v>46099</v>
      </c>
      <c r="B227" s="62" t="inlineStr">
        <is>
          <t>Antes-Projeto</t>
        </is>
      </c>
      <c r="C227" s="63" t="inlineStr">
        <is>
          <t>Atend. Urgência Obs. ≤ 24h</t>
        </is>
      </c>
      <c r="D227" s="64" t="n">
        <v>35</v>
      </c>
      <c r="E227" s="64" t="n">
        <v>51</v>
      </c>
      <c r="F227" s="64" t="n">
        <v>24</v>
      </c>
      <c r="G227" s="64" t="n">
        <v>48</v>
      </c>
      <c r="H227" s="64" t="n">
        <v>9</v>
      </c>
      <c r="I227" s="64" t="n">
        <v>17</v>
      </c>
      <c r="J227" s="64" t="n">
        <v>48</v>
      </c>
      <c r="K227" s="64" t="n">
        <v>88</v>
      </c>
      <c r="L227" s="64" t="n">
        <v>40</v>
      </c>
      <c r="M227" s="64" t="n">
        <v>59</v>
      </c>
      <c r="N227" s="64" t="n">
        <v>49</v>
      </c>
      <c r="O227" s="64" t="n">
        <v>10</v>
      </c>
      <c r="P227" s="64" t="n">
        <v>54</v>
      </c>
    </row>
    <row r="228" ht="15.75" customHeight="1" s="45">
      <c r="A228" s="61" t="n">
        <v>46099</v>
      </c>
      <c r="B228" s="62" t="inlineStr">
        <is>
          <t>Antes-Projeto</t>
        </is>
      </c>
      <c r="C228" s="65" t="inlineStr">
        <is>
          <t>Atend. Médico em UPA</t>
        </is>
      </c>
      <c r="D228" s="66" t="n">
        <v>195</v>
      </c>
      <c r="E228" s="66" t="n">
        <v>96</v>
      </c>
      <c r="F228" s="66" t="n">
        <v>113</v>
      </c>
      <c r="G228" s="66" t="n">
        <v>58</v>
      </c>
      <c r="H228" s="66" t="n">
        <v>97</v>
      </c>
      <c r="I228" s="66" t="n">
        <v>138</v>
      </c>
      <c r="J228" s="66" t="n">
        <v>52</v>
      </c>
      <c r="K228" s="66" t="n">
        <v>194</v>
      </c>
      <c r="L228" s="66" t="n">
        <v>97</v>
      </c>
      <c r="M228" s="66" t="n">
        <v>152</v>
      </c>
      <c r="N228" s="66" t="n">
        <v>184</v>
      </c>
      <c r="O228" s="66" t="n">
        <v>205</v>
      </c>
      <c r="P228" s="66" t="n">
        <v>135</v>
      </c>
    </row>
    <row r="229" ht="15.75" customHeight="1" s="45">
      <c r="A229" s="61" t="n">
        <v>46099</v>
      </c>
      <c r="B229" s="62" t="inlineStr">
        <is>
          <t>Antes-Projeto</t>
        </is>
      </c>
      <c r="C229" s="63" t="inlineStr">
        <is>
          <t>Exames Laboratoriais</t>
        </is>
      </c>
      <c r="D229" s="64" t="n">
        <v>639</v>
      </c>
      <c r="E229" s="64" t="n">
        <v>211</v>
      </c>
      <c r="F229" s="64" t="n">
        <v>377</v>
      </c>
      <c r="G229" s="64" t="n">
        <v>360</v>
      </c>
      <c r="H229" s="64" t="n">
        <v>346</v>
      </c>
      <c r="I229" s="64" t="n">
        <v>479</v>
      </c>
      <c r="J229" s="64" t="n">
        <v>255</v>
      </c>
      <c r="K229" s="64" t="n">
        <v>856</v>
      </c>
      <c r="L229" s="64" t="n">
        <v>568</v>
      </c>
      <c r="M229" s="64" t="n">
        <v>797</v>
      </c>
      <c r="N229" s="64" t="n">
        <v>648</v>
      </c>
      <c r="O229" s="64" t="n">
        <v>387</v>
      </c>
      <c r="P229" s="64" t="n">
        <v>252</v>
      </c>
    </row>
    <row r="230" ht="15.75" customHeight="1" s="45">
      <c r="A230" s="61" t="n">
        <v>46099</v>
      </c>
      <c r="B230" s="62" t="inlineStr">
        <is>
          <t>Antes-Projeto</t>
        </is>
      </c>
      <c r="C230" s="65" t="inlineStr">
        <is>
          <t>Radiografias</t>
        </is>
      </c>
      <c r="D230" s="66" t="n">
        <v>32</v>
      </c>
      <c r="E230" s="66" t="n">
        <v>31</v>
      </c>
      <c r="F230" s="66" t="n">
        <v>26</v>
      </c>
      <c r="G230" s="66" t="n">
        <v>15</v>
      </c>
      <c r="H230" s="66" t="n">
        <v>9</v>
      </c>
      <c r="I230" s="66" t="n">
        <v>33</v>
      </c>
      <c r="J230" s="66" t="n">
        <v>10</v>
      </c>
      <c r="K230" s="66" t="n">
        <v>48</v>
      </c>
      <c r="L230" s="66" t="n">
        <v>20</v>
      </c>
      <c r="M230" s="66" t="n">
        <v>71</v>
      </c>
      <c r="N230" s="66" t="n">
        <v>32</v>
      </c>
      <c r="O230" s="66" t="n">
        <v>36</v>
      </c>
      <c r="P230" s="66" t="n">
        <v>41</v>
      </c>
    </row>
    <row r="231" ht="15.75" customHeight="1" s="45">
      <c r="A231" s="61" t="n">
        <v>46099</v>
      </c>
      <c r="B231" s="62" t="inlineStr">
        <is>
          <t>Antes-Projeto</t>
        </is>
      </c>
      <c r="C231" s="63" t="inlineStr">
        <is>
          <t>Eletrocardiogramas</t>
        </is>
      </c>
      <c r="D231" s="64" t="n">
        <v>10</v>
      </c>
      <c r="E231" s="64" t="n">
        <v>13</v>
      </c>
      <c r="F231" s="64" t="n">
        <v>23</v>
      </c>
      <c r="G231" s="64" t="n">
        <v>4</v>
      </c>
      <c r="H231" s="64" t="n">
        <v>6</v>
      </c>
      <c r="I231" s="64" t="n">
        <v>16</v>
      </c>
      <c r="J231" s="64" t="n">
        <v>8</v>
      </c>
      <c r="K231" s="64" t="n">
        <v>22</v>
      </c>
      <c r="L231" s="64" t="n">
        <v>14</v>
      </c>
      <c r="M231" s="64" t="n">
        <v>19</v>
      </c>
      <c r="N231" s="64" t="n">
        <v>14</v>
      </c>
      <c r="O231" s="64" t="n">
        <v>11</v>
      </c>
      <c r="P231" s="64" t="n">
        <v>6</v>
      </c>
    </row>
    <row r="232" ht="15.75" customHeight="1" s="45">
      <c r="A232" s="61" t="n">
        <v>46099</v>
      </c>
      <c r="B232" s="62" t="inlineStr">
        <is>
          <t>Antes-Projeto</t>
        </is>
      </c>
      <c r="C232" s="68" t="inlineStr">
        <is>
          <t>GAEs Abertas</t>
        </is>
      </c>
      <c r="D232" s="69" t="n">
        <v>272</v>
      </c>
      <c r="E232" s="69" t="n">
        <v>166</v>
      </c>
      <c r="F232" s="69" t="n">
        <v>155</v>
      </c>
      <c r="G232" s="69" t="n">
        <v>133</v>
      </c>
      <c r="H232" s="69" t="n">
        <v>141</v>
      </c>
      <c r="I232" s="69" t="n">
        <v>188</v>
      </c>
      <c r="J232" s="69" t="n">
        <v>98</v>
      </c>
      <c r="K232" s="69" t="n">
        <v>342</v>
      </c>
      <c r="L232" s="69" t="n">
        <v>147</v>
      </c>
      <c r="M232" s="69" t="n">
        <v>283</v>
      </c>
      <c r="N232" s="69" t="n">
        <v>238</v>
      </c>
      <c r="O232" s="69" t="n">
        <v>296</v>
      </c>
      <c r="P232" s="69" t="n">
        <v>261</v>
      </c>
    </row>
    <row r="233" ht="15.75" customHeight="1" s="45">
      <c r="A233" s="61" t="n">
        <v>46099</v>
      </c>
      <c r="B233" s="62" t="inlineStr">
        <is>
          <t>Antes-Projeto</t>
        </is>
      </c>
      <c r="C233" s="68" t="inlineStr">
        <is>
          <t>GAEs Classificadas</t>
        </is>
      </c>
      <c r="D233" s="69" t="n">
        <v>262</v>
      </c>
      <c r="E233" s="69" t="n">
        <v>154</v>
      </c>
      <c r="F233" s="69" t="n">
        <v>149</v>
      </c>
      <c r="G233" s="69" t="n">
        <v>130</v>
      </c>
      <c r="H233" s="69" t="n">
        <v>139</v>
      </c>
      <c r="I233" s="69" t="n">
        <v>176</v>
      </c>
      <c r="J233" s="69" t="n">
        <v>93</v>
      </c>
      <c r="K233" s="69" t="n">
        <v>312</v>
      </c>
      <c r="L233" s="69" t="n">
        <v>142</v>
      </c>
      <c r="M233" s="69" t="n">
        <v>272</v>
      </c>
      <c r="N233" s="69" t="n">
        <v>229</v>
      </c>
      <c r="O233" s="69" t="n">
        <v>285</v>
      </c>
      <c r="P233" s="69" t="n">
        <v>251</v>
      </c>
    </row>
    <row r="234" ht="15.75" customHeight="1" s="45">
      <c r="A234" s="61" t="n">
        <v>46099</v>
      </c>
      <c r="B234" s="62" t="inlineStr">
        <is>
          <t>Antes-Projeto</t>
        </is>
      </c>
      <c r="C234" s="70" t="inlineStr">
        <is>
          <t>Percentual de GAEs abertas classificadas</t>
        </is>
      </c>
      <c r="D234" s="71">
        <f>IFERROR(D233/D232,"-")</f>
        <v/>
      </c>
      <c r="E234" s="71">
        <f>IFERROR(E233/E232,"-")</f>
        <v/>
      </c>
      <c r="F234" s="71">
        <f>IFERROR(F233/F232,"-")</f>
        <v/>
      </c>
      <c r="G234" s="71">
        <f>IFERROR(G233/G232,"-")</f>
        <v/>
      </c>
      <c r="H234" s="71">
        <f>IFERROR(H233/H232,"-")</f>
        <v/>
      </c>
      <c r="I234" s="71">
        <f>IFERROR(I233/I232,"-")</f>
        <v/>
      </c>
      <c r="J234" s="71">
        <f>IFERROR(J233/J232,"-")</f>
        <v/>
      </c>
      <c r="K234" s="71">
        <f>IFERROR(K233/K232,"-")</f>
        <v/>
      </c>
      <c r="L234" s="71">
        <f>IFERROR(L233/L232,"-")</f>
        <v/>
      </c>
      <c r="M234" s="71">
        <f>IFERROR(M233/M232,"-")</f>
        <v/>
      </c>
      <c r="N234" s="71">
        <f>IFERROR(N233/N232,"-")</f>
        <v/>
      </c>
      <c r="O234" s="71">
        <f>IFERROR(O233/O232,"-")</f>
        <v/>
      </c>
      <c r="P234" s="71">
        <f>IFERROR(P233/P232,"-")</f>
        <v/>
      </c>
    </row>
    <row r="235" ht="15.75" customHeight="1" s="45">
      <c r="A235" s="61" t="n">
        <v>46099</v>
      </c>
      <c r="B235" s="62" t="inlineStr">
        <is>
          <t>Antes-Projeto</t>
        </is>
      </c>
      <c r="C235" s="72" t="inlineStr">
        <is>
          <t>Tempo Médio — 🟡 Amarelo (hh:mm)</t>
        </is>
      </c>
      <c r="D235" s="73" t="n">
        <v>0.04505787037037037</v>
      </c>
      <c r="E235" s="73" t="n">
        <v>0.05625</v>
      </c>
      <c r="F235" s="73" t="n">
        <v>0.07866898148148148</v>
      </c>
      <c r="G235" s="73" t="n">
        <v>0.1315393518518519</v>
      </c>
      <c r="H235" s="73" t="n">
        <v>0.06577546296296297</v>
      </c>
      <c r="I235" s="73" t="n">
        <v>0.07119212962962963</v>
      </c>
      <c r="J235" s="73" t="n">
        <v>0.07504629629629629</v>
      </c>
      <c r="K235" s="73" t="n">
        <v>0.08958333333333333</v>
      </c>
      <c r="L235" s="73" t="n">
        <v>0.1168981481481482</v>
      </c>
      <c r="M235" s="73" t="n">
        <v>0.03525462962962963</v>
      </c>
      <c r="N235" s="73" t="n">
        <v>0.06616898148148148</v>
      </c>
      <c r="O235" s="73" t="n">
        <v>0.07587962962962963</v>
      </c>
      <c r="P235" s="73" t="n">
        <v>0.08396990740740741</v>
      </c>
    </row>
    <row r="236" ht="15.75" customHeight="1" s="45">
      <c r="A236" s="61" t="n">
        <v>46099</v>
      </c>
      <c r="B236" s="62" t="inlineStr">
        <is>
          <t>Antes-Projeto</t>
        </is>
      </c>
      <c r="C236" s="74" t="inlineStr">
        <is>
          <t>Tempo Médio — 🟠 Laranja (hh:mm)</t>
        </is>
      </c>
      <c r="D236" s="75" t="n">
        <v>0.005416666666666667</v>
      </c>
      <c r="E236" s="75" t="n">
        <v>0.01446759259259259</v>
      </c>
      <c r="F236" s="75" t="n">
        <v>0.0128587962962963</v>
      </c>
      <c r="G236" s="75" t="n">
        <v>0.007581018518518518</v>
      </c>
      <c r="H236" s="75" t="n">
        <v>0.006481481481481481</v>
      </c>
      <c r="I236" s="75" t="n">
        <v>0.007002314814814815</v>
      </c>
      <c r="J236" s="75" t="n">
        <v>0.01769675925925926</v>
      </c>
      <c r="K236" s="75" t="n">
        <v>0.01396990740740741</v>
      </c>
      <c r="L236" s="75" t="n">
        <v>0.01965277777777778</v>
      </c>
      <c r="M236" s="75" t="n">
        <v>0.009016203703703703</v>
      </c>
      <c r="N236" s="75" t="n">
        <v>0.01189814814814815</v>
      </c>
      <c r="O236" s="75" t="n">
        <v>0.02004629629629629</v>
      </c>
      <c r="P236" s="75" t="n">
        <v>0.009907407407407408</v>
      </c>
    </row>
    <row r="237" ht="15.75" customHeight="1" s="45">
      <c r="A237" s="76" t="n">
        <v>46099</v>
      </c>
      <c r="B237" s="77" t="inlineStr">
        <is>
          <t>Antes-Projeto</t>
        </is>
      </c>
      <c r="C237" s="78" t="inlineStr">
        <is>
          <t>Tempo Médio — 🟢 Verde   (hh:mm)</t>
        </is>
      </c>
      <c r="D237" s="79" t="n">
        <v>0.04344907407407408</v>
      </c>
      <c r="E237" s="79" t="n">
        <v>0.2784606481481481</v>
      </c>
      <c r="F237" s="79" t="n">
        <v>0.1036921296296296</v>
      </c>
      <c r="G237" s="79" t="n">
        <v>0.1371527777777778</v>
      </c>
      <c r="H237" s="79" t="n">
        <v>0.1550925925925926</v>
      </c>
      <c r="I237" s="79" t="n">
        <v>0.1132986111111111</v>
      </c>
      <c r="J237" s="79" t="n">
        <v>0.1252662037037037</v>
      </c>
      <c r="K237" s="79" t="n">
        <v>0.06809027777777778</v>
      </c>
      <c r="L237" s="79" t="n">
        <v>0.167025462962963</v>
      </c>
      <c r="M237" s="79" t="n">
        <v>0.04416666666666667</v>
      </c>
      <c r="N237" s="79" t="n">
        <v>0.1318171296296296</v>
      </c>
      <c r="O237" s="79" t="n">
        <v>0.1262268518518518</v>
      </c>
      <c r="P237" s="79" t="n">
        <v>0.09708333333333333</v>
      </c>
    </row>
    <row r="238" ht="15.75" customHeight="1" s="45">
      <c r="A238" s="57" t="n">
        <v>46100</v>
      </c>
      <c r="B238" s="58" t="inlineStr">
        <is>
          <t>Antes-Projeto</t>
        </is>
      </c>
      <c r="C238" s="59" t="inlineStr">
        <is>
          <t>Acolhim. + Atend. Urgência + Atend. UPA</t>
        </is>
      </c>
      <c r="D238" s="60">
        <f>SUM(D239:D241)</f>
        <v/>
      </c>
      <c r="E238" s="60">
        <f>SUM(E239:E241)</f>
        <v/>
      </c>
      <c r="F238" s="60">
        <f>SUM(F239:F241)</f>
        <v/>
      </c>
      <c r="G238" s="60">
        <f>SUM(G239:G241)</f>
        <v/>
      </c>
      <c r="H238" s="60">
        <f>SUM(H239:H241)</f>
        <v/>
      </c>
      <c r="I238" s="60">
        <f>SUM(I239:I241)</f>
        <v/>
      </c>
      <c r="J238" s="60">
        <f>SUM(J239:J241)</f>
        <v/>
      </c>
      <c r="K238" s="60">
        <f>SUM(K239:K241)</f>
        <v/>
      </c>
      <c r="L238" s="60">
        <f>SUM(L239:L241)</f>
        <v/>
      </c>
      <c r="M238" s="60">
        <f>SUM(M239:M241)</f>
        <v/>
      </c>
      <c r="N238" s="60">
        <f>SUM(N239:N241)</f>
        <v/>
      </c>
      <c r="O238" s="60">
        <f>SUM(O239:O241)</f>
        <v/>
      </c>
      <c r="P238" s="60">
        <f>SUM(P239:P241)</f>
        <v/>
      </c>
    </row>
    <row r="239" ht="15.75" customHeight="1" s="45">
      <c r="A239" s="61" t="n">
        <v>46100</v>
      </c>
      <c r="B239" s="62" t="inlineStr">
        <is>
          <t>Antes-Projeto</t>
        </is>
      </c>
      <c r="C239" s="63" t="inlineStr">
        <is>
          <t>Acolhimento c/ Classif. de Risco</t>
        </is>
      </c>
      <c r="D239" s="64" t="n">
        <v>237</v>
      </c>
      <c r="E239" s="64" t="n">
        <v>132</v>
      </c>
      <c r="F239" s="64" t="n">
        <v>174</v>
      </c>
      <c r="G239" s="64" t="n">
        <v>132</v>
      </c>
      <c r="H239" s="64" t="n">
        <v>116</v>
      </c>
      <c r="I239" s="64" t="n">
        <v>220</v>
      </c>
      <c r="J239" s="64" t="n">
        <v>119</v>
      </c>
      <c r="K239" s="64" t="n">
        <v>293</v>
      </c>
      <c r="L239" s="64" t="n">
        <v>145</v>
      </c>
      <c r="M239" s="64" t="n">
        <v>262</v>
      </c>
      <c r="N239" s="64" t="n">
        <v>206</v>
      </c>
      <c r="O239" s="64" t="n">
        <v>316</v>
      </c>
      <c r="P239" s="64" t="n">
        <v>258</v>
      </c>
    </row>
    <row r="240" ht="15.75" customHeight="1" s="45">
      <c r="A240" s="61" t="n">
        <v>46100</v>
      </c>
      <c r="B240" s="62" t="inlineStr">
        <is>
          <t>Antes-Projeto</t>
        </is>
      </c>
      <c r="C240" s="65" t="inlineStr">
        <is>
          <t>Atend. Urgência Obs. ≤ 24h</t>
        </is>
      </c>
      <c r="D240" s="66" t="n">
        <v>23</v>
      </c>
      <c r="E240" s="66" t="n">
        <v>66</v>
      </c>
      <c r="F240" s="66" t="n">
        <v>17</v>
      </c>
      <c r="G240" s="66" t="n">
        <v>31</v>
      </c>
      <c r="H240" s="66" t="n">
        <v>10</v>
      </c>
      <c r="I240" s="66" t="n">
        <v>32</v>
      </c>
      <c r="J240" s="66" t="n">
        <v>26</v>
      </c>
      <c r="K240" s="66" t="n">
        <v>86</v>
      </c>
      <c r="L240" s="66" t="n">
        <v>26</v>
      </c>
      <c r="M240" s="66" t="n">
        <v>27</v>
      </c>
      <c r="N240" s="66" t="n">
        <v>52</v>
      </c>
      <c r="O240" s="66" t="n">
        <v>15</v>
      </c>
      <c r="P240" s="66" t="n">
        <v>62</v>
      </c>
    </row>
    <row r="241" ht="15.75" customHeight="1" s="45">
      <c r="A241" s="61" t="n">
        <v>46100</v>
      </c>
      <c r="B241" s="62" t="inlineStr">
        <is>
          <t>Antes-Projeto</t>
        </is>
      </c>
      <c r="C241" s="63" t="inlineStr">
        <is>
          <t>Atend. Médico em UPA</t>
        </is>
      </c>
      <c r="D241" s="64" t="n">
        <v>131</v>
      </c>
      <c r="E241" s="64" t="n">
        <v>35</v>
      </c>
      <c r="F241" s="64" t="n">
        <v>141</v>
      </c>
      <c r="G241" s="64" t="n">
        <v>78</v>
      </c>
      <c r="H241" s="64" t="n">
        <v>41</v>
      </c>
      <c r="I241" s="64" t="n">
        <v>188</v>
      </c>
      <c r="J241" s="64" t="n">
        <v>62</v>
      </c>
      <c r="K241" s="64" t="n">
        <v>188</v>
      </c>
      <c r="L241" s="64" t="n">
        <v>86</v>
      </c>
      <c r="M241" s="64" t="n">
        <v>116</v>
      </c>
      <c r="N241" s="64" t="n">
        <v>167</v>
      </c>
      <c r="O241" s="64" t="n">
        <v>214</v>
      </c>
      <c r="P241" s="64" t="n">
        <v>132</v>
      </c>
    </row>
    <row r="242" ht="15.75" customHeight="1" s="45">
      <c r="A242" s="61" t="n">
        <v>46100</v>
      </c>
      <c r="B242" s="62" t="inlineStr">
        <is>
          <t>Antes-Projeto</t>
        </is>
      </c>
      <c r="C242" s="65" t="inlineStr">
        <is>
          <t>Exames Laboratoriais</t>
        </is>
      </c>
      <c r="D242" s="66" t="n">
        <v>690</v>
      </c>
      <c r="E242" s="66" t="n">
        <v>370</v>
      </c>
      <c r="F242" s="66" t="n">
        <v>647</v>
      </c>
      <c r="G242" s="66" t="n">
        <v>339</v>
      </c>
      <c r="H242" s="66" t="n">
        <v>202</v>
      </c>
      <c r="I242" s="66" t="n">
        <v>464</v>
      </c>
      <c r="J242" s="66" t="n">
        <v>298</v>
      </c>
      <c r="K242" s="66" t="n">
        <v>692</v>
      </c>
      <c r="L242" s="66" t="n">
        <v>512</v>
      </c>
      <c r="M242" s="66" t="n">
        <v>734</v>
      </c>
      <c r="N242" s="66" t="n">
        <v>564</v>
      </c>
      <c r="O242" s="66" t="n">
        <v>328</v>
      </c>
      <c r="P242" s="66" t="n">
        <v>836</v>
      </c>
    </row>
    <row r="243" ht="15.75" customHeight="1" s="45">
      <c r="A243" s="61" t="n">
        <v>46100</v>
      </c>
      <c r="B243" s="62" t="inlineStr">
        <is>
          <t>Antes-Projeto</t>
        </is>
      </c>
      <c r="C243" s="63" t="inlineStr">
        <is>
          <t>Radiografias</t>
        </is>
      </c>
      <c r="D243" s="64" t="n">
        <v>23</v>
      </c>
      <c r="E243" s="64" t="n">
        <v>11</v>
      </c>
      <c r="F243" s="64" t="n">
        <v>30</v>
      </c>
      <c r="G243" s="64" t="n">
        <v>18</v>
      </c>
      <c r="H243" s="64" t="n">
        <v>8</v>
      </c>
      <c r="I243" s="64" t="n">
        <v>34</v>
      </c>
      <c r="J243" s="64" t="n">
        <v>13</v>
      </c>
      <c r="K243" s="64" t="n">
        <v>42</v>
      </c>
      <c r="L243" s="64" t="n">
        <v>19</v>
      </c>
      <c r="M243" s="64" t="n">
        <v>65</v>
      </c>
      <c r="N243" s="64" t="n">
        <v>32</v>
      </c>
      <c r="O243" s="64" t="n">
        <v>51</v>
      </c>
      <c r="P243" s="64" t="n">
        <v>44</v>
      </c>
    </row>
    <row r="244" ht="15.75" customHeight="1" s="45">
      <c r="A244" s="61" t="n">
        <v>46100</v>
      </c>
      <c r="B244" s="62" t="inlineStr">
        <is>
          <t>Antes-Projeto</t>
        </is>
      </c>
      <c r="C244" s="65" t="inlineStr">
        <is>
          <t>Eletrocardiogramas</t>
        </is>
      </c>
      <c r="D244" s="66" t="n">
        <v>13</v>
      </c>
      <c r="E244" s="66" t="n">
        <v>7</v>
      </c>
      <c r="F244" s="66" t="n">
        <v>27</v>
      </c>
      <c r="G244" s="66" t="n">
        <v>9</v>
      </c>
      <c r="H244" s="66" t="n">
        <v>8</v>
      </c>
      <c r="I244" s="66" t="n">
        <v>15</v>
      </c>
      <c r="J244" s="66" t="n">
        <v>15</v>
      </c>
      <c r="K244" s="66" t="n">
        <v>17</v>
      </c>
      <c r="L244" s="66" t="n">
        <v>21</v>
      </c>
      <c r="M244" s="66" t="n">
        <v>16</v>
      </c>
      <c r="N244" s="66" t="n">
        <v>7</v>
      </c>
      <c r="O244" s="66" t="n">
        <v>13</v>
      </c>
      <c r="P244" s="66" t="n">
        <v>2</v>
      </c>
    </row>
    <row r="245" ht="15.75" customHeight="1" s="45">
      <c r="A245" s="61" t="n">
        <v>46100</v>
      </c>
      <c r="B245" s="62" t="inlineStr">
        <is>
          <t>Antes-Projeto</t>
        </is>
      </c>
      <c r="C245" s="68" t="inlineStr">
        <is>
          <t>GAEs Abertas</t>
        </is>
      </c>
      <c r="D245" s="69" t="n">
        <v>252</v>
      </c>
      <c r="E245" s="69" t="n">
        <v>137</v>
      </c>
      <c r="F245" s="69" t="n">
        <v>182</v>
      </c>
      <c r="G245" s="69" t="n">
        <v>148</v>
      </c>
      <c r="H245" s="69" t="n">
        <v>117</v>
      </c>
      <c r="I245" s="69" t="n">
        <v>245</v>
      </c>
      <c r="J245" s="69" t="n">
        <v>123</v>
      </c>
      <c r="K245" s="69" t="n">
        <v>334</v>
      </c>
      <c r="L245" s="69" t="n">
        <v>149</v>
      </c>
      <c r="M245" s="69" t="n">
        <v>299</v>
      </c>
      <c r="N245" s="69" t="n">
        <v>224</v>
      </c>
      <c r="O245" s="69" t="n">
        <v>323</v>
      </c>
      <c r="P245" s="69" t="n">
        <v>279</v>
      </c>
    </row>
    <row r="246" ht="15.75" customHeight="1" s="45">
      <c r="A246" s="61" t="n">
        <v>46100</v>
      </c>
      <c r="B246" s="62" t="inlineStr">
        <is>
          <t>Antes-Projeto</t>
        </is>
      </c>
      <c r="C246" s="68" t="inlineStr">
        <is>
          <t>GAEs Classificadas</t>
        </is>
      </c>
      <c r="D246" s="69" t="n">
        <v>240</v>
      </c>
      <c r="E246" s="69" t="n">
        <v>132</v>
      </c>
      <c r="F246" s="69" t="n">
        <v>175</v>
      </c>
      <c r="G246" s="69" t="n">
        <v>130</v>
      </c>
      <c r="H246" s="69" t="n">
        <v>116</v>
      </c>
      <c r="I246" s="69" t="n">
        <v>220</v>
      </c>
      <c r="J246" s="69" t="n">
        <v>120</v>
      </c>
      <c r="K246" s="69" t="n">
        <v>294</v>
      </c>
      <c r="L246" s="69" t="n">
        <v>142</v>
      </c>
      <c r="M246" s="69" t="n">
        <v>270</v>
      </c>
      <c r="N246" s="69" t="n">
        <v>203</v>
      </c>
      <c r="O246" s="69" t="n">
        <v>315</v>
      </c>
      <c r="P246" s="69" t="n">
        <v>260</v>
      </c>
    </row>
    <row r="247" ht="15.75" customHeight="1" s="45">
      <c r="A247" s="61" t="n">
        <v>46100</v>
      </c>
      <c r="B247" s="62" t="inlineStr">
        <is>
          <t>Antes-Projeto</t>
        </is>
      </c>
      <c r="C247" s="70" t="inlineStr">
        <is>
          <t>Percentual de GAEs abertas classificadas</t>
        </is>
      </c>
      <c r="D247" s="71">
        <f>IFERROR(D246/D245,"-")</f>
        <v/>
      </c>
      <c r="E247" s="71">
        <f>IFERROR(E246/E245,"-")</f>
        <v/>
      </c>
      <c r="F247" s="71">
        <f>IFERROR(F246/F245,"-")</f>
        <v/>
      </c>
      <c r="G247" s="71">
        <f>IFERROR(G246/G245,"-")</f>
        <v/>
      </c>
      <c r="H247" s="71">
        <f>IFERROR(H246/H245,"-")</f>
        <v/>
      </c>
      <c r="I247" s="71">
        <f>IFERROR(I246/I245,"-")</f>
        <v/>
      </c>
      <c r="J247" s="71">
        <f>IFERROR(J246/J245,"-")</f>
        <v/>
      </c>
      <c r="K247" s="71">
        <f>IFERROR(K246/K245,"-")</f>
        <v/>
      </c>
      <c r="L247" s="71">
        <f>IFERROR(L246/L245,"-")</f>
        <v/>
      </c>
      <c r="M247" s="71">
        <f>IFERROR(M246/M245,"-")</f>
        <v/>
      </c>
      <c r="N247" s="71">
        <f>IFERROR(N246/N245,"-")</f>
        <v/>
      </c>
      <c r="O247" s="71">
        <f>IFERROR(O246/O245,"-")</f>
        <v/>
      </c>
      <c r="P247" s="71">
        <f>IFERROR(P246/P245,"-")</f>
        <v/>
      </c>
    </row>
    <row r="248" ht="15.75" customHeight="1" s="45">
      <c r="A248" s="61" t="n">
        <v>46100</v>
      </c>
      <c r="B248" s="62" t="inlineStr">
        <is>
          <t>Antes-Projeto</t>
        </is>
      </c>
      <c r="C248" s="72" t="inlineStr">
        <is>
          <t>Tempo Médio — 🟡 Amarelo (hh:mm)</t>
        </is>
      </c>
      <c r="D248" s="73" t="n">
        <v>0.05895833333333333</v>
      </c>
      <c r="E248" s="73" t="n">
        <v>0.09721064814814814</v>
      </c>
      <c r="F248" s="73" t="n">
        <v>0.03209490740740741</v>
      </c>
      <c r="G248" s="73" t="n">
        <v>0.07443287037037037</v>
      </c>
      <c r="H248" s="73" t="n">
        <v>0.03806712962962963</v>
      </c>
      <c r="I248" s="73" t="n">
        <v>0.08311342592592592</v>
      </c>
      <c r="J248" s="73" t="n">
        <v>0.1159490740740741</v>
      </c>
      <c r="K248" s="73" t="n">
        <v>0.07745370370370371</v>
      </c>
      <c r="L248" s="73" t="n">
        <v>0.0920138888888889</v>
      </c>
      <c r="M248" s="73" t="n">
        <v>0.03831018518518518</v>
      </c>
      <c r="N248" s="73" t="n">
        <v>0.098125</v>
      </c>
      <c r="O248" s="73" t="n">
        <v>0.1106828703703704</v>
      </c>
      <c r="P248" s="73" t="n">
        <v>0.06381944444444444</v>
      </c>
    </row>
    <row r="249" ht="15.75" customHeight="1" s="45">
      <c r="A249" s="61" t="n">
        <v>46100</v>
      </c>
      <c r="B249" s="62" t="inlineStr">
        <is>
          <t>Antes-Projeto</t>
        </is>
      </c>
      <c r="C249" s="74" t="inlineStr">
        <is>
          <t>Tempo Médio — 🟠 Laranja (hh:mm)</t>
        </is>
      </c>
      <c r="D249" s="75" t="n">
        <v>0.006793981481481482</v>
      </c>
      <c r="E249" s="75" t="n">
        <v>0.02390046296296296</v>
      </c>
      <c r="F249" s="75" t="n">
        <v>0.004664351851851852</v>
      </c>
      <c r="G249" s="75" t="n">
        <v>0.01137731481481481</v>
      </c>
      <c r="H249" s="75" t="n">
        <v>0.01337962962962963</v>
      </c>
      <c r="I249" s="75" t="n">
        <v>0.0134837962962963</v>
      </c>
      <c r="J249" s="75" t="n">
        <v>0.01743055555555556</v>
      </c>
      <c r="K249" s="75" t="n">
        <v>0.03114583333333333</v>
      </c>
      <c r="L249" s="75" t="n">
        <v>0.01506944444444444</v>
      </c>
      <c r="M249" s="75" t="n">
        <v>0.0112962962962963</v>
      </c>
      <c r="N249" s="75" t="n">
        <v>0.01167824074074074</v>
      </c>
      <c r="O249" s="75" t="n">
        <v>0.01255787037037037</v>
      </c>
      <c r="P249" s="75" t="n">
        <v>0.0168287037037037</v>
      </c>
    </row>
    <row r="250" ht="15.75" customHeight="1" s="45">
      <c r="A250" s="76" t="n">
        <v>46100</v>
      </c>
      <c r="B250" s="77" t="inlineStr">
        <is>
          <t>Antes-Projeto</t>
        </is>
      </c>
      <c r="C250" s="78" t="inlineStr">
        <is>
          <t>Tempo Médio — 🟢 Verde   (hh:mm)</t>
        </is>
      </c>
      <c r="D250" s="79" t="n">
        <v>0.07039351851851852</v>
      </c>
      <c r="E250" s="79" t="n">
        <v>0.1787962962962963</v>
      </c>
      <c r="F250" s="79" t="n">
        <v>0.1091550925925926</v>
      </c>
      <c r="G250" s="79" t="n">
        <v>0.1158564814814815</v>
      </c>
      <c r="H250" s="79" t="n">
        <v>0.05892361111111111</v>
      </c>
      <c r="I250" s="79" t="n">
        <v>0.1548958333333333</v>
      </c>
      <c r="J250" s="79" t="n">
        <v>0.1324421296296296</v>
      </c>
      <c r="K250" s="79" t="n">
        <v>0.1291203703703704</v>
      </c>
      <c r="L250" s="79" t="n">
        <v>0.1154282407407407</v>
      </c>
      <c r="M250" s="79" t="n">
        <v>0.07206018518518519</v>
      </c>
      <c r="N250" s="79" t="n">
        <v>0.2169328703703704</v>
      </c>
      <c r="O250" s="79" t="n">
        <v>0.08335648148148148</v>
      </c>
      <c r="P250" s="79" t="n">
        <v>0.1406712962962963</v>
      </c>
    </row>
    <row r="251" ht="15.75" customHeight="1" s="45">
      <c r="A251" s="57" t="n">
        <v>46101</v>
      </c>
      <c r="B251" s="58" t="inlineStr">
        <is>
          <t>Antes-Projeto</t>
        </is>
      </c>
      <c r="C251" s="59" t="inlineStr">
        <is>
          <t>Acolhim. + Atend. Urgência + Atend. UPA</t>
        </is>
      </c>
      <c r="D251" s="60">
        <f>SUM(D252:D254)</f>
        <v/>
      </c>
      <c r="E251" s="60">
        <f>SUM(E252:E254)</f>
        <v/>
      </c>
      <c r="F251" s="60">
        <f>SUM(F252:F254)</f>
        <v/>
      </c>
      <c r="G251" s="60">
        <f>SUM(G252:G254)</f>
        <v/>
      </c>
      <c r="H251" s="60">
        <f>SUM(H252:H254)</f>
        <v/>
      </c>
      <c r="I251" s="60">
        <f>SUM(I252:I254)</f>
        <v/>
      </c>
      <c r="J251" s="60">
        <f>SUM(J252:J254)</f>
        <v/>
      </c>
      <c r="K251" s="60">
        <f>SUM(K252:K254)</f>
        <v/>
      </c>
      <c r="L251" s="60">
        <f>SUM(L252:L254)</f>
        <v/>
      </c>
      <c r="M251" s="60">
        <f>SUM(M252:M254)</f>
        <v/>
      </c>
      <c r="N251" s="60">
        <f>SUM(N252:N254)</f>
        <v/>
      </c>
      <c r="O251" s="60">
        <f>SUM(O252:O254)</f>
        <v/>
      </c>
      <c r="P251" s="60">
        <f>SUM(P252:P254)</f>
        <v/>
      </c>
    </row>
    <row r="252" ht="15.75" customHeight="1" s="45">
      <c r="A252" s="61" t="n">
        <v>46101</v>
      </c>
      <c r="B252" s="62" t="inlineStr">
        <is>
          <t>Antes-Projeto</t>
        </is>
      </c>
      <c r="C252" s="65" t="inlineStr">
        <is>
          <t>Acolhimento c/ Classif. de Risco</t>
        </is>
      </c>
      <c r="D252" s="66" t="n">
        <v>220</v>
      </c>
      <c r="E252" s="66" t="n">
        <v>154</v>
      </c>
      <c r="F252" s="66" t="n">
        <v>148</v>
      </c>
      <c r="G252" s="66" t="n">
        <v>127</v>
      </c>
      <c r="H252" s="66" t="n">
        <v>111</v>
      </c>
      <c r="I252" s="66" t="n">
        <v>169</v>
      </c>
      <c r="J252" s="66" t="n">
        <v>121</v>
      </c>
      <c r="K252" s="66" t="n">
        <v>336</v>
      </c>
      <c r="L252" s="66" t="n">
        <v>151</v>
      </c>
      <c r="M252" s="66" t="n">
        <v>224</v>
      </c>
      <c r="N252" s="66" t="n">
        <v>200</v>
      </c>
      <c r="O252" s="66" t="n">
        <v>258</v>
      </c>
      <c r="P252" s="66" t="n">
        <v>242</v>
      </c>
    </row>
    <row r="253" ht="15.75" customHeight="1" s="45">
      <c r="A253" s="61" t="n">
        <v>46101</v>
      </c>
      <c r="B253" s="62" t="inlineStr">
        <is>
          <t>Antes-Projeto</t>
        </is>
      </c>
      <c r="C253" s="63" t="inlineStr">
        <is>
          <t>Atend. Urgência Obs. ≤ 24h</t>
        </is>
      </c>
      <c r="D253" s="64" t="n">
        <v>26</v>
      </c>
      <c r="E253" s="64" t="n">
        <v>66</v>
      </c>
      <c r="F253" s="64" t="n">
        <v>18</v>
      </c>
      <c r="G253" s="64" t="n">
        <v>20</v>
      </c>
      <c r="H253" s="64" t="n">
        <v>2</v>
      </c>
      <c r="I253" s="64" t="n">
        <v>49</v>
      </c>
      <c r="J253" s="64" t="n">
        <v>36</v>
      </c>
      <c r="K253" s="64" t="n">
        <v>38</v>
      </c>
      <c r="L253" s="64" t="n">
        <v>37</v>
      </c>
      <c r="M253" s="64" t="n">
        <v>22</v>
      </c>
      <c r="N253" s="64" t="n">
        <v>54</v>
      </c>
      <c r="O253" s="64" t="n">
        <v>7</v>
      </c>
      <c r="P253" s="64" t="n">
        <v>30</v>
      </c>
    </row>
    <row r="254" ht="15.75" customHeight="1" s="45">
      <c r="A254" s="61" t="n">
        <v>46101</v>
      </c>
      <c r="B254" s="62" t="inlineStr">
        <is>
          <t>Antes-Projeto</t>
        </is>
      </c>
      <c r="C254" s="65" t="inlineStr">
        <is>
          <t>Atend. Médico em UPA</t>
        </is>
      </c>
      <c r="D254" s="66" t="n">
        <v>129</v>
      </c>
      <c r="E254" s="66" t="n">
        <v>58</v>
      </c>
      <c r="F254" s="66" t="n">
        <v>121</v>
      </c>
      <c r="G254" s="66" t="n">
        <v>62</v>
      </c>
      <c r="H254" s="66" t="n">
        <v>35</v>
      </c>
      <c r="I254" s="66" t="n">
        <v>149</v>
      </c>
      <c r="J254" s="66" t="n">
        <v>81</v>
      </c>
      <c r="K254" s="66" t="n">
        <v>194</v>
      </c>
      <c r="L254" s="66" t="n">
        <v>96</v>
      </c>
      <c r="M254" s="66" t="n">
        <v>88</v>
      </c>
      <c r="N254" s="66" t="n">
        <v>178</v>
      </c>
      <c r="O254" s="66" t="n">
        <v>113</v>
      </c>
      <c r="P254" s="66" t="n">
        <v>138</v>
      </c>
    </row>
    <row r="255" ht="15.75" customHeight="1" s="45">
      <c r="A255" s="61" t="n">
        <v>46101</v>
      </c>
      <c r="B255" s="62" t="inlineStr">
        <is>
          <t>Antes-Projeto</t>
        </is>
      </c>
      <c r="C255" s="63" t="inlineStr">
        <is>
          <t>Exames Laboratoriais</t>
        </is>
      </c>
      <c r="D255" s="64" t="n">
        <v>540</v>
      </c>
      <c r="E255" s="64" t="n">
        <v>247</v>
      </c>
      <c r="F255" s="64" t="n">
        <v>113</v>
      </c>
      <c r="G255" s="64" t="n">
        <v>295</v>
      </c>
      <c r="H255" s="64" t="n">
        <v>121</v>
      </c>
      <c r="I255" s="64" t="n">
        <v>576</v>
      </c>
      <c r="J255" s="64" t="n">
        <v>371</v>
      </c>
      <c r="K255" s="64" t="n">
        <v>829</v>
      </c>
      <c r="L255" s="64" t="n">
        <v>759</v>
      </c>
      <c r="M255" s="64" t="n">
        <v>548</v>
      </c>
      <c r="N255" s="64" t="n">
        <v>725</v>
      </c>
      <c r="O255" s="64" t="n">
        <v>272</v>
      </c>
      <c r="P255" s="64" t="n">
        <v>650</v>
      </c>
    </row>
    <row r="256" ht="15.75" customHeight="1" s="45">
      <c r="A256" s="61" t="n">
        <v>46101</v>
      </c>
      <c r="B256" s="62" t="inlineStr">
        <is>
          <t>Antes-Projeto</t>
        </is>
      </c>
      <c r="C256" s="65" t="inlineStr">
        <is>
          <t>Radiografias</t>
        </is>
      </c>
      <c r="D256" s="66" t="n">
        <v>19</v>
      </c>
      <c r="E256" s="66" t="n">
        <v>11</v>
      </c>
      <c r="F256" s="66" t="n">
        <v>15</v>
      </c>
      <c r="G256" s="66" t="n">
        <v>17</v>
      </c>
      <c r="H256" s="66" t="n">
        <v>6</v>
      </c>
      <c r="I256" s="66" t="n">
        <v>32</v>
      </c>
      <c r="J256" s="66" t="n">
        <v>13</v>
      </c>
      <c r="K256" s="66" t="n">
        <v>31</v>
      </c>
      <c r="L256" s="66" t="n">
        <v>27</v>
      </c>
      <c r="M256" s="66" t="n">
        <v>54</v>
      </c>
      <c r="N256" s="66" t="n">
        <v>26</v>
      </c>
      <c r="O256" s="66" t="n">
        <v>32</v>
      </c>
      <c r="P256" s="66" t="n">
        <v>49</v>
      </c>
    </row>
    <row r="257" ht="15.75" customHeight="1" s="45">
      <c r="A257" s="61" t="n">
        <v>46101</v>
      </c>
      <c r="B257" s="62" t="inlineStr">
        <is>
          <t>Antes-Projeto</t>
        </is>
      </c>
      <c r="C257" s="63" t="inlineStr">
        <is>
          <t>Eletrocardiogramas</t>
        </is>
      </c>
      <c r="D257" s="64" t="n">
        <v>14</v>
      </c>
      <c r="E257" s="64" t="n">
        <v>9</v>
      </c>
      <c r="F257" s="64" t="n">
        <v>19</v>
      </c>
      <c r="G257" s="64" t="n">
        <v>9</v>
      </c>
      <c r="H257" s="64" t="n">
        <v>3</v>
      </c>
      <c r="I257" s="64" t="n">
        <v>12</v>
      </c>
      <c r="J257" s="64" t="n">
        <v>11</v>
      </c>
      <c r="K257" s="64" t="n">
        <v>15</v>
      </c>
      <c r="L257" s="64" t="n">
        <v>15</v>
      </c>
      <c r="M257" s="64" t="n">
        <v>10</v>
      </c>
      <c r="N257" s="64" t="n">
        <v>10</v>
      </c>
      <c r="O257" s="64" t="n">
        <v>4</v>
      </c>
      <c r="P257" s="64" t="n">
        <v>20</v>
      </c>
    </row>
    <row r="258" ht="15.75" customHeight="1" s="45">
      <c r="A258" s="61" t="n">
        <v>46101</v>
      </c>
      <c r="B258" s="62" t="inlineStr">
        <is>
          <t>Antes-Projeto</t>
        </is>
      </c>
      <c r="C258" s="68" t="inlineStr">
        <is>
          <t>GAEs Abertas</t>
        </is>
      </c>
      <c r="D258" s="69" t="n">
        <v>244</v>
      </c>
      <c r="E258" s="69" t="n">
        <v>161</v>
      </c>
      <c r="F258" s="69" t="n">
        <v>151</v>
      </c>
      <c r="G258" s="69" t="n">
        <v>134</v>
      </c>
      <c r="H258" s="69" t="n">
        <v>117</v>
      </c>
      <c r="I258" s="69" t="n">
        <v>183</v>
      </c>
      <c r="J258" s="69" t="n">
        <v>132</v>
      </c>
      <c r="K258" s="69" t="n">
        <v>354</v>
      </c>
      <c r="L258" s="69" t="n">
        <v>158</v>
      </c>
      <c r="M258" s="69" t="n">
        <v>226</v>
      </c>
      <c r="N258" s="69" t="n">
        <v>207</v>
      </c>
      <c r="O258" s="69" t="n">
        <v>284</v>
      </c>
      <c r="P258" s="69" t="n">
        <v>250</v>
      </c>
    </row>
    <row r="259" ht="15.75" customHeight="1" s="45">
      <c r="A259" s="61" t="n">
        <v>46101</v>
      </c>
      <c r="B259" s="62" t="inlineStr">
        <is>
          <t>Antes-Projeto</t>
        </is>
      </c>
      <c r="C259" s="68" t="inlineStr">
        <is>
          <t>GAEs Classificadas</t>
        </is>
      </c>
      <c r="D259" s="69" t="n">
        <v>217</v>
      </c>
      <c r="E259" s="69" t="n">
        <v>154</v>
      </c>
      <c r="F259" s="69" t="n">
        <v>147</v>
      </c>
      <c r="G259" s="69" t="n">
        <v>126</v>
      </c>
      <c r="H259" s="69" t="n">
        <v>111</v>
      </c>
      <c r="I259" s="69" t="n">
        <v>163</v>
      </c>
      <c r="J259" s="69" t="n">
        <v>122</v>
      </c>
      <c r="K259" s="69" t="n">
        <v>338</v>
      </c>
      <c r="L259" s="69" t="n">
        <v>152</v>
      </c>
      <c r="M259" s="69" t="n">
        <v>214</v>
      </c>
      <c r="N259" s="69" t="n">
        <v>198</v>
      </c>
      <c r="O259" s="69" t="n">
        <v>257</v>
      </c>
      <c r="P259" s="69" t="n">
        <v>240</v>
      </c>
    </row>
    <row r="260" ht="15.75" customHeight="1" s="45">
      <c r="A260" s="61" t="n">
        <v>46101</v>
      </c>
      <c r="B260" s="62" t="inlineStr">
        <is>
          <t>Antes-Projeto</t>
        </is>
      </c>
      <c r="C260" s="70" t="inlineStr">
        <is>
          <t>Percentual de GAEs abertas classificadas</t>
        </is>
      </c>
      <c r="D260" s="71">
        <f>IFERROR(D259/D258,"-")</f>
        <v/>
      </c>
      <c r="E260" s="71">
        <f>IFERROR(E259/E258,"-")</f>
        <v/>
      </c>
      <c r="F260" s="71">
        <f>IFERROR(F259/F258,"-")</f>
        <v/>
      </c>
      <c r="G260" s="71">
        <f>IFERROR(G259/G258,"-")</f>
        <v/>
      </c>
      <c r="H260" s="71">
        <f>IFERROR(H259/H258,"-")</f>
        <v/>
      </c>
      <c r="I260" s="71">
        <f>IFERROR(I259/I258,"-")</f>
        <v/>
      </c>
      <c r="J260" s="71">
        <f>IFERROR(J259/J258,"-")</f>
        <v/>
      </c>
      <c r="K260" s="71">
        <f>IFERROR(K259/K258,"-")</f>
        <v/>
      </c>
      <c r="L260" s="71">
        <f>IFERROR(L259/L258,"-")</f>
        <v/>
      </c>
      <c r="M260" s="71">
        <f>IFERROR(M259/M258,"-")</f>
        <v/>
      </c>
      <c r="N260" s="71">
        <f>IFERROR(N259/N258,"-")</f>
        <v/>
      </c>
      <c r="O260" s="71">
        <f>IFERROR(O259/O258,"-")</f>
        <v/>
      </c>
      <c r="P260" s="71">
        <f>IFERROR(P259/P258,"-")</f>
        <v/>
      </c>
    </row>
    <row r="261" ht="15.75" customHeight="1" s="45">
      <c r="A261" s="61" t="n">
        <v>46101</v>
      </c>
      <c r="B261" s="62" t="inlineStr">
        <is>
          <t>Antes-Projeto</t>
        </is>
      </c>
      <c r="C261" s="72" t="inlineStr">
        <is>
          <t>Tempo Médio — 🟡 Amarelo (hh:mm)</t>
        </is>
      </c>
      <c r="D261" s="73" t="n">
        <v>0.07726851851851851</v>
      </c>
      <c r="E261" s="73" t="n">
        <v>0.1672337962962963</v>
      </c>
      <c r="F261" s="73" t="n">
        <v>0.09082175925925925</v>
      </c>
      <c r="G261" s="73" t="n">
        <v>0.1197569444444444</v>
      </c>
      <c r="H261" s="73" t="n">
        <v>0.05655092592592593</v>
      </c>
      <c r="I261" s="73" t="n">
        <v>0.0299537037037037</v>
      </c>
      <c r="J261" s="73" t="n">
        <v>0.07403935185185186</v>
      </c>
      <c r="K261" s="73" t="n">
        <v>0.100462962962963</v>
      </c>
      <c r="L261" s="73" t="n">
        <v>0.08287037037037037</v>
      </c>
      <c r="M261" s="73" t="n">
        <v>0.065</v>
      </c>
      <c r="N261" s="73" t="n">
        <v>0.1069907407407407</v>
      </c>
      <c r="O261" s="73" t="n">
        <v>0.08555555555555555</v>
      </c>
      <c r="P261" s="73" t="n">
        <v>0.06431712962962963</v>
      </c>
    </row>
    <row r="262" ht="15.75" customHeight="1" s="45">
      <c r="A262" s="61" t="n">
        <v>46101</v>
      </c>
      <c r="B262" s="62" t="inlineStr">
        <is>
          <t>Antes-Projeto</t>
        </is>
      </c>
      <c r="C262" s="74" t="inlineStr">
        <is>
          <t>Tempo Médio — 🟠 Laranja (hh:mm)</t>
        </is>
      </c>
      <c r="D262" s="75" t="n">
        <v>0.01997685185185185</v>
      </c>
      <c r="E262" s="75" t="n">
        <v>0.01111111111111111</v>
      </c>
      <c r="F262" s="75" t="n">
        <v>0.005821759259259259</v>
      </c>
      <c r="G262" s="75" t="n">
        <v>0.005775462962962963</v>
      </c>
      <c r="H262" s="75" t="n">
        <v>0.009780092592592592</v>
      </c>
      <c r="I262" s="75" t="n">
        <v>0.005266203703703703</v>
      </c>
      <c r="J262" s="75" t="n">
        <v>0.006851851851851852</v>
      </c>
      <c r="K262" s="75" t="n">
        <v>0.01775462962962963</v>
      </c>
      <c r="L262" s="75" t="n">
        <v>0.009143518518518518</v>
      </c>
      <c r="M262" s="75" t="n">
        <v>0.02150462962962963</v>
      </c>
      <c r="N262" s="75" t="n">
        <v>0.01774305555555556</v>
      </c>
      <c r="O262" s="75" t="n">
        <v>0.0253587962962963</v>
      </c>
      <c r="P262" s="75" t="n">
        <v>0.01363425925925926</v>
      </c>
    </row>
    <row r="263" ht="15.75" customHeight="1" s="45">
      <c r="A263" s="76" t="n">
        <v>46101</v>
      </c>
      <c r="B263" s="77" t="inlineStr">
        <is>
          <t>Antes-Projeto</t>
        </is>
      </c>
      <c r="C263" s="78" t="inlineStr">
        <is>
          <t>Tempo Médio — 🟢 Verde   (hh:mm)</t>
        </is>
      </c>
      <c r="D263" s="79" t="n">
        <v>0.04230324074074074</v>
      </c>
      <c r="E263" s="79" t="n">
        <v>0.2027199074074074</v>
      </c>
      <c r="F263" s="79" t="n">
        <v>0.07648148148148148</v>
      </c>
      <c r="G263" s="79" t="n">
        <v>0.1894328703703704</v>
      </c>
      <c r="H263" s="79" t="n">
        <v>0.09916666666666667</v>
      </c>
      <c r="I263" s="79" t="n">
        <v>0.09577546296296297</v>
      </c>
      <c r="J263" s="79" t="n">
        <v>0.1198263888888889</v>
      </c>
      <c r="K263" s="79" t="n">
        <v>0.1365277777777778</v>
      </c>
      <c r="L263" s="79" t="n">
        <v>0.1298263888888889</v>
      </c>
      <c r="M263" s="79" t="n">
        <v>0.07457175925925925</v>
      </c>
      <c r="N263" s="79" t="n">
        <v>0.1168171296296296</v>
      </c>
      <c r="O263" s="79" t="n">
        <v>0.09193287037037037</v>
      </c>
      <c r="P263" s="79" t="n">
        <v>0.1218171296296296</v>
      </c>
    </row>
    <row r="264" ht="15.75" customHeight="1" s="45">
      <c r="A264" s="57" t="n">
        <v>46102</v>
      </c>
      <c r="B264" s="58" t="inlineStr">
        <is>
          <t>Antes-Projeto</t>
        </is>
      </c>
      <c r="C264" s="59" t="inlineStr">
        <is>
          <t>Acolhim. + Atend. Urgência + Atend. UPA</t>
        </is>
      </c>
      <c r="D264" s="60">
        <f>SUM(D265:D267)</f>
        <v/>
      </c>
      <c r="E264" s="60">
        <f>SUM(E265:E267)</f>
        <v/>
      </c>
      <c r="F264" s="60">
        <f>SUM(F265:F267)</f>
        <v/>
      </c>
      <c r="G264" s="60">
        <f>SUM(G265:G267)</f>
        <v/>
      </c>
      <c r="H264" s="60">
        <f>SUM(H265:H267)</f>
        <v/>
      </c>
      <c r="I264" s="60">
        <f>SUM(I265:I267)</f>
        <v/>
      </c>
      <c r="J264" s="60">
        <f>SUM(J265:J267)</f>
        <v/>
      </c>
      <c r="K264" s="60">
        <f>SUM(K265:K267)</f>
        <v/>
      </c>
      <c r="L264" s="60">
        <f>SUM(L265:L267)</f>
        <v/>
      </c>
      <c r="M264" s="60">
        <f>SUM(M265:M267)</f>
        <v/>
      </c>
      <c r="N264" s="60">
        <f>SUM(N265:N267)</f>
        <v/>
      </c>
      <c r="O264" s="60">
        <f>SUM(O265:O267)</f>
        <v/>
      </c>
      <c r="P264" s="60">
        <f>SUM(P265:P267)</f>
        <v/>
      </c>
    </row>
    <row r="265" ht="15.75" customHeight="1" s="45">
      <c r="A265" s="61" t="n">
        <v>46102</v>
      </c>
      <c r="B265" s="62" t="inlineStr">
        <is>
          <t>Antes-Projeto</t>
        </is>
      </c>
      <c r="C265" s="63" t="inlineStr">
        <is>
          <t>Acolhimento c/ Classif. de Risco</t>
        </is>
      </c>
      <c r="D265" s="64" t="n">
        <v>208</v>
      </c>
      <c r="E265" s="64" t="n">
        <v>122</v>
      </c>
      <c r="F265" s="64" t="n">
        <v>153</v>
      </c>
      <c r="G265" s="64" t="n">
        <v>83</v>
      </c>
      <c r="H265" s="64" t="n">
        <v>100</v>
      </c>
      <c r="I265" s="64" t="n">
        <v>184</v>
      </c>
      <c r="J265" s="64" t="n">
        <v>105</v>
      </c>
      <c r="K265" s="64" t="n">
        <v>237</v>
      </c>
      <c r="L265" s="64" t="n">
        <v>114</v>
      </c>
      <c r="M265" s="64" t="n">
        <v>230</v>
      </c>
      <c r="N265" s="64" t="n">
        <v>196</v>
      </c>
      <c r="O265" s="64" t="n">
        <v>252</v>
      </c>
      <c r="P265" s="64" t="n">
        <v>213</v>
      </c>
    </row>
    <row r="266" ht="15.75" customHeight="1" s="45">
      <c r="A266" s="61" t="n">
        <v>46102</v>
      </c>
      <c r="B266" s="62" t="inlineStr">
        <is>
          <t>Antes-Projeto</t>
        </is>
      </c>
      <c r="C266" s="65" t="inlineStr">
        <is>
          <t>Atend. Urgência Obs. ≤ 24h</t>
        </is>
      </c>
      <c r="D266" s="66" t="n">
        <v>34</v>
      </c>
      <c r="E266" s="66" t="n">
        <v>81</v>
      </c>
      <c r="F266" s="66" t="n">
        <v>19</v>
      </c>
      <c r="G266" s="66" t="n">
        <v>28</v>
      </c>
      <c r="H266" s="66" t="n">
        <v>10</v>
      </c>
      <c r="I266" s="66" t="n">
        <v>56</v>
      </c>
      <c r="J266" s="66" t="n">
        <v>54</v>
      </c>
      <c r="K266" s="66" t="n">
        <v>92</v>
      </c>
      <c r="L266" s="66" t="n">
        <v>44</v>
      </c>
      <c r="M266" s="66" t="n">
        <v>15</v>
      </c>
      <c r="N266" s="66" t="n">
        <v>23</v>
      </c>
      <c r="O266" s="66" t="n">
        <v>14</v>
      </c>
      <c r="P266" s="66" t="n">
        <v>26</v>
      </c>
    </row>
    <row r="267" ht="15.75" customHeight="1" s="45">
      <c r="A267" s="61" t="n">
        <v>46102</v>
      </c>
      <c r="B267" s="62" t="inlineStr">
        <is>
          <t>Antes-Projeto</t>
        </is>
      </c>
      <c r="C267" s="63" t="inlineStr">
        <is>
          <t>Atend. Médico em UPA</t>
        </is>
      </c>
      <c r="D267" s="64" t="n">
        <v>77</v>
      </c>
      <c r="E267" s="64" t="n">
        <v>43</v>
      </c>
      <c r="F267" s="64" t="n">
        <v>70</v>
      </c>
      <c r="G267" s="64" t="n">
        <v>63</v>
      </c>
      <c r="H267" s="64" t="n">
        <v>83</v>
      </c>
      <c r="I267" s="64" t="n">
        <v>163</v>
      </c>
      <c r="J267" s="64" t="n">
        <v>50</v>
      </c>
      <c r="K267" s="64" t="n">
        <v>112</v>
      </c>
      <c r="L267" s="64" t="n">
        <v>69</v>
      </c>
      <c r="M267" s="64" t="n">
        <v>147</v>
      </c>
      <c r="N267" s="64" t="n">
        <v>151</v>
      </c>
      <c r="O267" s="64" t="n">
        <v>185</v>
      </c>
      <c r="P267" s="64" t="n">
        <v>125</v>
      </c>
    </row>
    <row r="268" ht="15.75" customHeight="1" s="45">
      <c r="A268" s="61" t="n">
        <v>46102</v>
      </c>
      <c r="B268" s="62" t="inlineStr">
        <is>
          <t>Antes-Projeto</t>
        </is>
      </c>
      <c r="C268" s="65" t="inlineStr">
        <is>
          <t>Exames Laboratoriais</t>
        </is>
      </c>
      <c r="D268" s="66" t="n">
        <v>600</v>
      </c>
      <c r="E268" s="66" t="n">
        <v>274</v>
      </c>
      <c r="F268" s="66" t="n">
        <v>348</v>
      </c>
      <c r="G268" s="66" t="n">
        <v>310</v>
      </c>
      <c r="H268" s="66" t="n">
        <v>225</v>
      </c>
      <c r="I268" s="66" t="n">
        <v>583</v>
      </c>
      <c r="J268" s="66" t="n">
        <v>358</v>
      </c>
      <c r="K268" s="66" t="n">
        <v>652</v>
      </c>
      <c r="L268" s="66" t="n">
        <v>564</v>
      </c>
      <c r="M268" s="66" t="n">
        <v>549</v>
      </c>
      <c r="N268" s="66" t="n">
        <v>413</v>
      </c>
      <c r="O268" s="66" t="n">
        <v>432</v>
      </c>
      <c r="P268" s="66" t="n">
        <v>464</v>
      </c>
    </row>
    <row r="269" ht="15.75" customHeight="1" s="45">
      <c r="A269" s="61" t="n">
        <v>46102</v>
      </c>
      <c r="B269" s="62" t="inlineStr">
        <is>
          <t>Antes-Projeto</t>
        </is>
      </c>
      <c r="C269" s="63" t="inlineStr">
        <is>
          <t>Radiografias</t>
        </is>
      </c>
      <c r="D269" s="64" t="n">
        <v>13</v>
      </c>
      <c r="E269" s="64" t="n">
        <v>15</v>
      </c>
      <c r="F269" s="64" t="n">
        <v>27</v>
      </c>
      <c r="G269" s="64" t="n">
        <v>18</v>
      </c>
      <c r="H269" s="64" t="n">
        <v>15</v>
      </c>
      <c r="I269" s="64" t="n">
        <v>31</v>
      </c>
      <c r="J269" s="64" t="n">
        <v>24</v>
      </c>
      <c r="K269" s="64" t="n">
        <v>47</v>
      </c>
      <c r="L269" s="64" t="n">
        <v>28</v>
      </c>
      <c r="M269" s="64" t="n">
        <v>44</v>
      </c>
      <c r="N269" s="64" t="n">
        <v>18</v>
      </c>
      <c r="O269" s="64" t="n">
        <v>46</v>
      </c>
      <c r="P269" s="64" t="n">
        <v>32</v>
      </c>
    </row>
    <row r="270" ht="15.75" customHeight="1" s="45">
      <c r="A270" s="61" t="n">
        <v>46102</v>
      </c>
      <c r="B270" s="62" t="inlineStr">
        <is>
          <t>Antes-Projeto</t>
        </is>
      </c>
      <c r="C270" s="65" t="inlineStr">
        <is>
          <t>Eletrocardiogramas</t>
        </is>
      </c>
      <c r="D270" s="66" t="n">
        <v>11</v>
      </c>
      <c r="E270" s="66" t="n">
        <v>11</v>
      </c>
      <c r="F270" s="66" t="n">
        <v>11</v>
      </c>
      <c r="G270" s="66" t="n">
        <v>7</v>
      </c>
      <c r="H270" s="66" t="n">
        <v>16</v>
      </c>
      <c r="I270" s="66" t="n">
        <v>11</v>
      </c>
      <c r="J270" s="66" t="n">
        <v>10</v>
      </c>
      <c r="K270" s="66" t="n">
        <v>12</v>
      </c>
      <c r="L270" s="66" t="n">
        <v>12</v>
      </c>
      <c r="M270" s="66" t="n">
        <v>11</v>
      </c>
      <c r="N270" s="66" t="n">
        <v>3</v>
      </c>
      <c r="O270" s="66" t="n">
        <v>11</v>
      </c>
      <c r="P270" s="66" t="n">
        <v>17</v>
      </c>
    </row>
    <row r="271" ht="15.75" customHeight="1" s="45">
      <c r="A271" s="61" t="n">
        <v>46102</v>
      </c>
      <c r="B271" s="62" t="inlineStr">
        <is>
          <t>Antes-Projeto</t>
        </is>
      </c>
      <c r="C271" s="68" t="inlineStr">
        <is>
          <t>GAEs Abertas</t>
        </is>
      </c>
      <c r="D271" s="69" t="n">
        <v>219</v>
      </c>
      <c r="E271" s="69" t="n">
        <v>124</v>
      </c>
      <c r="F271" s="69" t="n">
        <v>158</v>
      </c>
      <c r="G271" s="69" t="n">
        <v>86</v>
      </c>
      <c r="H271" s="69" t="n">
        <v>101</v>
      </c>
      <c r="I271" s="69" t="n">
        <v>210</v>
      </c>
      <c r="J271" s="69" t="n">
        <v>104</v>
      </c>
      <c r="K271" s="69" t="n">
        <v>278</v>
      </c>
      <c r="L271" s="69" t="n">
        <v>126</v>
      </c>
      <c r="M271" s="69" t="n">
        <v>248</v>
      </c>
      <c r="N271" s="69" t="n">
        <v>205</v>
      </c>
      <c r="O271" s="69" t="n">
        <v>267</v>
      </c>
      <c r="P271" s="69" t="n">
        <v>215</v>
      </c>
    </row>
    <row r="272" ht="15.75" customHeight="1" s="45">
      <c r="A272" s="61" t="n">
        <v>46102</v>
      </c>
      <c r="B272" s="62" t="inlineStr">
        <is>
          <t>Antes-Projeto</t>
        </is>
      </c>
      <c r="C272" s="68" t="inlineStr">
        <is>
          <t>GAEs Classificadas</t>
        </is>
      </c>
      <c r="D272" s="69" t="n">
        <v>213</v>
      </c>
      <c r="E272" s="69" t="n">
        <v>123</v>
      </c>
      <c r="F272" s="69" t="n">
        <v>155</v>
      </c>
      <c r="G272" s="69" t="n">
        <v>83</v>
      </c>
      <c r="H272" s="69" t="n">
        <v>101</v>
      </c>
      <c r="I272" s="69" t="n">
        <v>188</v>
      </c>
      <c r="J272" s="69" t="n">
        <v>103</v>
      </c>
      <c r="K272" s="69" t="n">
        <v>235</v>
      </c>
      <c r="L272" s="69" t="n">
        <v>117</v>
      </c>
      <c r="M272" s="69" t="n">
        <v>238</v>
      </c>
      <c r="N272" s="69" t="n">
        <v>195</v>
      </c>
      <c r="O272" s="69" t="n">
        <v>254</v>
      </c>
      <c r="P272" s="69" t="n">
        <v>212</v>
      </c>
    </row>
    <row r="273" ht="15.75" customHeight="1" s="45">
      <c r="A273" s="61" t="n">
        <v>46102</v>
      </c>
      <c r="B273" s="62" t="inlineStr">
        <is>
          <t>Antes-Projeto</t>
        </is>
      </c>
      <c r="C273" s="70" t="inlineStr">
        <is>
          <t>Percentual de GAEs abertas classificadas</t>
        </is>
      </c>
      <c r="D273" s="71">
        <f>IFERROR(D272/D271,"-")</f>
        <v/>
      </c>
      <c r="E273" s="71">
        <f>IFERROR(E272/E271,"-")</f>
        <v/>
      </c>
      <c r="F273" s="71">
        <f>IFERROR(F272/F271,"-")</f>
        <v/>
      </c>
      <c r="G273" s="71">
        <f>IFERROR(G272/G271,"-")</f>
        <v/>
      </c>
      <c r="H273" s="71">
        <f>IFERROR(H272/H271,"-")</f>
        <v/>
      </c>
      <c r="I273" s="71">
        <f>IFERROR(I272/I271,"-")</f>
        <v/>
      </c>
      <c r="J273" s="71">
        <f>IFERROR(J272/J271,"-")</f>
        <v/>
      </c>
      <c r="K273" s="71">
        <f>IFERROR(K272/K271,"-")</f>
        <v/>
      </c>
      <c r="L273" s="71">
        <f>IFERROR(L272/L271,"-")</f>
        <v/>
      </c>
      <c r="M273" s="71">
        <f>IFERROR(M272/M271,"-")</f>
        <v/>
      </c>
      <c r="N273" s="71">
        <f>IFERROR(N272/N271,"-")</f>
        <v/>
      </c>
      <c r="O273" s="71">
        <f>IFERROR(O272/O271,"-")</f>
        <v/>
      </c>
      <c r="P273" s="71">
        <f>IFERROR(P272/P271,"-")</f>
        <v/>
      </c>
    </row>
    <row r="274" ht="15.75" customHeight="1" s="45">
      <c r="A274" s="61" t="n">
        <v>46102</v>
      </c>
      <c r="B274" s="62" t="inlineStr">
        <is>
          <t>Antes-Projeto</t>
        </is>
      </c>
      <c r="C274" s="72" t="inlineStr">
        <is>
          <t>Tempo Médio — 🟡 Amarelo (hh:mm)</t>
        </is>
      </c>
      <c r="D274" s="73" t="n">
        <v>0.04013888888888889</v>
      </c>
      <c r="E274" s="73" t="n">
        <v>0.07253472222222222</v>
      </c>
      <c r="F274" s="73" t="n">
        <v>0.08152777777777778</v>
      </c>
      <c r="G274" s="73" t="n">
        <v>0.04072916666666666</v>
      </c>
      <c r="H274" s="73" t="n">
        <v>0.03086805555555555</v>
      </c>
      <c r="I274" s="73" t="n">
        <v>0.09331018518518519</v>
      </c>
      <c r="J274" s="73" t="n">
        <v>0.07096064814814815</v>
      </c>
      <c r="K274" s="73" t="n">
        <v>0.1045138888888889</v>
      </c>
      <c r="L274" s="73" t="n">
        <v>0.06861111111111111</v>
      </c>
      <c r="M274" s="73" t="n">
        <v>0.02252314814814815</v>
      </c>
      <c r="N274" s="73" t="n">
        <v>0.03930555555555556</v>
      </c>
      <c r="O274" s="73" t="n">
        <v>0.04628472222222222</v>
      </c>
      <c r="P274" s="73" t="n">
        <v>0.06864583333333334</v>
      </c>
    </row>
    <row r="275" ht="15.75" customHeight="1" s="45">
      <c r="A275" s="61" t="n">
        <v>46102</v>
      </c>
      <c r="B275" s="62" t="inlineStr">
        <is>
          <t>Antes-Projeto</t>
        </is>
      </c>
      <c r="C275" s="74" t="inlineStr">
        <is>
          <t>Tempo Médio — 🟠 Laranja (hh:mm)</t>
        </is>
      </c>
      <c r="D275" s="75" t="n">
        <v>0.01803240740740741</v>
      </c>
      <c r="E275" s="75" t="n">
        <v>0.005590277777777777</v>
      </c>
      <c r="F275" s="75" t="n">
        <v>0.01166666666666667</v>
      </c>
      <c r="G275" s="75" t="n">
        <v>0.005115740740740741</v>
      </c>
      <c r="H275" s="75" t="n">
        <v>0.005231481481481481</v>
      </c>
      <c r="I275" s="75" t="n">
        <v>0.006539351851851852</v>
      </c>
      <c r="J275" s="75" t="n">
        <v>0.008298611111111111</v>
      </c>
      <c r="K275" s="75" t="n">
        <v>0.0166087962962963</v>
      </c>
      <c r="L275" s="75" t="n">
        <v>0.01368055555555556</v>
      </c>
      <c r="M275" s="75" t="n">
        <v>0.01175925925925926</v>
      </c>
      <c r="N275" s="75" t="n">
        <v>0.008368055555555556</v>
      </c>
      <c r="O275" s="75" t="n">
        <v>0.01278935185185185</v>
      </c>
      <c r="P275" s="75" t="n">
        <v>0.005092592592592593</v>
      </c>
    </row>
    <row r="276" ht="15.75" customHeight="1" s="45">
      <c r="A276" s="76" t="n">
        <v>46102</v>
      </c>
      <c r="B276" s="77" t="inlineStr">
        <is>
          <t>Antes-Projeto</t>
        </is>
      </c>
      <c r="C276" s="78" t="inlineStr">
        <is>
          <t>Tempo Médio — 🟢 Verde   (hh:mm)</t>
        </is>
      </c>
      <c r="D276" s="79" t="n">
        <v>0.02828703703703704</v>
      </c>
      <c r="E276" s="79" t="n">
        <v>0.1413541666666667</v>
      </c>
      <c r="F276" s="79" t="n">
        <v>0.1681828703703704</v>
      </c>
      <c r="G276" s="79" t="n">
        <v>0.1205787037037037</v>
      </c>
      <c r="H276" s="79" t="n">
        <v>0.07431712962962964</v>
      </c>
      <c r="I276" s="79" t="n">
        <v>0.1627777777777778</v>
      </c>
      <c r="J276" s="79" t="n">
        <v>0.1782407407407407</v>
      </c>
      <c r="K276" s="79" t="n">
        <v>0.1208101851851852</v>
      </c>
      <c r="L276" s="79" t="n">
        <v>0.1241435185185185</v>
      </c>
      <c r="M276" s="79" t="n">
        <v>0.1045601851851852</v>
      </c>
      <c r="N276" s="79" t="n">
        <v>0.1495949074074074</v>
      </c>
      <c r="O276" s="79" t="n">
        <v>0.1084143518518518</v>
      </c>
      <c r="P276" s="79" t="n">
        <v>0.09256944444444444</v>
      </c>
    </row>
    <row r="277" ht="15.75" customHeight="1" s="45">
      <c r="A277" s="57" t="n">
        <v>46103</v>
      </c>
      <c r="B277" s="58" t="inlineStr">
        <is>
          <t>Antes-Projeto</t>
        </is>
      </c>
      <c r="C277" s="59" t="inlineStr">
        <is>
          <t>Acolhim. + Atend. Urgência + Atend. UPA</t>
        </is>
      </c>
      <c r="D277" s="60">
        <f>SUM(D278:D280)</f>
        <v/>
      </c>
      <c r="E277" s="60">
        <f>SUM(E278:E280)</f>
        <v/>
      </c>
      <c r="F277" s="60">
        <f>SUM(F278:F280)</f>
        <v/>
      </c>
      <c r="G277" s="60">
        <f>SUM(G278:G280)</f>
        <v/>
      </c>
      <c r="H277" s="60">
        <f>SUM(H278:H280)</f>
        <v/>
      </c>
      <c r="I277" s="60">
        <f>SUM(I278:I280)</f>
        <v/>
      </c>
      <c r="J277" s="60">
        <f>SUM(J278:J280)</f>
        <v/>
      </c>
      <c r="K277" s="60">
        <f>SUM(K278:K280)</f>
        <v/>
      </c>
      <c r="L277" s="60">
        <f>SUM(L278:L280)</f>
        <v/>
      </c>
      <c r="M277" s="60">
        <f>SUM(M278:M280)</f>
        <v/>
      </c>
      <c r="N277" s="60">
        <f>SUM(N278:N280)</f>
        <v/>
      </c>
      <c r="O277" s="60">
        <f>SUM(O278:O280)</f>
        <v/>
      </c>
      <c r="P277" s="60">
        <f>SUM(P278:P280)</f>
        <v/>
      </c>
    </row>
    <row r="278" ht="15.75" customHeight="1" s="45">
      <c r="A278" s="61" t="n">
        <v>46103</v>
      </c>
      <c r="B278" s="62" t="inlineStr">
        <is>
          <t>Antes-Projeto</t>
        </is>
      </c>
      <c r="C278" s="65" t="inlineStr">
        <is>
          <t>Acolhimento c/ Classif. de Risco</t>
        </is>
      </c>
      <c r="D278" s="66" t="n">
        <v>164</v>
      </c>
      <c r="E278" s="66" t="n">
        <v>125</v>
      </c>
      <c r="F278" s="66" t="n">
        <v>130</v>
      </c>
      <c r="G278" s="66" t="n">
        <v>74</v>
      </c>
      <c r="H278" s="66" t="n">
        <v>112</v>
      </c>
      <c r="I278" s="66" t="n">
        <v>164</v>
      </c>
      <c r="J278" s="66" t="n">
        <v>92</v>
      </c>
      <c r="K278" s="66" t="n">
        <v>255</v>
      </c>
      <c r="L278" s="66" t="n">
        <v>128</v>
      </c>
      <c r="M278" s="66" t="n">
        <v>220</v>
      </c>
      <c r="N278" s="66" t="n">
        <v>179</v>
      </c>
      <c r="O278" s="66" t="n">
        <v>241</v>
      </c>
      <c r="P278" s="66" t="n">
        <v>217</v>
      </c>
    </row>
    <row r="279" ht="15.75" customHeight="1" s="45">
      <c r="A279" s="61" t="n">
        <v>46103</v>
      </c>
      <c r="B279" s="62" t="inlineStr">
        <is>
          <t>Antes-Projeto</t>
        </is>
      </c>
      <c r="C279" s="63" t="inlineStr">
        <is>
          <t>Atend. Urgência Obs. ≤ 24h</t>
        </is>
      </c>
      <c r="D279" s="64" t="n">
        <v>23</v>
      </c>
      <c r="E279" s="64" t="n">
        <v>50</v>
      </c>
      <c r="F279" s="64" t="n">
        <v>19</v>
      </c>
      <c r="G279" s="64" t="n">
        <v>43</v>
      </c>
      <c r="H279" s="64" t="n">
        <v>14</v>
      </c>
      <c r="I279" s="64" t="n">
        <v>27</v>
      </c>
      <c r="J279" s="64" t="n">
        <v>42</v>
      </c>
      <c r="K279" s="64" t="n">
        <v>52</v>
      </c>
      <c r="L279" s="64" t="n">
        <v>53</v>
      </c>
      <c r="M279" s="64" t="n">
        <v>18</v>
      </c>
      <c r="N279" s="64" t="n">
        <v>19</v>
      </c>
      <c r="O279" s="64" t="n">
        <v>11</v>
      </c>
      <c r="P279" s="64" t="n">
        <v>34</v>
      </c>
    </row>
    <row r="280" ht="15.75" customHeight="1" s="45">
      <c r="A280" s="61" t="n">
        <v>46103</v>
      </c>
      <c r="B280" s="62" t="inlineStr">
        <is>
          <t>Antes-Projeto</t>
        </is>
      </c>
      <c r="C280" s="65" t="inlineStr">
        <is>
          <t>Atend. Médico em UPA</t>
        </is>
      </c>
      <c r="D280" s="66" t="n">
        <v>69</v>
      </c>
      <c r="E280" s="66" t="n">
        <v>57</v>
      </c>
      <c r="F280" s="66" t="n">
        <v>101</v>
      </c>
      <c r="G280" s="66" t="n">
        <v>55</v>
      </c>
      <c r="H280" s="66" t="n">
        <v>43</v>
      </c>
      <c r="I280" s="66" t="n">
        <v>156</v>
      </c>
      <c r="J280" s="66" t="n">
        <v>87</v>
      </c>
      <c r="K280" s="66" t="n">
        <v>90</v>
      </c>
      <c r="L280" s="66" t="n">
        <v>64</v>
      </c>
      <c r="M280" s="66" t="n">
        <v>57</v>
      </c>
      <c r="N280" s="66" t="n">
        <v>135</v>
      </c>
      <c r="O280" s="66" t="n">
        <v>183</v>
      </c>
      <c r="P280" s="66" t="n">
        <v>150</v>
      </c>
    </row>
    <row r="281" ht="15.75" customHeight="1" s="45">
      <c r="A281" s="61" t="n">
        <v>46103</v>
      </c>
      <c r="B281" s="62" t="inlineStr">
        <is>
          <t>Antes-Projeto</t>
        </is>
      </c>
      <c r="C281" s="63" t="inlineStr">
        <is>
          <t>Exames Laboratoriais</t>
        </is>
      </c>
      <c r="D281" s="64" t="n">
        <v>412</v>
      </c>
      <c r="E281" s="64" t="n">
        <v>227</v>
      </c>
      <c r="F281" s="64" t="n">
        <v>338</v>
      </c>
      <c r="G281" s="64" t="n">
        <v>287</v>
      </c>
      <c r="H281" s="64" t="n">
        <v>180</v>
      </c>
      <c r="I281" s="64" t="n">
        <v>572</v>
      </c>
      <c r="J281" s="64" t="n">
        <v>296</v>
      </c>
      <c r="K281" s="64" t="n">
        <v>530</v>
      </c>
      <c r="L281" s="64" t="n">
        <v>420</v>
      </c>
      <c r="M281" s="64" t="n">
        <v>382</v>
      </c>
      <c r="N281" s="64" t="n">
        <v>476</v>
      </c>
      <c r="O281" s="64" t="n">
        <v>322</v>
      </c>
      <c r="P281" s="64" t="n">
        <v>333</v>
      </c>
    </row>
    <row r="282" ht="15.75" customHeight="1" s="45">
      <c r="A282" s="61" t="n">
        <v>46103</v>
      </c>
      <c r="B282" s="62" t="inlineStr">
        <is>
          <t>Antes-Projeto</t>
        </is>
      </c>
      <c r="C282" s="65" t="inlineStr">
        <is>
          <t>Radiografias</t>
        </is>
      </c>
      <c r="D282" s="66" t="n">
        <v>10</v>
      </c>
      <c r="E282" s="66" t="n">
        <v>6</v>
      </c>
      <c r="F282" s="66" t="n">
        <v>19</v>
      </c>
      <c r="G282" s="66" t="n">
        <v>12</v>
      </c>
      <c r="H282" s="66" t="n">
        <v>15</v>
      </c>
      <c r="I282" s="66" t="n">
        <v>17</v>
      </c>
      <c r="J282" s="66" t="n">
        <v>6</v>
      </c>
      <c r="K282" s="66" t="n">
        <v>36</v>
      </c>
      <c r="L282" s="66" t="n">
        <v>19</v>
      </c>
      <c r="M282" s="66" t="n">
        <v>44</v>
      </c>
      <c r="N282" s="66" t="n">
        <v>25</v>
      </c>
      <c r="O282" s="66" t="n">
        <v>44</v>
      </c>
      <c r="P282" s="66" t="n">
        <v>54</v>
      </c>
    </row>
    <row r="283" ht="15.75" customHeight="1" s="45">
      <c r="A283" s="61" t="n">
        <v>46103</v>
      </c>
      <c r="B283" s="62" t="inlineStr">
        <is>
          <t>Antes-Projeto</t>
        </is>
      </c>
      <c r="C283" s="63" t="inlineStr">
        <is>
          <t>Eletrocardiogramas</t>
        </is>
      </c>
      <c r="D283" s="64" t="n">
        <v>6</v>
      </c>
      <c r="E283" s="64" t="n">
        <v>8</v>
      </c>
      <c r="F283" s="64" t="n">
        <v>10</v>
      </c>
      <c r="G283" s="64" t="n">
        <v>10</v>
      </c>
      <c r="H283" s="64" t="n">
        <v>5</v>
      </c>
      <c r="I283" s="64" t="n">
        <v>14</v>
      </c>
      <c r="J283" s="64" t="n">
        <v>7</v>
      </c>
      <c r="K283" s="64" t="n">
        <v>17</v>
      </c>
      <c r="L283" s="64" t="n">
        <v>8</v>
      </c>
      <c r="M283" s="64" t="n">
        <v>9</v>
      </c>
      <c r="N283" s="64" t="n">
        <v>4</v>
      </c>
      <c r="O283" s="64" t="n">
        <v>14</v>
      </c>
      <c r="P283" s="64" t="n">
        <v>27</v>
      </c>
    </row>
    <row r="284" ht="15.75" customHeight="1" s="45">
      <c r="A284" s="61" t="n">
        <v>46103</v>
      </c>
      <c r="B284" s="62" t="inlineStr">
        <is>
          <t>Antes-Projeto</t>
        </is>
      </c>
      <c r="C284" s="68" t="inlineStr">
        <is>
          <t>GAEs Abertas</t>
        </is>
      </c>
      <c r="D284" s="69" t="n">
        <v>182</v>
      </c>
      <c r="E284" s="69" t="n">
        <v>130</v>
      </c>
      <c r="F284" s="69" t="n">
        <v>129</v>
      </c>
      <c r="G284" s="69" t="n">
        <v>75</v>
      </c>
      <c r="H284" s="69" t="n">
        <v>112</v>
      </c>
      <c r="I284" s="69" t="n">
        <v>172</v>
      </c>
      <c r="J284" s="69" t="n">
        <v>96</v>
      </c>
      <c r="K284" s="69" t="n">
        <v>283</v>
      </c>
      <c r="L284" s="69" t="n">
        <v>136</v>
      </c>
      <c r="M284" s="69" t="n">
        <v>224</v>
      </c>
      <c r="N284" s="69" t="n">
        <v>190</v>
      </c>
      <c r="O284" s="69" t="n">
        <v>249</v>
      </c>
      <c r="P284" s="69" t="n">
        <v>224</v>
      </c>
    </row>
    <row r="285" ht="15.75" customHeight="1" s="45">
      <c r="A285" s="61" t="n">
        <v>46103</v>
      </c>
      <c r="B285" s="62" t="inlineStr">
        <is>
          <t>Antes-Projeto</t>
        </is>
      </c>
      <c r="C285" s="68" t="inlineStr">
        <is>
          <t>GAEs Classificadas</t>
        </is>
      </c>
      <c r="D285" s="69" t="n">
        <v>158</v>
      </c>
      <c r="E285" s="69" t="n">
        <v>126</v>
      </c>
      <c r="F285" s="69" t="n">
        <v>127</v>
      </c>
      <c r="G285" s="69" t="n">
        <v>74</v>
      </c>
      <c r="H285" s="69" t="n">
        <v>111</v>
      </c>
      <c r="I285" s="69" t="n">
        <v>158</v>
      </c>
      <c r="J285" s="69" t="n">
        <v>93</v>
      </c>
      <c r="K285" s="69" t="n">
        <v>257</v>
      </c>
      <c r="L285" s="69" t="n">
        <v>124</v>
      </c>
      <c r="M285" s="69" t="n">
        <v>213</v>
      </c>
      <c r="N285" s="69" t="n">
        <v>179</v>
      </c>
      <c r="O285" s="69" t="n">
        <v>239</v>
      </c>
      <c r="P285" s="69" t="n">
        <v>217</v>
      </c>
    </row>
    <row r="286" ht="15.75" customHeight="1" s="45">
      <c r="A286" s="61" t="n">
        <v>46103</v>
      </c>
      <c r="B286" s="62" t="inlineStr">
        <is>
          <t>Antes-Projeto</t>
        </is>
      </c>
      <c r="C286" s="70" t="inlineStr">
        <is>
          <t>Percentual de GAEs abertas classificadas</t>
        </is>
      </c>
      <c r="D286" s="71">
        <f>IFERROR(D285/D284,"-")</f>
        <v/>
      </c>
      <c r="E286" s="71">
        <f>IFERROR(E285/E284,"-")</f>
        <v/>
      </c>
      <c r="F286" s="71">
        <f>IFERROR(F285/F284,"-")</f>
        <v/>
      </c>
      <c r="G286" s="71">
        <f>IFERROR(G285/G284,"-")</f>
        <v/>
      </c>
      <c r="H286" s="71">
        <f>IFERROR(H285/H284,"-")</f>
        <v/>
      </c>
      <c r="I286" s="71">
        <f>IFERROR(I285/I284,"-")</f>
        <v/>
      </c>
      <c r="J286" s="71">
        <f>IFERROR(J285/J284,"-")</f>
        <v/>
      </c>
      <c r="K286" s="71">
        <f>IFERROR(K285/K284,"-")</f>
        <v/>
      </c>
      <c r="L286" s="71">
        <f>IFERROR(L285/L284,"-")</f>
        <v/>
      </c>
      <c r="M286" s="71">
        <f>IFERROR(M285/M284,"-")</f>
        <v/>
      </c>
      <c r="N286" s="71">
        <f>IFERROR(N285/N284,"-")</f>
        <v/>
      </c>
      <c r="O286" s="71">
        <f>IFERROR(O285/O284,"-")</f>
        <v/>
      </c>
      <c r="P286" s="71">
        <f>IFERROR(P285/P284,"-")</f>
        <v/>
      </c>
    </row>
    <row r="287" ht="15.75" customHeight="1" s="45">
      <c r="A287" s="61" t="n">
        <v>46103</v>
      </c>
      <c r="B287" s="62" t="inlineStr">
        <is>
          <t>Antes-Projeto</t>
        </is>
      </c>
      <c r="C287" s="72" t="inlineStr">
        <is>
          <t>Tempo Médio — 🟡 Amarelo (hh:mm)</t>
        </is>
      </c>
      <c r="D287" s="73" t="n">
        <v>0.0722337962962963</v>
      </c>
      <c r="E287" s="73" t="n">
        <v>0.08635416666666666</v>
      </c>
      <c r="F287" s="73" t="n">
        <v>0.02337962962962963</v>
      </c>
      <c r="G287" s="73" t="n">
        <v>0.03782407407407407</v>
      </c>
      <c r="H287" s="73" t="n">
        <v>0.07454861111111111</v>
      </c>
      <c r="I287" s="73" t="n">
        <v>0.08123842592592592</v>
      </c>
      <c r="J287" s="73" t="n">
        <v>0.1223726851851852</v>
      </c>
      <c r="K287" s="73" t="n">
        <v>0.09493055555555556</v>
      </c>
      <c r="L287" s="73" t="n">
        <v>0.1623958333333333</v>
      </c>
      <c r="M287" s="73" t="n">
        <v>0.02569444444444444</v>
      </c>
      <c r="N287" s="73" t="n">
        <v>0.1309143518518519</v>
      </c>
      <c r="O287" s="73" t="n">
        <v>0.07163194444444444</v>
      </c>
      <c r="P287" s="73" t="n">
        <v>0.04065972222222222</v>
      </c>
    </row>
    <row r="288" ht="15.75" customHeight="1" s="45">
      <c r="A288" s="61" t="n">
        <v>46103</v>
      </c>
      <c r="B288" s="62" t="inlineStr">
        <is>
          <t>Antes-Projeto</t>
        </is>
      </c>
      <c r="C288" s="74" t="inlineStr">
        <is>
          <t>Tempo Médio — 🟠 Laranja (hh:mm)</t>
        </is>
      </c>
      <c r="D288" s="75" t="n">
        <v>0.01657407407407407</v>
      </c>
      <c r="E288" s="75" t="n">
        <v>0.02869212962962963</v>
      </c>
      <c r="F288" s="75" t="n">
        <v>0.005</v>
      </c>
      <c r="G288" s="75" t="n">
        <v>0.006284722222222222</v>
      </c>
      <c r="H288" s="75" t="n">
        <v>0.02842592592592593</v>
      </c>
      <c r="I288" s="75" t="n">
        <v>0.006608796296296297</v>
      </c>
      <c r="J288" s="75" t="n">
        <v>0.0134375</v>
      </c>
      <c r="K288" s="75" t="n">
        <v>0.02396990740740741</v>
      </c>
      <c r="L288" s="75" t="n">
        <v>0.01439814814814815</v>
      </c>
      <c r="M288" s="75" t="n">
        <v>0.02118055555555556</v>
      </c>
      <c r="N288" s="75" t="n">
        <v>0.00986111111111111</v>
      </c>
      <c r="O288" s="75" t="n">
        <v>0.01347222222222222</v>
      </c>
      <c r="P288" s="75" t="n">
        <v>0.01061342592592593</v>
      </c>
    </row>
    <row r="289" ht="15.75" customHeight="1" s="45">
      <c r="A289" s="76" t="n">
        <v>46103</v>
      </c>
      <c r="B289" s="77" t="inlineStr">
        <is>
          <t>Antes-Projeto</t>
        </is>
      </c>
      <c r="C289" s="78" t="inlineStr">
        <is>
          <t>Tempo Médio — 🟢 Verde   (hh:mm)</t>
        </is>
      </c>
      <c r="D289" s="79" t="n">
        <v>0.06142361111111111</v>
      </c>
      <c r="E289" s="79" t="n">
        <v>0.06884259259259259</v>
      </c>
      <c r="F289" s="79" t="n">
        <v>0.05787037037037037</v>
      </c>
      <c r="G289" s="79" t="n">
        <v>0.09693287037037036</v>
      </c>
      <c r="H289" s="79" t="n">
        <v>0.1153819444444444</v>
      </c>
      <c r="I289" s="79" t="n">
        <v>0.2264120370370371</v>
      </c>
      <c r="J289" s="79" t="n">
        <v>0.2009837962962963</v>
      </c>
      <c r="K289" s="79" t="n">
        <v>0.1410069444444444</v>
      </c>
      <c r="L289" s="79" t="n">
        <v>0.1418518518518518</v>
      </c>
      <c r="M289" s="79" t="n">
        <v>0.05274305555555556</v>
      </c>
      <c r="N289" s="79" t="n">
        <v>0.3014930555555556</v>
      </c>
      <c r="O289" s="79" t="n">
        <v>0.1644791666666667</v>
      </c>
      <c r="P289" s="79" t="n">
        <v>0.06618055555555556</v>
      </c>
    </row>
    <row r="290" ht="15.75" customHeight="1" s="45">
      <c r="A290" s="57" t="n">
        <v>46104</v>
      </c>
      <c r="B290" s="58" t="inlineStr">
        <is>
          <t>Antes-Projeto</t>
        </is>
      </c>
      <c r="C290" s="59" t="inlineStr">
        <is>
          <t>Acolhim. + Atend. Urgência + Atend. UPA</t>
        </is>
      </c>
      <c r="D290" s="60">
        <f>SUM(D291:D293)</f>
        <v/>
      </c>
      <c r="E290" s="60">
        <f>SUM(E291:E293)</f>
        <v/>
      </c>
      <c r="F290" s="60">
        <f>SUM(F291:F293)</f>
        <v/>
      </c>
      <c r="G290" s="60">
        <f>SUM(G291:G293)</f>
        <v/>
      </c>
      <c r="H290" s="60">
        <f>SUM(H291:H293)</f>
        <v/>
      </c>
      <c r="I290" s="60">
        <f>SUM(I291:I293)</f>
        <v/>
      </c>
      <c r="J290" s="60">
        <f>SUM(J291:J293)</f>
        <v/>
      </c>
      <c r="K290" s="60">
        <f>SUM(K291:K293)</f>
        <v/>
      </c>
      <c r="L290" s="60">
        <f>SUM(L291:L293)</f>
        <v/>
      </c>
      <c r="M290" s="60">
        <f>SUM(M291:M293)</f>
        <v/>
      </c>
      <c r="N290" s="60">
        <f>SUM(N291:N293)</f>
        <v/>
      </c>
      <c r="O290" s="60">
        <f>SUM(O291:O293)</f>
        <v/>
      </c>
      <c r="P290" s="60">
        <f>SUM(P291:P293)</f>
        <v/>
      </c>
    </row>
    <row r="291" ht="15.75" customHeight="1" s="45">
      <c r="A291" s="61" t="n">
        <v>46104</v>
      </c>
      <c r="B291" s="62" t="inlineStr">
        <is>
          <t>Antes-Projeto</t>
        </is>
      </c>
      <c r="C291" s="63" t="inlineStr">
        <is>
          <t>Acolhimento c/ Classif. de Risco</t>
        </is>
      </c>
      <c r="D291" s="64" t="n">
        <v>273</v>
      </c>
      <c r="E291" s="64" t="n">
        <v>159</v>
      </c>
      <c r="F291" s="64" t="n">
        <v>199</v>
      </c>
      <c r="G291" s="64" t="n">
        <v>132</v>
      </c>
      <c r="H291" s="64" t="n">
        <v>137</v>
      </c>
      <c r="I291" s="64" t="n">
        <v>233</v>
      </c>
      <c r="J291" s="64" t="n">
        <v>132</v>
      </c>
      <c r="K291" s="64" t="n">
        <v>359</v>
      </c>
      <c r="L291" s="64" t="n">
        <v>162</v>
      </c>
      <c r="M291" s="64" t="n">
        <v>311</v>
      </c>
      <c r="N291" s="64" t="n">
        <v>227</v>
      </c>
      <c r="O291" s="64" t="n">
        <v>308</v>
      </c>
      <c r="P291" s="64" t="n">
        <v>286</v>
      </c>
    </row>
    <row r="292" ht="15.75" customHeight="1" s="45">
      <c r="A292" s="61" t="n">
        <v>46104</v>
      </c>
      <c r="B292" s="62" t="inlineStr">
        <is>
          <t>Antes-Projeto</t>
        </is>
      </c>
      <c r="C292" s="65" t="inlineStr">
        <is>
          <t>Atend. Urgência Obs. ≤ 24h</t>
        </is>
      </c>
      <c r="D292" s="66" t="n">
        <v>28</v>
      </c>
      <c r="E292" s="66" t="n">
        <v>59</v>
      </c>
      <c r="F292" s="66" t="n">
        <v>17</v>
      </c>
      <c r="G292" s="66" t="n">
        <v>33</v>
      </c>
      <c r="H292" s="66" t="n">
        <v>14</v>
      </c>
      <c r="I292" s="66" t="n">
        <v>26</v>
      </c>
      <c r="J292" s="66" t="n">
        <v>39</v>
      </c>
      <c r="K292" s="66" t="n">
        <v>44</v>
      </c>
      <c r="L292" s="66" t="n">
        <v>44</v>
      </c>
      <c r="M292" s="66" t="n">
        <v>38</v>
      </c>
      <c r="N292" s="66" t="n">
        <v>41</v>
      </c>
      <c r="O292" s="66" t="n">
        <v>10</v>
      </c>
      <c r="P292" s="66" t="n">
        <v>50</v>
      </c>
    </row>
    <row r="293" ht="15.75" customHeight="1" s="45">
      <c r="A293" s="61" t="n">
        <v>46104</v>
      </c>
      <c r="B293" s="62" t="inlineStr">
        <is>
          <t>Antes-Projeto</t>
        </is>
      </c>
      <c r="C293" s="63" t="inlineStr">
        <is>
          <t>Atend. Médico em UPA</t>
        </is>
      </c>
      <c r="D293" s="64" t="n">
        <v>103</v>
      </c>
      <c r="E293" s="64" t="n">
        <v>54</v>
      </c>
      <c r="F293" s="64" t="n">
        <v>112</v>
      </c>
      <c r="G293" s="64" t="n">
        <v>66</v>
      </c>
      <c r="H293" s="64" t="n">
        <v>51</v>
      </c>
      <c r="I293" s="64" t="n">
        <v>202</v>
      </c>
      <c r="J293" s="64" t="n">
        <v>66</v>
      </c>
      <c r="K293" s="64" t="n">
        <v>264</v>
      </c>
      <c r="L293" s="64" t="n">
        <v>87</v>
      </c>
      <c r="M293" s="64" t="n">
        <v>162</v>
      </c>
      <c r="N293" s="64" t="n">
        <v>139</v>
      </c>
      <c r="O293" s="64" t="n">
        <v>239</v>
      </c>
      <c r="P293" s="64" t="n">
        <v>143</v>
      </c>
    </row>
    <row r="294" ht="15.75" customHeight="1" s="45">
      <c r="A294" s="61" t="n">
        <v>46104</v>
      </c>
      <c r="B294" s="62" t="inlineStr">
        <is>
          <t>Antes-Projeto</t>
        </is>
      </c>
      <c r="C294" s="65" t="inlineStr">
        <is>
          <t>Exames Laboratoriais</t>
        </is>
      </c>
      <c r="D294" s="66" t="n">
        <v>577</v>
      </c>
      <c r="E294" s="66" t="n">
        <v>342</v>
      </c>
      <c r="F294" s="66" t="n">
        <v>310</v>
      </c>
      <c r="G294" s="66" t="n">
        <v>266</v>
      </c>
      <c r="H294" s="66" t="n">
        <v>249</v>
      </c>
      <c r="I294" s="66" t="n">
        <v>610</v>
      </c>
      <c r="J294" s="66" t="n">
        <v>372</v>
      </c>
      <c r="K294" s="66" t="n">
        <v>778</v>
      </c>
      <c r="L294" s="66" t="n">
        <v>522</v>
      </c>
      <c r="M294" s="66" t="n">
        <v>416</v>
      </c>
      <c r="N294" s="66" t="n">
        <v>497</v>
      </c>
      <c r="O294" s="66" t="n">
        <v>516</v>
      </c>
      <c r="P294" s="66" t="n">
        <v>787</v>
      </c>
    </row>
    <row r="295" ht="15.75" customHeight="1" s="45">
      <c r="A295" s="61" t="n">
        <v>46104</v>
      </c>
      <c r="B295" s="62" t="inlineStr">
        <is>
          <t>Antes-Projeto</t>
        </is>
      </c>
      <c r="C295" s="63" t="inlineStr">
        <is>
          <t>Radiografias</t>
        </is>
      </c>
      <c r="D295" s="64" t="n">
        <v>21</v>
      </c>
      <c r="E295" s="64" t="n">
        <v>17</v>
      </c>
      <c r="F295" s="64" t="n">
        <v>26</v>
      </c>
      <c r="G295" s="64" t="n">
        <v>7</v>
      </c>
      <c r="H295" s="64" t="n">
        <v>5</v>
      </c>
      <c r="I295" s="64" t="n">
        <v>42</v>
      </c>
      <c r="J295" s="64" t="n">
        <v>28</v>
      </c>
      <c r="K295" s="64" t="n">
        <v>68</v>
      </c>
      <c r="L295" s="64" t="n">
        <v>33</v>
      </c>
      <c r="M295" s="64" t="n">
        <v>51</v>
      </c>
      <c r="N295" s="64" t="n">
        <v>29</v>
      </c>
      <c r="O295" s="64" t="n">
        <v>56</v>
      </c>
      <c r="P295" s="64" t="n">
        <v>75</v>
      </c>
    </row>
    <row r="296" ht="15.75" customHeight="1" s="45">
      <c r="A296" s="61" t="n">
        <v>46104</v>
      </c>
      <c r="B296" s="62" t="inlineStr">
        <is>
          <t>Antes-Projeto</t>
        </is>
      </c>
      <c r="C296" s="65" t="inlineStr">
        <is>
          <t>Eletrocardiogramas</t>
        </is>
      </c>
      <c r="D296" s="66" t="n">
        <v>15</v>
      </c>
      <c r="E296" s="66" t="n">
        <v>2</v>
      </c>
      <c r="F296" s="66" t="n">
        <v>21</v>
      </c>
      <c r="G296" s="66" t="n">
        <v>3</v>
      </c>
      <c r="H296" s="66" t="n">
        <v>5</v>
      </c>
      <c r="I296" s="66" t="n">
        <v>29</v>
      </c>
      <c r="J296" s="66" t="n">
        <v>5</v>
      </c>
      <c r="K296" s="66" t="n">
        <v>17</v>
      </c>
      <c r="L296" s="66" t="n">
        <v>20</v>
      </c>
      <c r="M296" s="66" t="n">
        <v>8</v>
      </c>
      <c r="N296" s="66" t="n">
        <v>7</v>
      </c>
      <c r="O296" s="66" t="n">
        <v>12</v>
      </c>
      <c r="P296" s="66" t="n">
        <v>19</v>
      </c>
    </row>
    <row r="297" ht="15.75" customHeight="1" s="45">
      <c r="A297" s="61" t="n">
        <v>46104</v>
      </c>
      <c r="B297" s="62" t="inlineStr">
        <is>
          <t>Antes-Projeto</t>
        </is>
      </c>
      <c r="C297" s="68" t="inlineStr">
        <is>
          <t>GAEs Abertas</t>
        </is>
      </c>
      <c r="D297" s="69" t="n">
        <v>303</v>
      </c>
      <c r="E297" s="69" t="n">
        <v>172</v>
      </c>
      <c r="F297" s="69" t="n">
        <v>223</v>
      </c>
      <c r="G297" s="69" t="n">
        <v>154</v>
      </c>
      <c r="H297" s="69" t="n">
        <v>147</v>
      </c>
      <c r="I297" s="69" t="n">
        <v>258</v>
      </c>
      <c r="J297" s="69" t="n">
        <v>137</v>
      </c>
      <c r="K297" s="69" t="n">
        <v>405</v>
      </c>
      <c r="L297" s="69" t="n">
        <v>179</v>
      </c>
      <c r="M297" s="69" t="n">
        <v>341</v>
      </c>
      <c r="N297" s="69" t="n">
        <v>249</v>
      </c>
      <c r="O297" s="69" t="n">
        <v>321</v>
      </c>
      <c r="P297" s="69" t="n">
        <v>305</v>
      </c>
    </row>
    <row r="298" ht="15.75" customHeight="1" s="45">
      <c r="A298" s="61" t="n">
        <v>46104</v>
      </c>
      <c r="B298" s="62" t="inlineStr">
        <is>
          <t>Antes-Projeto</t>
        </is>
      </c>
      <c r="C298" s="68" t="inlineStr">
        <is>
          <t>GAEs Classificadas</t>
        </is>
      </c>
      <c r="D298" s="69" t="n">
        <v>274</v>
      </c>
      <c r="E298" s="69" t="n">
        <v>157</v>
      </c>
      <c r="F298" s="69" t="n">
        <v>200</v>
      </c>
      <c r="G298" s="69" t="n">
        <v>133</v>
      </c>
      <c r="H298" s="69" t="n">
        <v>136</v>
      </c>
      <c r="I298" s="69" t="n">
        <v>231</v>
      </c>
      <c r="J298" s="69" t="n">
        <v>131</v>
      </c>
      <c r="K298" s="69" t="n">
        <v>356</v>
      </c>
      <c r="L298" s="69" t="n">
        <v>163</v>
      </c>
      <c r="M298" s="69" t="n">
        <v>317</v>
      </c>
      <c r="N298" s="69" t="n">
        <v>230</v>
      </c>
      <c r="O298" s="69" t="n">
        <v>313</v>
      </c>
      <c r="P298" s="69" t="n">
        <v>286</v>
      </c>
    </row>
    <row r="299" ht="15.75" customHeight="1" s="45">
      <c r="A299" s="61" t="n">
        <v>46104</v>
      </c>
      <c r="B299" s="62" t="inlineStr">
        <is>
          <t>Antes-Projeto</t>
        </is>
      </c>
      <c r="C299" s="70" t="inlineStr">
        <is>
          <t>Percentual de GAEs abertas classificadas</t>
        </is>
      </c>
      <c r="D299" s="71">
        <f>IFERROR(D298/D297,"-")</f>
        <v/>
      </c>
      <c r="E299" s="71">
        <f>IFERROR(E298/E297,"-")</f>
        <v/>
      </c>
      <c r="F299" s="71">
        <f>IFERROR(F298/F297,"-")</f>
        <v/>
      </c>
      <c r="G299" s="71">
        <f>IFERROR(G298/G297,"-")</f>
        <v/>
      </c>
      <c r="H299" s="71">
        <f>IFERROR(H298/H297,"-")</f>
        <v/>
      </c>
      <c r="I299" s="71">
        <f>IFERROR(I298/I297,"-")</f>
        <v/>
      </c>
      <c r="J299" s="71">
        <f>IFERROR(J298/J297,"-")</f>
        <v/>
      </c>
      <c r="K299" s="71">
        <f>IFERROR(K298/K297,"-")</f>
        <v/>
      </c>
      <c r="L299" s="71">
        <f>IFERROR(L298/L297,"-")</f>
        <v/>
      </c>
      <c r="M299" s="71">
        <f>IFERROR(M298/M297,"-")</f>
        <v/>
      </c>
      <c r="N299" s="71">
        <f>IFERROR(N298/N297,"-")</f>
        <v/>
      </c>
      <c r="O299" s="71">
        <f>IFERROR(O298/O297,"-")</f>
        <v/>
      </c>
      <c r="P299" s="71">
        <f>IFERROR(P298/P297,"-")</f>
        <v/>
      </c>
    </row>
    <row r="300" ht="15.75" customHeight="1" s="45">
      <c r="A300" s="61" t="n">
        <v>46104</v>
      </c>
      <c r="B300" s="62" t="inlineStr">
        <is>
          <t>Antes-Projeto</t>
        </is>
      </c>
      <c r="C300" s="72" t="inlineStr">
        <is>
          <t>Tempo Médio — 🟡 Amarelo (hh:mm)</t>
        </is>
      </c>
      <c r="D300" s="73" t="n">
        <v>0.1302430555555555</v>
      </c>
      <c r="E300" s="73" t="n">
        <v>0.1048032407407407</v>
      </c>
      <c r="F300" s="73" t="n">
        <v>0.08592592592592592</v>
      </c>
      <c r="G300" s="73" t="n">
        <v>0.1454282407407407</v>
      </c>
      <c r="H300" s="73" t="n">
        <v>0.08440972222222222</v>
      </c>
      <c r="I300" s="73" t="n">
        <v>0.0848263888888889</v>
      </c>
      <c r="J300" s="73" t="n">
        <v>0.1282291666666667</v>
      </c>
      <c r="K300" s="73" t="n">
        <v>0.07505787037037037</v>
      </c>
      <c r="L300" s="73" t="n">
        <v>0.1390856481481481</v>
      </c>
      <c r="M300" s="73" t="n">
        <v>0.03334490740740741</v>
      </c>
      <c r="N300" s="73" t="n">
        <v>0.1403587962962963</v>
      </c>
      <c r="O300" s="73" t="n">
        <v>0.07843749999999999</v>
      </c>
      <c r="P300" s="73" t="n">
        <v>0.05855324074074074</v>
      </c>
    </row>
    <row r="301" ht="15.75" customHeight="1" s="45">
      <c r="A301" s="61" t="n">
        <v>46104</v>
      </c>
      <c r="B301" s="62" t="inlineStr">
        <is>
          <t>Antes-Projeto</t>
        </is>
      </c>
      <c r="C301" s="74" t="inlineStr">
        <is>
          <t>Tempo Médio — 🟠 Laranja (hh:mm)</t>
        </is>
      </c>
      <c r="D301" s="75" t="n">
        <v>0.008113425925925927</v>
      </c>
      <c r="E301" s="75" t="n">
        <v>0.01538194444444444</v>
      </c>
      <c r="F301" s="75" t="n">
        <v>0.006886574074074074</v>
      </c>
      <c r="G301" s="75" t="n">
        <v>0.06873842592592593</v>
      </c>
      <c r="H301" s="75" t="n">
        <v>0.008900462962962962</v>
      </c>
      <c r="I301" s="75" t="n">
        <v>0.005543981481481481</v>
      </c>
      <c r="J301" s="75" t="n">
        <v>0.01043981481481481</v>
      </c>
      <c r="K301" s="75" t="n">
        <v>0.02298611111111111</v>
      </c>
      <c r="L301" s="75" t="n">
        <v>0.01275462962962963</v>
      </c>
      <c r="M301" s="75" t="n">
        <v>0.01956018518518518</v>
      </c>
      <c r="N301" s="75" t="n">
        <v>0.02203703703703704</v>
      </c>
      <c r="O301" s="75" t="n">
        <v>0.01246527777777778</v>
      </c>
      <c r="P301" s="75" t="n">
        <v>0.01251157407407407</v>
      </c>
    </row>
    <row r="302" ht="15.75" customHeight="1" s="45">
      <c r="A302" s="76" t="n">
        <v>46104</v>
      </c>
      <c r="B302" s="77" t="inlineStr">
        <is>
          <t>Antes-Projeto</t>
        </is>
      </c>
      <c r="C302" s="78" t="inlineStr">
        <is>
          <t>Tempo Médio — 🟢 Verde   (hh:mm)</t>
        </is>
      </c>
      <c r="D302" s="79" t="n">
        <v>0.03719907407407407</v>
      </c>
      <c r="E302" s="79" t="n">
        <v>0.2258564814814815</v>
      </c>
      <c r="F302" s="79" t="n">
        <v>0.09996527777777778</v>
      </c>
      <c r="G302" s="79" t="n">
        <v>0.1829282407407407</v>
      </c>
      <c r="H302" s="79" t="n">
        <v>0.1105671296296296</v>
      </c>
      <c r="I302" s="79" t="n">
        <v>0.1574537037037037</v>
      </c>
      <c r="J302" s="79" t="n">
        <v>0.2814236111111111</v>
      </c>
      <c r="K302" s="79" t="n">
        <v>0.1336805555555556</v>
      </c>
      <c r="L302" s="79" t="n">
        <v>0.2307638888888889</v>
      </c>
      <c r="M302" s="79" t="n">
        <v>0.08394675925925926</v>
      </c>
      <c r="N302" s="79" t="n">
        <v>0.2379166666666667</v>
      </c>
      <c r="O302" s="79" t="n">
        <v>0.08549768518518519</v>
      </c>
      <c r="P302" s="79" t="n">
        <v>0.1240740740740741</v>
      </c>
    </row>
    <row r="303" ht="15.75" customHeight="1" s="45">
      <c r="A303" s="57" t="n">
        <v>46105</v>
      </c>
      <c r="B303" s="58" t="inlineStr">
        <is>
          <t>Antes-Projeto</t>
        </is>
      </c>
      <c r="C303" s="59" t="inlineStr">
        <is>
          <t>Acolhim. + Atend. Urgência + Atend. UPA</t>
        </is>
      </c>
      <c r="D303" s="60">
        <f>SUM(D304:D306)</f>
        <v/>
      </c>
      <c r="E303" s="60">
        <f>SUM(E304:E306)</f>
        <v/>
      </c>
      <c r="F303" s="60">
        <f>SUM(F304:F306)</f>
        <v/>
      </c>
      <c r="G303" s="60">
        <f>SUM(G304:G306)</f>
        <v/>
      </c>
      <c r="H303" s="60">
        <f>SUM(H304:H306)</f>
        <v/>
      </c>
      <c r="I303" s="60">
        <f>SUM(I304:I306)</f>
        <v/>
      </c>
      <c r="J303" s="60">
        <f>SUM(J304:J306)</f>
        <v/>
      </c>
      <c r="K303" s="60">
        <f>SUM(K304:K306)</f>
        <v/>
      </c>
      <c r="L303" s="60">
        <f>SUM(L304:L306)</f>
        <v/>
      </c>
      <c r="M303" s="60">
        <f>SUM(M304:M306)</f>
        <v/>
      </c>
      <c r="N303" s="60">
        <f>SUM(N304:N306)</f>
        <v/>
      </c>
      <c r="O303" s="60">
        <f>SUM(O304:O306)</f>
        <v/>
      </c>
      <c r="P303" s="60">
        <f>SUM(P304:P306)</f>
        <v/>
      </c>
    </row>
    <row r="304" ht="15.75" customHeight="1" s="45">
      <c r="A304" s="61" t="n">
        <v>46105</v>
      </c>
      <c r="B304" s="62" t="inlineStr">
        <is>
          <t>Antes-Projeto</t>
        </is>
      </c>
      <c r="C304" s="65" t="inlineStr">
        <is>
          <t>Acolhimento c/ Classif. de Risco</t>
        </is>
      </c>
      <c r="D304" s="66" t="n">
        <v>253</v>
      </c>
      <c r="E304" s="66" t="n">
        <v>176</v>
      </c>
      <c r="F304" s="66" t="n">
        <v>197</v>
      </c>
      <c r="G304" s="66" t="n">
        <v>131</v>
      </c>
      <c r="H304" s="66" t="n">
        <v>144</v>
      </c>
      <c r="I304" s="66" t="n">
        <v>208</v>
      </c>
      <c r="J304" s="66" t="n">
        <v>113</v>
      </c>
      <c r="K304" s="66" t="n">
        <v>358</v>
      </c>
      <c r="L304" s="66" t="n">
        <v>140</v>
      </c>
      <c r="M304" s="66" t="n">
        <v>275</v>
      </c>
      <c r="N304" s="66" t="n">
        <v>214</v>
      </c>
      <c r="O304" s="66" t="n">
        <v>313</v>
      </c>
      <c r="P304" s="66" t="n">
        <v>249</v>
      </c>
    </row>
    <row r="305" ht="15.75" customHeight="1" s="45">
      <c r="A305" s="61" t="n">
        <v>46105</v>
      </c>
      <c r="B305" s="62" t="inlineStr">
        <is>
          <t>Antes-Projeto</t>
        </is>
      </c>
      <c r="C305" s="63" t="inlineStr">
        <is>
          <t>Atend. Urgência Obs. ≤ 24h</t>
        </is>
      </c>
      <c r="D305" s="64" t="n">
        <v>24</v>
      </c>
      <c r="E305" s="64" t="n">
        <v>58</v>
      </c>
      <c r="F305" s="64" t="n">
        <v>23</v>
      </c>
      <c r="G305" s="64" t="n">
        <v>21</v>
      </c>
      <c r="H305" s="64" t="n">
        <v>12</v>
      </c>
      <c r="I305" s="64" t="n">
        <v>32</v>
      </c>
      <c r="J305" s="64" t="n">
        <v>54</v>
      </c>
      <c r="K305" s="64" t="n">
        <v>43</v>
      </c>
      <c r="L305" s="64" t="n">
        <v>43</v>
      </c>
      <c r="M305" s="64" t="n">
        <v>26</v>
      </c>
      <c r="N305" s="64" t="n">
        <v>27</v>
      </c>
      <c r="O305" s="64" t="n">
        <v>14</v>
      </c>
      <c r="P305" s="64" t="n">
        <v>17</v>
      </c>
    </row>
    <row r="306" ht="15.75" customHeight="1" s="45">
      <c r="A306" s="61" t="n">
        <v>46105</v>
      </c>
      <c r="B306" s="62" t="inlineStr">
        <is>
          <t>Antes-Projeto</t>
        </is>
      </c>
      <c r="C306" s="65" t="inlineStr">
        <is>
          <t>Atend. Médico em UPA</t>
        </is>
      </c>
      <c r="D306" s="66" t="n">
        <v>128</v>
      </c>
      <c r="E306" s="66" t="n">
        <v>121</v>
      </c>
      <c r="F306" s="66" t="n">
        <v>141</v>
      </c>
      <c r="G306" s="66" t="n">
        <v>67</v>
      </c>
      <c r="H306" s="66" t="n">
        <v>78</v>
      </c>
      <c r="I306" s="66" t="n">
        <v>120</v>
      </c>
      <c r="J306" s="66" t="n">
        <v>89</v>
      </c>
      <c r="K306" s="66" t="n">
        <v>298</v>
      </c>
      <c r="L306" s="66" t="n">
        <v>74</v>
      </c>
      <c r="M306" s="66" t="n">
        <v>149</v>
      </c>
      <c r="N306" s="66" t="n">
        <v>163</v>
      </c>
      <c r="O306" s="66" t="n">
        <v>228</v>
      </c>
      <c r="P306" s="66" t="n">
        <v>124</v>
      </c>
    </row>
    <row r="307" ht="15.75" customHeight="1" s="45">
      <c r="A307" s="61" t="n">
        <v>46105</v>
      </c>
      <c r="B307" s="62" t="inlineStr">
        <is>
          <t>Antes-Projeto</t>
        </is>
      </c>
      <c r="C307" s="63" t="inlineStr">
        <is>
          <t>Exames Laboratoriais</t>
        </is>
      </c>
      <c r="D307" s="64" t="n">
        <v>617</v>
      </c>
      <c r="E307" s="64" t="n">
        <v>189</v>
      </c>
      <c r="F307" s="64" t="n">
        <v>292</v>
      </c>
      <c r="G307" s="64" t="n">
        <v>121</v>
      </c>
      <c r="H307" s="64" t="n">
        <v>286</v>
      </c>
      <c r="I307" s="64" t="n">
        <v>533</v>
      </c>
      <c r="J307" s="64" t="n">
        <v>277</v>
      </c>
      <c r="K307" s="64" t="n">
        <v>828</v>
      </c>
      <c r="L307" s="64" t="n">
        <v>559</v>
      </c>
      <c r="M307" s="64" t="n">
        <v>690</v>
      </c>
      <c r="N307" s="64" t="n">
        <v>614</v>
      </c>
      <c r="O307" s="64" t="n">
        <v>392</v>
      </c>
      <c r="P307" s="64" t="n">
        <v>354</v>
      </c>
    </row>
    <row r="308" ht="15.75" customHeight="1" s="45">
      <c r="A308" s="61" t="n">
        <v>46105</v>
      </c>
      <c r="B308" s="62" t="inlineStr">
        <is>
          <t>Antes-Projeto</t>
        </is>
      </c>
      <c r="C308" s="65" t="inlineStr">
        <is>
          <t>Radiografias</t>
        </is>
      </c>
      <c r="D308" s="66" t="n">
        <v>18</v>
      </c>
      <c r="E308" s="66" t="n">
        <v>30</v>
      </c>
      <c r="F308" s="66" t="n">
        <v>37</v>
      </c>
      <c r="G308" s="66" t="n">
        <v>12</v>
      </c>
      <c r="H308" s="66" t="n">
        <v>14</v>
      </c>
      <c r="I308" s="66" t="n">
        <v>26</v>
      </c>
      <c r="J308" s="66" t="n">
        <v>23</v>
      </c>
      <c r="K308" s="66" t="n">
        <v>54</v>
      </c>
      <c r="L308" s="66" t="n">
        <v>27</v>
      </c>
      <c r="M308" s="66" t="n">
        <v>45</v>
      </c>
      <c r="N308" s="66" t="n">
        <v>32</v>
      </c>
      <c r="O308" s="66" t="n">
        <v>49</v>
      </c>
      <c r="P308" s="66" t="n">
        <v>30</v>
      </c>
    </row>
    <row r="309" ht="15.75" customHeight="1" s="45">
      <c r="A309" s="61" t="n">
        <v>46105</v>
      </c>
      <c r="B309" s="62" t="inlineStr">
        <is>
          <t>Antes-Projeto</t>
        </is>
      </c>
      <c r="C309" s="63" t="inlineStr">
        <is>
          <t>Eletrocardiogramas</t>
        </is>
      </c>
      <c r="D309" s="64" t="n">
        <v>9</v>
      </c>
      <c r="E309" s="64" t="n">
        <v>4</v>
      </c>
      <c r="F309" s="64" t="n">
        <v>29</v>
      </c>
      <c r="G309" s="64" t="n">
        <v>4</v>
      </c>
      <c r="H309" s="64" t="n">
        <v>6</v>
      </c>
      <c r="I309" s="64" t="n">
        <v>15</v>
      </c>
      <c r="J309" s="64" t="n">
        <v>6</v>
      </c>
      <c r="K309" s="64" t="n">
        <v>33</v>
      </c>
      <c r="L309" s="64" t="n">
        <v>17</v>
      </c>
      <c r="M309" s="64" t="n">
        <v>6</v>
      </c>
      <c r="N309" s="64" t="n">
        <v>18</v>
      </c>
      <c r="O309" s="64" t="n">
        <v>15</v>
      </c>
      <c r="P309" s="64" t="n">
        <v>16</v>
      </c>
    </row>
    <row r="310" ht="15.75" customHeight="1" s="45">
      <c r="A310" s="61" t="n">
        <v>46105</v>
      </c>
      <c r="B310" s="62" t="inlineStr">
        <is>
          <t>Antes-Projeto</t>
        </is>
      </c>
      <c r="C310" s="68" t="inlineStr">
        <is>
          <t>GAEs Abertas</t>
        </is>
      </c>
      <c r="D310" s="69" t="n">
        <v>287</v>
      </c>
      <c r="E310" s="69" t="n">
        <v>188</v>
      </c>
      <c r="F310" s="69" t="n">
        <v>203</v>
      </c>
      <c r="G310" s="69" t="n">
        <v>134</v>
      </c>
      <c r="H310" s="69" t="n">
        <v>151</v>
      </c>
      <c r="I310" s="69" t="n">
        <v>235</v>
      </c>
      <c r="J310" s="69" t="n">
        <v>123</v>
      </c>
      <c r="K310" s="69" t="n">
        <v>386</v>
      </c>
      <c r="L310" s="69" t="n">
        <v>141</v>
      </c>
      <c r="M310" s="69" t="n">
        <v>292</v>
      </c>
      <c r="N310" s="69" t="n">
        <v>223</v>
      </c>
      <c r="O310" s="69" t="n">
        <v>325</v>
      </c>
      <c r="P310" s="69" t="n">
        <v>260</v>
      </c>
    </row>
    <row r="311" ht="15.75" customHeight="1" s="45">
      <c r="A311" s="61" t="n">
        <v>46105</v>
      </c>
      <c r="B311" s="62" t="inlineStr">
        <is>
          <t>Antes-Projeto</t>
        </is>
      </c>
      <c r="C311" s="68" t="inlineStr">
        <is>
          <t>GAEs Classificadas</t>
        </is>
      </c>
      <c r="D311" s="69" t="n">
        <v>253</v>
      </c>
      <c r="E311" s="69" t="n">
        <v>176</v>
      </c>
      <c r="F311" s="69" t="n">
        <v>196</v>
      </c>
      <c r="G311" s="69" t="n">
        <v>133</v>
      </c>
      <c r="H311" s="69" t="n">
        <v>144</v>
      </c>
      <c r="I311" s="69" t="n">
        <v>212</v>
      </c>
      <c r="J311" s="69" t="n">
        <v>113</v>
      </c>
      <c r="K311" s="69" t="n">
        <v>362</v>
      </c>
      <c r="L311" s="69" t="n">
        <v>140</v>
      </c>
      <c r="M311" s="69" t="n">
        <v>266</v>
      </c>
      <c r="N311" s="69" t="n">
        <v>212</v>
      </c>
      <c r="O311" s="69" t="n">
        <v>308</v>
      </c>
      <c r="P311" s="69" t="n">
        <v>249</v>
      </c>
    </row>
    <row r="312" ht="15.75" customHeight="1" s="45">
      <c r="A312" s="61" t="n">
        <v>46105</v>
      </c>
      <c r="B312" s="62" t="inlineStr">
        <is>
          <t>Antes-Projeto</t>
        </is>
      </c>
      <c r="C312" s="70" t="inlineStr">
        <is>
          <t>Percentual de GAEs abertas classificadas</t>
        </is>
      </c>
      <c r="D312" s="71">
        <f>IFERROR(D311/D310,"-")</f>
        <v/>
      </c>
      <c r="E312" s="71">
        <f>IFERROR(E311/E310,"-")</f>
        <v/>
      </c>
      <c r="F312" s="71">
        <f>IFERROR(F311/F310,"-")</f>
        <v/>
      </c>
      <c r="G312" s="71">
        <f>IFERROR(G311/G310,"-")</f>
        <v/>
      </c>
      <c r="H312" s="71">
        <f>IFERROR(H311/H310,"-")</f>
        <v/>
      </c>
      <c r="I312" s="71">
        <f>IFERROR(I311/I310,"-")</f>
        <v/>
      </c>
      <c r="J312" s="71">
        <f>IFERROR(J311/J310,"-")</f>
        <v/>
      </c>
      <c r="K312" s="71">
        <f>IFERROR(K311/K310,"-")</f>
        <v/>
      </c>
      <c r="L312" s="71">
        <f>IFERROR(L311/L310,"-")</f>
        <v/>
      </c>
      <c r="M312" s="71">
        <f>IFERROR(M311/M310,"-")</f>
        <v/>
      </c>
      <c r="N312" s="71">
        <f>IFERROR(N311/N310,"-")</f>
        <v/>
      </c>
      <c r="O312" s="71">
        <f>IFERROR(O311/O310,"-")</f>
        <v/>
      </c>
      <c r="P312" s="71">
        <f>IFERROR(P311/P310,"-")</f>
        <v/>
      </c>
    </row>
    <row r="313" ht="15.75" customHeight="1" s="45">
      <c r="A313" s="61" t="n">
        <v>46105</v>
      </c>
      <c r="B313" s="62" t="inlineStr">
        <is>
          <t>Antes-Projeto</t>
        </is>
      </c>
      <c r="C313" s="72" t="inlineStr">
        <is>
          <t>Tempo Médio — 🟡 Amarelo (hh:mm)</t>
        </is>
      </c>
      <c r="D313" s="73" t="n">
        <v>0.1144097222222222</v>
      </c>
      <c r="E313" s="73" t="n">
        <v>0.05137731481481481</v>
      </c>
      <c r="F313" s="73" t="n">
        <v>0.0283912037037037</v>
      </c>
      <c r="G313" s="73" t="n">
        <v>0.04366898148148148</v>
      </c>
      <c r="H313" s="73" t="n">
        <v>0.03864583333333333</v>
      </c>
      <c r="I313" s="73" t="n">
        <v>0.07740740740740741</v>
      </c>
      <c r="J313" s="73" t="n">
        <v>0.07454861111111111</v>
      </c>
      <c r="K313" s="73" t="n">
        <v>0.09420138888888889</v>
      </c>
      <c r="L313" s="73" t="n">
        <v>0.1766666666666667</v>
      </c>
      <c r="M313" s="73" t="n">
        <v>0.05255787037037037</v>
      </c>
      <c r="N313" s="73" t="n">
        <v>0.1687268518518519</v>
      </c>
      <c r="O313" s="73" t="n">
        <v>0.04671296296296296</v>
      </c>
      <c r="P313" s="73" t="n">
        <v>0.1481134259259259</v>
      </c>
    </row>
    <row r="314" ht="15.75" customHeight="1" s="45">
      <c r="A314" s="61" t="n">
        <v>46105</v>
      </c>
      <c r="B314" s="62" t="inlineStr">
        <is>
          <t>Antes-Projeto</t>
        </is>
      </c>
      <c r="C314" s="74" t="inlineStr">
        <is>
          <t>Tempo Médio — 🟠 Laranja (hh:mm)</t>
        </is>
      </c>
      <c r="D314" s="75" t="n">
        <v>0.01450231481481482</v>
      </c>
      <c r="E314" s="75" t="n">
        <v>0.008344907407407407</v>
      </c>
      <c r="F314" s="75" t="n">
        <v>0.006689814814814815</v>
      </c>
      <c r="G314" s="75" t="n">
        <v>0.005613425925925926</v>
      </c>
      <c r="H314" s="75" t="n">
        <v>0.006458333333333333</v>
      </c>
      <c r="I314" s="75" t="n">
        <v>0.005960648148148148</v>
      </c>
      <c r="J314" s="75" t="n">
        <v>0.01702546296296296</v>
      </c>
      <c r="K314" s="75" t="n">
        <v>0.01185185185185185</v>
      </c>
      <c r="L314" s="75" t="n">
        <v>0.01739583333333333</v>
      </c>
      <c r="M314" s="75" t="n">
        <v>0.01479166666666667</v>
      </c>
      <c r="N314" s="75" t="n">
        <v>0.01559027777777778</v>
      </c>
      <c r="O314" s="75" t="n">
        <v>0.007060185185185185</v>
      </c>
      <c r="P314" s="75" t="n">
        <v>0.01365740740740741</v>
      </c>
    </row>
    <row r="315" ht="15.75" customHeight="1" s="45">
      <c r="A315" s="76" t="n">
        <v>46105</v>
      </c>
      <c r="B315" s="77" t="inlineStr">
        <is>
          <t>Antes-Projeto</t>
        </is>
      </c>
      <c r="C315" s="78" t="inlineStr">
        <is>
          <t>Tempo Médio — 🟢 Verde   (hh:mm)</t>
        </is>
      </c>
      <c r="D315" s="79" t="n">
        <v>0.09287037037037037</v>
      </c>
      <c r="E315" s="79" t="n">
        <v>0.1950578703703704</v>
      </c>
      <c r="F315" s="79" t="n">
        <v>0.1105555555555556</v>
      </c>
      <c r="G315" s="79" t="n">
        <v>0.1100578703703704</v>
      </c>
      <c r="H315" s="79" t="n">
        <v>0.1411458333333333</v>
      </c>
      <c r="I315" s="79" t="n">
        <v>0.1628587962962963</v>
      </c>
      <c r="J315" s="79" t="n">
        <v>0.1128125</v>
      </c>
      <c r="K315" s="79" t="n">
        <v>0.07644675925925926</v>
      </c>
      <c r="L315" s="79" t="n">
        <v>0.3186689814814815</v>
      </c>
      <c r="M315" s="79" t="n">
        <v>0.09149305555555555</v>
      </c>
      <c r="N315" s="79" t="n">
        <v>0.1426388888888889</v>
      </c>
      <c r="O315" s="79" t="n">
        <v>0.1102083333333333</v>
      </c>
      <c r="P315" s="79" t="n">
        <v>0.1250347222222222</v>
      </c>
    </row>
    <row r="316" ht="15.75" customHeight="1" s="45">
      <c r="A316" s="57" t="n">
        <v>46106</v>
      </c>
      <c r="B316" s="58" t="inlineStr">
        <is>
          <t>Antes-Projeto</t>
        </is>
      </c>
      <c r="C316" s="59" t="inlineStr">
        <is>
          <t>Acolhim. + Atend. Urgência + Atend. UPA</t>
        </is>
      </c>
      <c r="D316" s="60">
        <f>SUM(D317:D319)</f>
        <v/>
      </c>
      <c r="E316" s="60">
        <f>SUM(E317:E319)</f>
        <v/>
      </c>
      <c r="F316" s="60">
        <f>SUM(F317:F319)</f>
        <v/>
      </c>
      <c r="G316" s="60">
        <f>SUM(G317:G319)</f>
        <v/>
      </c>
      <c r="H316" s="60">
        <f>SUM(H317:H319)</f>
        <v/>
      </c>
      <c r="I316" s="60">
        <f>SUM(I317:I319)</f>
        <v/>
      </c>
      <c r="J316" s="60">
        <f>SUM(J317:J319)</f>
        <v/>
      </c>
      <c r="K316" s="60">
        <f>SUM(K317:K319)</f>
        <v/>
      </c>
      <c r="L316" s="60">
        <f>SUM(L317:L319)</f>
        <v/>
      </c>
      <c r="M316" s="60">
        <f>SUM(M317:M319)</f>
        <v/>
      </c>
      <c r="N316" s="60">
        <f>SUM(N317:N319)</f>
        <v/>
      </c>
      <c r="O316" s="60">
        <f>SUM(O317:O319)</f>
        <v/>
      </c>
      <c r="P316" s="60">
        <f>SUM(P317:P319)</f>
        <v/>
      </c>
    </row>
    <row r="317" ht="15.75" customHeight="1" s="45">
      <c r="A317" s="61" t="n">
        <v>46106</v>
      </c>
      <c r="B317" s="62" t="inlineStr">
        <is>
          <t>Antes-Projeto</t>
        </is>
      </c>
      <c r="C317" s="63" t="inlineStr">
        <is>
          <t>Acolhimento c/ Classif. de Risco</t>
        </is>
      </c>
      <c r="D317" s="64" t="n">
        <v>204</v>
      </c>
      <c r="E317" s="64" t="n">
        <v>148</v>
      </c>
      <c r="F317" s="64" t="n">
        <v>154</v>
      </c>
      <c r="G317" s="64" t="n">
        <v>134</v>
      </c>
      <c r="H317" s="64" t="n">
        <v>131</v>
      </c>
      <c r="I317" s="64" t="n">
        <v>207</v>
      </c>
      <c r="J317" s="64" t="n">
        <v>120</v>
      </c>
      <c r="K317" s="64" t="n">
        <v>351</v>
      </c>
      <c r="L317" s="64" t="n">
        <v>133</v>
      </c>
      <c r="M317" s="64" t="n">
        <v>263</v>
      </c>
      <c r="N317" s="64" t="n">
        <v>229</v>
      </c>
      <c r="O317" s="64" t="n">
        <v>307</v>
      </c>
      <c r="P317" s="64" t="n">
        <v>251</v>
      </c>
    </row>
    <row r="318" ht="15.75" customHeight="1" s="45">
      <c r="A318" s="61" t="n">
        <v>46106</v>
      </c>
      <c r="B318" s="62" t="inlineStr">
        <is>
          <t>Antes-Projeto</t>
        </is>
      </c>
      <c r="C318" s="65" t="inlineStr">
        <is>
          <t>Atend. Urgência Obs. ≤ 24h</t>
        </is>
      </c>
      <c r="D318" s="66" t="n">
        <v>22</v>
      </c>
      <c r="E318" s="66" t="n">
        <v>57</v>
      </c>
      <c r="F318" s="66" t="n">
        <v>23</v>
      </c>
      <c r="G318" s="66" t="n">
        <v>57</v>
      </c>
      <c r="H318" s="66" t="n">
        <v>8</v>
      </c>
      <c r="I318" s="66" t="n">
        <v>29</v>
      </c>
      <c r="J318" s="66" t="n">
        <v>11</v>
      </c>
      <c r="K318" s="66" t="n">
        <v>50</v>
      </c>
      <c r="L318" s="66" t="n">
        <v>40</v>
      </c>
      <c r="M318" s="66" t="n">
        <v>67</v>
      </c>
      <c r="N318" s="66" t="n">
        <v>41</v>
      </c>
      <c r="O318" s="66" t="n">
        <v>7</v>
      </c>
      <c r="P318" s="66" t="n">
        <v>19</v>
      </c>
    </row>
    <row r="319" ht="15.75" customHeight="1" s="45">
      <c r="A319" s="61" t="n">
        <v>46106</v>
      </c>
      <c r="B319" s="62" t="inlineStr">
        <is>
          <t>Antes-Projeto</t>
        </is>
      </c>
      <c r="C319" s="63" t="inlineStr">
        <is>
          <t>Atend. Médico em UPA</t>
        </is>
      </c>
      <c r="D319" s="64" t="n">
        <v>137</v>
      </c>
      <c r="E319" s="64" t="n">
        <v>98</v>
      </c>
      <c r="F319" s="64" t="n">
        <v>107</v>
      </c>
      <c r="G319" s="64" t="n">
        <v>73</v>
      </c>
      <c r="H319" s="64" t="n">
        <v>72</v>
      </c>
      <c r="I319" s="64" t="n">
        <v>154</v>
      </c>
      <c r="J319" s="64" t="n">
        <v>80</v>
      </c>
      <c r="K319" s="64" t="n">
        <v>255</v>
      </c>
      <c r="L319" s="64" t="n">
        <v>97</v>
      </c>
      <c r="M319" s="64" t="n">
        <v>161</v>
      </c>
      <c r="N319" s="64" t="n">
        <v>175</v>
      </c>
      <c r="O319" s="64" t="n">
        <v>192</v>
      </c>
      <c r="P319" s="64" t="n">
        <v>125</v>
      </c>
    </row>
    <row r="320" ht="15.75" customHeight="1" s="45">
      <c r="A320" s="61" t="n">
        <v>46106</v>
      </c>
      <c r="B320" s="62" t="inlineStr">
        <is>
          <t>Antes-Projeto</t>
        </is>
      </c>
      <c r="C320" s="65" t="inlineStr">
        <is>
          <t>Exames Laboratoriais</t>
        </is>
      </c>
      <c r="D320" s="66" t="n">
        <v>585</v>
      </c>
      <c r="E320" s="66" t="n">
        <v>376</v>
      </c>
      <c r="F320" s="66" t="n">
        <v>634</v>
      </c>
      <c r="G320" s="66" t="n">
        <v>175</v>
      </c>
      <c r="H320" s="66" t="n">
        <v>239</v>
      </c>
      <c r="I320" s="66" t="n">
        <v>620</v>
      </c>
      <c r="J320" s="66" t="n">
        <v>286</v>
      </c>
      <c r="K320" s="66" t="n">
        <v>950</v>
      </c>
      <c r="L320" s="66" t="n">
        <v>496</v>
      </c>
      <c r="M320" s="66" t="n">
        <v>629</v>
      </c>
      <c r="N320" s="66" t="n">
        <v>733</v>
      </c>
      <c r="O320" s="66" t="n">
        <v>490</v>
      </c>
      <c r="P320" s="66" t="n">
        <v>593</v>
      </c>
    </row>
    <row r="321" ht="15.75" customHeight="1" s="45">
      <c r="A321" s="61" t="n">
        <v>46106</v>
      </c>
      <c r="B321" s="62" t="inlineStr">
        <is>
          <t>Antes-Projeto</t>
        </is>
      </c>
      <c r="C321" s="63" t="inlineStr">
        <is>
          <t>Radiografias</t>
        </is>
      </c>
      <c r="D321" s="64" t="n">
        <v>16</v>
      </c>
      <c r="E321" s="64" t="n">
        <v>16</v>
      </c>
      <c r="F321" s="64" t="n">
        <v>19</v>
      </c>
      <c r="G321" s="64" t="n">
        <v>20</v>
      </c>
      <c r="H321" s="64" t="n">
        <v>6</v>
      </c>
      <c r="I321" s="64" t="n">
        <v>29</v>
      </c>
      <c r="J321" s="64" t="n">
        <v>11</v>
      </c>
      <c r="K321" s="64" t="n">
        <v>66</v>
      </c>
      <c r="L321" s="64" t="n">
        <v>24</v>
      </c>
      <c r="M321" s="64" t="n">
        <v>43</v>
      </c>
      <c r="N321" s="64" t="n">
        <v>39</v>
      </c>
      <c r="O321" s="64" t="n">
        <v>49</v>
      </c>
      <c r="P321" s="64" t="n">
        <v>42</v>
      </c>
    </row>
    <row r="322" ht="15.75" customHeight="1" s="45">
      <c r="A322" s="61" t="n">
        <v>46106</v>
      </c>
      <c r="B322" s="62" t="inlineStr">
        <is>
          <t>Antes-Projeto</t>
        </is>
      </c>
      <c r="C322" s="65" t="inlineStr">
        <is>
          <t>Eletrocardiogramas</t>
        </is>
      </c>
      <c r="D322" s="66" t="n">
        <v>14</v>
      </c>
      <c r="E322" s="66" t="n">
        <v>5</v>
      </c>
      <c r="F322" s="66" t="n">
        <v>9</v>
      </c>
      <c r="G322" s="66" t="n">
        <v>2</v>
      </c>
      <c r="H322" s="66" t="n">
        <v>5</v>
      </c>
      <c r="I322" s="66" t="n">
        <v>23</v>
      </c>
      <c r="J322" s="66" t="n">
        <v>6</v>
      </c>
      <c r="K322" s="66" t="n">
        <v>28</v>
      </c>
      <c r="L322" s="66" t="n">
        <v>17</v>
      </c>
      <c r="M322" s="66" t="n">
        <v>16</v>
      </c>
      <c r="N322" s="66" t="n">
        <v>8</v>
      </c>
      <c r="O322" s="66" t="n">
        <v>12</v>
      </c>
      <c r="P322" s="66" t="n">
        <v>6</v>
      </c>
    </row>
    <row r="323" ht="15.75" customHeight="1" s="45">
      <c r="A323" s="61" t="n">
        <v>46106</v>
      </c>
      <c r="B323" s="62" t="inlineStr">
        <is>
          <t>Antes-Projeto</t>
        </is>
      </c>
      <c r="C323" s="68" t="inlineStr">
        <is>
          <t>GAEs Abertas</t>
        </is>
      </c>
      <c r="D323" s="69" t="n">
        <v>219</v>
      </c>
      <c r="E323" s="69" t="n">
        <v>161</v>
      </c>
      <c r="F323" s="69" t="n">
        <v>159</v>
      </c>
      <c r="G323" s="69" t="n">
        <v>134</v>
      </c>
      <c r="H323" s="69" t="n">
        <v>136</v>
      </c>
      <c r="I323" s="69" t="n">
        <v>230</v>
      </c>
      <c r="J323" s="69" t="n">
        <v>122</v>
      </c>
      <c r="K323" s="69" t="n">
        <v>376</v>
      </c>
      <c r="L323" s="69" t="n">
        <v>152</v>
      </c>
      <c r="M323" s="69" t="n">
        <v>283</v>
      </c>
      <c r="N323" s="69" t="n">
        <v>235</v>
      </c>
      <c r="O323" s="69" t="n">
        <v>316</v>
      </c>
      <c r="P323" s="69" t="n">
        <v>257</v>
      </c>
    </row>
    <row r="324" ht="15.75" customHeight="1" s="45">
      <c r="A324" s="61" t="n">
        <v>46106</v>
      </c>
      <c r="B324" s="62" t="inlineStr">
        <is>
          <t>Antes-Projeto</t>
        </is>
      </c>
      <c r="C324" s="68" t="inlineStr">
        <is>
          <t>GAEs Classificadas</t>
        </is>
      </c>
      <c r="D324" s="69" t="n">
        <v>204</v>
      </c>
      <c r="E324" s="69" t="n">
        <v>151</v>
      </c>
      <c r="F324" s="69" t="n">
        <v>153</v>
      </c>
      <c r="G324" s="69" t="n">
        <v>132</v>
      </c>
      <c r="H324" s="69" t="n">
        <v>131</v>
      </c>
      <c r="I324" s="69" t="n">
        <v>192</v>
      </c>
      <c r="J324" s="69" t="n">
        <v>120</v>
      </c>
      <c r="K324" s="69" t="n">
        <v>345</v>
      </c>
      <c r="L324" s="69" t="n">
        <v>134</v>
      </c>
      <c r="M324" s="69" t="n">
        <v>267</v>
      </c>
      <c r="N324" s="69" t="n">
        <v>228</v>
      </c>
      <c r="O324" s="69" t="n">
        <v>307</v>
      </c>
      <c r="P324" s="69" t="n">
        <v>254</v>
      </c>
    </row>
    <row r="325" ht="15.75" customHeight="1" s="45">
      <c r="A325" s="61" t="n">
        <v>46106</v>
      </c>
      <c r="B325" s="62" t="inlineStr">
        <is>
          <t>Antes-Projeto</t>
        </is>
      </c>
      <c r="C325" s="70" t="inlineStr">
        <is>
          <t>Percentual de GAEs abertas classificadas</t>
        </is>
      </c>
      <c r="D325" s="71">
        <f>IFERROR(D324/D323,"-")</f>
        <v/>
      </c>
      <c r="E325" s="71">
        <f>IFERROR(E324/E323,"-")</f>
        <v/>
      </c>
      <c r="F325" s="71">
        <f>IFERROR(F324/F323,"-")</f>
        <v/>
      </c>
      <c r="G325" s="71">
        <f>IFERROR(G324/G323,"-")</f>
        <v/>
      </c>
      <c r="H325" s="71">
        <f>IFERROR(H324/H323,"-")</f>
        <v/>
      </c>
      <c r="I325" s="71">
        <f>IFERROR(I324/I323,"-")</f>
        <v/>
      </c>
      <c r="J325" s="71">
        <f>IFERROR(J324/J323,"-")</f>
        <v/>
      </c>
      <c r="K325" s="71">
        <f>IFERROR(K324/K323,"-")</f>
        <v/>
      </c>
      <c r="L325" s="71">
        <f>IFERROR(L324/L323,"-")</f>
        <v/>
      </c>
      <c r="M325" s="71">
        <f>IFERROR(M324/M323,"-")</f>
        <v/>
      </c>
      <c r="N325" s="71">
        <f>IFERROR(N324/N323,"-")</f>
        <v/>
      </c>
      <c r="O325" s="71">
        <f>IFERROR(O324/O323,"-")</f>
        <v/>
      </c>
      <c r="P325" s="71">
        <f>IFERROR(P324/P323,"-")</f>
        <v/>
      </c>
    </row>
    <row r="326" ht="15.75" customHeight="1" s="45">
      <c r="A326" s="61" t="n">
        <v>46106</v>
      </c>
      <c r="B326" s="62" t="inlineStr">
        <is>
          <t>Antes-Projeto</t>
        </is>
      </c>
      <c r="C326" s="72" t="inlineStr">
        <is>
          <t>Tempo Médio — 🟡 Amarelo (hh:mm)</t>
        </is>
      </c>
      <c r="D326" s="73" t="n">
        <v>0.02050925925925926</v>
      </c>
      <c r="E326" s="73" t="n">
        <v>0.06086805555555556</v>
      </c>
      <c r="F326" s="73" t="n">
        <v>0.1457638888888889</v>
      </c>
      <c r="G326" s="73" t="n">
        <v>0.2358564814814815</v>
      </c>
      <c r="H326" s="73" t="n">
        <v>0.04590277777777778</v>
      </c>
      <c r="I326" s="73" t="n">
        <v>0.05563657407407407</v>
      </c>
      <c r="J326" s="73" t="n">
        <v>0.04836805555555555</v>
      </c>
      <c r="K326" s="73" t="n">
        <v>0.07814814814814815</v>
      </c>
      <c r="L326" s="73" t="n">
        <v>0.07170138888888888</v>
      </c>
      <c r="M326" s="73" t="n">
        <v>0.02621527777777778</v>
      </c>
      <c r="N326" s="73" t="n">
        <v>0.0680787037037037</v>
      </c>
      <c r="O326" s="73" t="n">
        <v>0.07383101851851852</v>
      </c>
      <c r="P326" s="73" t="n">
        <v>0.07305555555555555</v>
      </c>
    </row>
    <row r="327" ht="15.75" customHeight="1" s="45">
      <c r="A327" s="61" t="n">
        <v>46106</v>
      </c>
      <c r="B327" s="62" t="inlineStr">
        <is>
          <t>Antes-Projeto</t>
        </is>
      </c>
      <c r="C327" s="74" t="inlineStr">
        <is>
          <t>Tempo Médio — 🟠 Laranja (hh:mm)</t>
        </is>
      </c>
      <c r="D327" s="75" t="n">
        <v>0.004988425925925926</v>
      </c>
      <c r="E327" s="75" t="n">
        <v>0.005787037037037037</v>
      </c>
      <c r="F327" s="75" t="n">
        <v>0.01071759259259259</v>
      </c>
      <c r="G327" s="75" t="n">
        <v>0.04253472222222222</v>
      </c>
      <c r="H327" s="75" t="n">
        <v>0.002743055555555555</v>
      </c>
      <c r="I327" s="75" t="n">
        <v>0.007604166666666667</v>
      </c>
      <c r="J327" s="75" t="n">
        <v>0.006909722222222222</v>
      </c>
      <c r="K327" s="75" t="n">
        <v>0.01927083333333333</v>
      </c>
      <c r="L327" s="75" t="n">
        <v>0.02297453703703704</v>
      </c>
      <c r="M327" s="75" t="n">
        <v>0.008726851851851852</v>
      </c>
      <c r="N327" s="75" t="n">
        <v>0.01319444444444444</v>
      </c>
      <c r="O327" s="75" t="n">
        <v>0.01518518518518519</v>
      </c>
      <c r="P327" s="75" t="n">
        <v>0.006168981481481482</v>
      </c>
    </row>
    <row r="328" ht="15.75" customHeight="1" s="45">
      <c r="A328" s="76" t="n">
        <v>46106</v>
      </c>
      <c r="B328" s="77" t="inlineStr">
        <is>
          <t>Antes-Projeto</t>
        </is>
      </c>
      <c r="C328" s="78" t="inlineStr">
        <is>
          <t>Tempo Médio — 🟢 Verde   (hh:mm)</t>
        </is>
      </c>
      <c r="D328" s="79" t="n">
        <v>0.07447916666666667</v>
      </c>
      <c r="E328" s="79" t="n">
        <v>0.1805902777777778</v>
      </c>
      <c r="F328" s="79" t="n">
        <v>0.06699074074074074</v>
      </c>
      <c r="G328" s="79" t="n">
        <v>0.2724884259259259</v>
      </c>
      <c r="H328" s="79" t="n">
        <v>0.06434027777777777</v>
      </c>
      <c r="I328" s="79" t="n">
        <v>0.1682638888888889</v>
      </c>
      <c r="J328" s="79" t="n">
        <v>0.07331018518518519</v>
      </c>
      <c r="K328" s="79" t="n">
        <v>0.1296759259259259</v>
      </c>
      <c r="L328" s="79" t="n">
        <v>0.1404050925925926</v>
      </c>
      <c r="M328" s="79" t="n">
        <v>0.1361111111111111</v>
      </c>
      <c r="N328" s="79" t="n">
        <v>0.1727430555555556</v>
      </c>
      <c r="O328" s="79" t="n">
        <v>0.1163773148148148</v>
      </c>
      <c r="P328" s="79" t="n">
        <v>0.1233333333333333</v>
      </c>
    </row>
    <row r="329" ht="15.75" customHeight="1" s="45">
      <c r="A329" s="57" t="n">
        <v>46107</v>
      </c>
      <c r="B329" s="58" t="inlineStr">
        <is>
          <t>Antes-Projeto</t>
        </is>
      </c>
      <c r="C329" s="59" t="inlineStr">
        <is>
          <t>Acolhim. + Atend. Urgência + Atend. UPA</t>
        </is>
      </c>
      <c r="D329" s="60">
        <f>SUM(D330:D332)</f>
        <v/>
      </c>
      <c r="E329" s="60">
        <f>SUM(E330:E332)</f>
        <v/>
      </c>
      <c r="F329" s="60">
        <f>SUM(F330:F332)</f>
        <v/>
      </c>
      <c r="G329" s="60">
        <f>SUM(G330:G332)</f>
        <v/>
      </c>
      <c r="H329" s="60">
        <f>SUM(H330:H332)</f>
        <v/>
      </c>
      <c r="I329" s="60">
        <f>SUM(I330:I332)</f>
        <v/>
      </c>
      <c r="J329" s="60">
        <f>SUM(J330:J332)</f>
        <v/>
      </c>
      <c r="K329" s="60">
        <f>SUM(K330:K332)</f>
        <v/>
      </c>
      <c r="L329" s="60">
        <f>SUM(L330:L332)</f>
        <v/>
      </c>
      <c r="M329" s="60">
        <f>SUM(M330:M332)</f>
        <v/>
      </c>
      <c r="N329" s="60">
        <f>SUM(N330:N332)</f>
        <v/>
      </c>
      <c r="O329" s="60">
        <f>SUM(O330:O332)</f>
        <v/>
      </c>
      <c r="P329" s="60">
        <f>SUM(P330:P332)</f>
        <v/>
      </c>
    </row>
    <row r="330" ht="15.75" customHeight="1" s="45">
      <c r="A330" s="61" t="n">
        <v>46107</v>
      </c>
      <c r="B330" s="62" t="inlineStr">
        <is>
          <t>Antes-Projeto</t>
        </is>
      </c>
      <c r="C330" s="65" t="inlineStr">
        <is>
          <t>Acolhimento c/ Classif. de Risco</t>
        </is>
      </c>
      <c r="D330" s="66" t="n">
        <v>207</v>
      </c>
      <c r="E330" s="66" t="n">
        <v>171</v>
      </c>
      <c r="F330" s="66" t="n">
        <v>153</v>
      </c>
      <c r="G330" s="66" t="n">
        <v>102</v>
      </c>
      <c r="H330" s="66" t="n">
        <v>112</v>
      </c>
      <c r="I330" s="66" t="n">
        <v>172</v>
      </c>
      <c r="J330" s="66" t="n">
        <v>125</v>
      </c>
      <c r="K330" s="66" t="n">
        <v>274</v>
      </c>
      <c r="L330" s="66" t="n">
        <v>148</v>
      </c>
      <c r="M330" s="66" t="n">
        <v>215</v>
      </c>
      <c r="N330" s="66" t="n">
        <v>186</v>
      </c>
      <c r="O330" s="66" t="n">
        <v>284</v>
      </c>
      <c r="P330" s="66" t="n">
        <v>245</v>
      </c>
    </row>
    <row r="331" ht="15.75" customHeight="1" s="45">
      <c r="A331" s="61" t="n">
        <v>46107</v>
      </c>
      <c r="B331" s="62" t="inlineStr">
        <is>
          <t>Antes-Projeto</t>
        </is>
      </c>
      <c r="C331" s="63" t="inlineStr">
        <is>
          <t>Atend. Urgência Obs. ≤ 24h</t>
        </is>
      </c>
      <c r="D331" s="64" t="n">
        <v>20</v>
      </c>
      <c r="E331" s="64" t="n">
        <v>74</v>
      </c>
      <c r="F331" s="64" t="n">
        <v>22</v>
      </c>
      <c r="G331" s="64" t="n">
        <v>14</v>
      </c>
      <c r="H331" s="64" t="n">
        <v>7</v>
      </c>
      <c r="I331" s="64" t="n">
        <v>34</v>
      </c>
      <c r="J331" s="64" t="n">
        <v>72</v>
      </c>
      <c r="K331" s="64" t="n">
        <v>32</v>
      </c>
      <c r="L331" s="64" t="n">
        <v>33</v>
      </c>
      <c r="M331" s="64" t="n">
        <v>43</v>
      </c>
      <c r="N331" s="64" t="n">
        <v>36</v>
      </c>
      <c r="O331" s="64" t="n">
        <v>5</v>
      </c>
      <c r="P331" s="64" t="n">
        <v>15</v>
      </c>
    </row>
    <row r="332" ht="15.75" customHeight="1" s="45">
      <c r="A332" s="61" t="n">
        <v>46107</v>
      </c>
      <c r="B332" s="62" t="inlineStr">
        <is>
          <t>Antes-Projeto</t>
        </is>
      </c>
      <c r="C332" s="65" t="inlineStr">
        <is>
          <t>Atend. Médico em UPA</t>
        </is>
      </c>
      <c r="D332" s="66" t="n">
        <v>163</v>
      </c>
      <c r="E332" s="66" t="n">
        <v>35</v>
      </c>
      <c r="F332" s="66" t="n">
        <v>100</v>
      </c>
      <c r="G332" s="66" t="n">
        <v>54</v>
      </c>
      <c r="H332" s="66" t="n">
        <v>96</v>
      </c>
      <c r="I332" s="66" t="n">
        <v>153</v>
      </c>
      <c r="J332" s="66" t="n">
        <v>99</v>
      </c>
      <c r="K332" s="66" t="n">
        <v>188</v>
      </c>
      <c r="L332" s="66" t="n">
        <v>113</v>
      </c>
      <c r="M332" s="66" t="n">
        <v>77</v>
      </c>
      <c r="N332" s="66" t="n">
        <v>160</v>
      </c>
      <c r="O332" s="66" t="n">
        <v>226</v>
      </c>
      <c r="P332" s="66" t="n">
        <v>119</v>
      </c>
    </row>
    <row r="333" ht="15.75" customHeight="1" s="45">
      <c r="A333" s="61" t="n">
        <v>46107</v>
      </c>
      <c r="B333" s="62" t="inlineStr">
        <is>
          <t>Antes-Projeto</t>
        </is>
      </c>
      <c r="C333" s="63" t="inlineStr">
        <is>
          <t>Exames Laboratoriais</t>
        </is>
      </c>
      <c r="D333" s="64" t="n">
        <v>514</v>
      </c>
      <c r="E333" s="64" t="n">
        <v>170</v>
      </c>
      <c r="F333" s="64" t="n">
        <v>361</v>
      </c>
      <c r="G333" s="64" t="n">
        <v>246</v>
      </c>
      <c r="H333" s="64" t="n">
        <v>268</v>
      </c>
      <c r="I333" s="64" t="n">
        <v>565</v>
      </c>
      <c r="J333" s="64" t="n">
        <v>348</v>
      </c>
      <c r="K333" s="64" t="n">
        <v>840</v>
      </c>
      <c r="L333" s="64" t="n">
        <v>576</v>
      </c>
      <c r="M333" s="64" t="n">
        <v>723</v>
      </c>
      <c r="N333" s="64" t="n">
        <v>560</v>
      </c>
      <c r="O333" s="64" t="n">
        <v>366</v>
      </c>
      <c r="P333" s="64" t="n">
        <v>429</v>
      </c>
    </row>
    <row r="334" ht="15.75" customHeight="1" s="45">
      <c r="A334" s="61" t="n">
        <v>46107</v>
      </c>
      <c r="B334" s="62" t="inlineStr">
        <is>
          <t>Antes-Projeto</t>
        </is>
      </c>
      <c r="C334" s="65" t="inlineStr">
        <is>
          <t>Radiografias</t>
        </is>
      </c>
      <c r="D334" s="66" t="n">
        <v>22</v>
      </c>
      <c r="E334" s="66" t="n">
        <v>26</v>
      </c>
      <c r="F334" s="66" t="n">
        <v>37</v>
      </c>
      <c r="G334" s="66" t="n">
        <v>10</v>
      </c>
      <c r="H334" s="66" t="n">
        <v>12</v>
      </c>
      <c r="I334" s="66" t="n">
        <v>19</v>
      </c>
      <c r="J334" s="66" t="n">
        <v>11</v>
      </c>
      <c r="K334" s="66" t="n">
        <v>53</v>
      </c>
      <c r="L334" s="66" t="n">
        <v>27</v>
      </c>
      <c r="M334" s="66" t="n">
        <v>38</v>
      </c>
      <c r="N334" s="66" t="n">
        <v>50</v>
      </c>
      <c r="O334" s="66" t="n">
        <v>63</v>
      </c>
      <c r="P334" s="66" t="n">
        <v>40</v>
      </c>
    </row>
    <row r="335" ht="15.75" customHeight="1" s="45">
      <c r="A335" s="61" t="n">
        <v>46107</v>
      </c>
      <c r="B335" s="62" t="inlineStr">
        <is>
          <t>Antes-Projeto</t>
        </is>
      </c>
      <c r="C335" s="63" t="inlineStr">
        <is>
          <t>Eletrocardiogramas</t>
        </is>
      </c>
      <c r="D335" s="64" t="n">
        <v>13</v>
      </c>
      <c r="E335" s="64" t="n">
        <v>6</v>
      </c>
      <c r="F335" s="64" t="n">
        <v>13</v>
      </c>
      <c r="G335" s="64" t="n">
        <v>8</v>
      </c>
      <c r="H335" s="64" t="n">
        <v>3</v>
      </c>
      <c r="I335" s="64" t="n">
        <v>11</v>
      </c>
      <c r="J335" s="64" t="n">
        <v>8</v>
      </c>
      <c r="K335" s="64" t="n">
        <v>32</v>
      </c>
      <c r="L335" s="64" t="n">
        <v>16</v>
      </c>
      <c r="M335" s="64" t="n">
        <v>22</v>
      </c>
      <c r="N335" s="64" t="n">
        <v>10</v>
      </c>
      <c r="O335" s="64" t="n">
        <v>21</v>
      </c>
      <c r="P335" s="64" t="n">
        <v>20</v>
      </c>
    </row>
    <row r="336" ht="15.75" customHeight="1" s="45">
      <c r="A336" s="61" t="n">
        <v>46107</v>
      </c>
      <c r="B336" s="62" t="inlineStr">
        <is>
          <t>Antes-Projeto</t>
        </is>
      </c>
      <c r="C336" s="68" t="inlineStr">
        <is>
          <t>GAEs Abertas</t>
        </is>
      </c>
      <c r="D336" s="69" t="n">
        <v>213</v>
      </c>
      <c r="E336" s="69" t="n">
        <v>173</v>
      </c>
      <c r="F336" s="69" t="n">
        <v>158</v>
      </c>
      <c r="G336" s="69" t="n">
        <v>109</v>
      </c>
      <c r="H336" s="69" t="n">
        <v>118</v>
      </c>
      <c r="I336" s="69" t="n">
        <v>181</v>
      </c>
      <c r="J336" s="69" t="n">
        <v>128</v>
      </c>
      <c r="K336" s="69" t="n">
        <v>290</v>
      </c>
      <c r="L336" s="69" t="n">
        <v>155</v>
      </c>
      <c r="M336" s="69" t="n">
        <v>236</v>
      </c>
      <c r="N336" s="69" t="n">
        <v>200</v>
      </c>
      <c r="O336" s="69" t="n">
        <v>297</v>
      </c>
      <c r="P336" s="69" t="n">
        <v>250</v>
      </c>
    </row>
    <row r="337" ht="15.75" customHeight="1" s="45">
      <c r="A337" s="61" t="n">
        <v>46107</v>
      </c>
      <c r="B337" s="62" t="inlineStr">
        <is>
          <t>Antes-Projeto</t>
        </is>
      </c>
      <c r="C337" s="68" t="inlineStr">
        <is>
          <t>GAEs Classificadas</t>
        </is>
      </c>
      <c r="D337" s="69" t="n">
        <v>206</v>
      </c>
      <c r="E337" s="69" t="n">
        <v>169</v>
      </c>
      <c r="F337" s="69" t="n">
        <v>155</v>
      </c>
      <c r="G337" s="69" t="n">
        <v>102</v>
      </c>
      <c r="H337" s="69" t="n">
        <v>115</v>
      </c>
      <c r="I337" s="69" t="n">
        <v>169</v>
      </c>
      <c r="J337" s="69" t="n">
        <v>125</v>
      </c>
      <c r="K337" s="69" t="n">
        <v>272</v>
      </c>
      <c r="L337" s="69" t="n">
        <v>149</v>
      </c>
      <c r="M337" s="69" t="n">
        <v>217</v>
      </c>
      <c r="N337" s="69" t="n">
        <v>187</v>
      </c>
      <c r="O337" s="69" t="n">
        <v>287</v>
      </c>
      <c r="P337" s="69" t="n">
        <v>242</v>
      </c>
    </row>
    <row r="338" ht="15.75" customHeight="1" s="45">
      <c r="A338" s="61" t="n">
        <v>46107</v>
      </c>
      <c r="B338" s="62" t="inlineStr">
        <is>
          <t>Antes-Projeto</t>
        </is>
      </c>
      <c r="C338" s="70" t="inlineStr">
        <is>
          <t>Percentual de GAEs abertas classificadas</t>
        </is>
      </c>
      <c r="D338" s="71">
        <f>IFERROR(D337/D336,"-")</f>
        <v/>
      </c>
      <c r="E338" s="71">
        <f>IFERROR(E337/E336,"-")</f>
        <v/>
      </c>
      <c r="F338" s="71">
        <f>IFERROR(F337/F336,"-")</f>
        <v/>
      </c>
      <c r="G338" s="71">
        <f>IFERROR(G337/G336,"-")</f>
        <v/>
      </c>
      <c r="H338" s="71">
        <f>IFERROR(H337/H336,"-")</f>
        <v/>
      </c>
      <c r="I338" s="71">
        <f>IFERROR(I337/I336,"-")</f>
        <v/>
      </c>
      <c r="J338" s="71">
        <f>IFERROR(J337/J336,"-")</f>
        <v/>
      </c>
      <c r="K338" s="71">
        <f>IFERROR(K337/K336,"-")</f>
        <v/>
      </c>
      <c r="L338" s="71">
        <f>IFERROR(L337/L336,"-")</f>
        <v/>
      </c>
      <c r="M338" s="71">
        <f>IFERROR(M337/M336,"-")</f>
        <v/>
      </c>
      <c r="N338" s="71">
        <f>IFERROR(N337/N336,"-")</f>
        <v/>
      </c>
      <c r="O338" s="71">
        <f>IFERROR(O337/O336,"-")</f>
        <v/>
      </c>
      <c r="P338" s="71">
        <f>IFERROR(P337/P336,"-")</f>
        <v/>
      </c>
    </row>
    <row r="339" ht="15.75" customHeight="1" s="45">
      <c r="A339" s="61" t="n">
        <v>46107</v>
      </c>
      <c r="B339" s="62" t="inlineStr">
        <is>
          <t>Antes-Projeto</t>
        </is>
      </c>
      <c r="C339" s="72" t="inlineStr">
        <is>
          <t>Tempo Médio — 🟡 Amarelo (hh:mm)</t>
        </is>
      </c>
      <c r="D339" s="73" t="n">
        <v>0.02799768518518518</v>
      </c>
      <c r="E339" s="73" t="n">
        <v>0.07636574074074073</v>
      </c>
      <c r="F339" s="73" t="n">
        <v>0.0941087962962963</v>
      </c>
      <c r="G339" s="73" t="n">
        <v>0.07569444444444444</v>
      </c>
      <c r="H339" s="73" t="n">
        <v>0.04803240740740741</v>
      </c>
      <c r="I339" s="73" t="n">
        <v>0.05097222222222222</v>
      </c>
      <c r="J339" s="73" t="n">
        <v>0.06412037037037037</v>
      </c>
      <c r="K339" s="73" t="n">
        <v>0.05177083333333334</v>
      </c>
      <c r="L339" s="73" t="n">
        <v>0.1389467592592593</v>
      </c>
      <c r="M339" s="73" t="n">
        <v>0.08877314814814814</v>
      </c>
      <c r="N339" s="73" t="n">
        <v>0.05892361111111111</v>
      </c>
      <c r="O339" s="73" t="n">
        <v>0.05553240740740741</v>
      </c>
      <c r="P339" s="73" t="n">
        <v>0.09078703703703704</v>
      </c>
    </row>
    <row r="340" ht="15.75" customHeight="1" s="45">
      <c r="A340" s="61" t="n">
        <v>46107</v>
      </c>
      <c r="B340" s="62" t="inlineStr">
        <is>
          <t>Antes-Projeto</t>
        </is>
      </c>
      <c r="C340" s="74" t="inlineStr">
        <is>
          <t>Tempo Médio — 🟠 Laranja (hh:mm)</t>
        </is>
      </c>
      <c r="D340" s="75" t="n">
        <v>0.0108912037037037</v>
      </c>
      <c r="E340" s="75" t="n">
        <v>0.002731481481481481</v>
      </c>
      <c r="F340" s="75" t="n">
        <v>0.01439814814814815</v>
      </c>
      <c r="G340" s="75" t="n">
        <v>0.0512037037037037</v>
      </c>
      <c r="H340" s="75" t="n">
        <v>0.006608796296296297</v>
      </c>
      <c r="I340" s="75" t="n">
        <v>0.004884259259259259</v>
      </c>
      <c r="J340" s="75" t="n">
        <v>0.01049768518518518</v>
      </c>
      <c r="K340" s="75" t="n">
        <v>0.01918981481481482</v>
      </c>
      <c r="L340" s="75" t="n">
        <v>0.01436342592592593</v>
      </c>
      <c r="M340" s="75" t="n">
        <v>0.01255787037037037</v>
      </c>
      <c r="N340" s="75" t="n">
        <v>0.0165162037037037</v>
      </c>
      <c r="O340" s="75" t="n">
        <v>0.009756944444444445</v>
      </c>
      <c r="P340" s="75" t="n">
        <v>0.00986111111111111</v>
      </c>
    </row>
    <row r="341" ht="15.75" customHeight="1" s="45">
      <c r="A341" s="76" t="n">
        <v>46107</v>
      </c>
      <c r="B341" s="77" t="inlineStr">
        <is>
          <t>Antes-Projeto</t>
        </is>
      </c>
      <c r="C341" s="78" t="inlineStr">
        <is>
          <t>Tempo Médio — 🟢 Verde   (hh:mm)</t>
        </is>
      </c>
      <c r="D341" s="79" t="n">
        <v>0.05793981481481481</v>
      </c>
      <c r="E341" s="79" t="n">
        <v>0.2003125</v>
      </c>
      <c r="F341" s="79" t="n">
        <v>0.1264467592592593</v>
      </c>
      <c r="G341" s="79" t="n">
        <v>0.06413194444444445</v>
      </c>
      <c r="H341" s="79" t="n">
        <v>0.07460648148148148</v>
      </c>
      <c r="I341" s="79" t="n">
        <v>0.1955092592592593</v>
      </c>
      <c r="J341" s="79" t="n">
        <v>0.0954050925925926</v>
      </c>
      <c r="K341" s="79" t="n">
        <v>0.1137384259259259</v>
      </c>
      <c r="L341" s="79" t="n">
        <v>0.1509490740740741</v>
      </c>
      <c r="M341" s="79" t="n">
        <v>0.1155555555555556</v>
      </c>
      <c r="N341" s="79" t="n">
        <v>0.1239583333333333</v>
      </c>
      <c r="O341" s="79" t="n">
        <v>0.1346759259259259</v>
      </c>
      <c r="P341" s="79" t="n">
        <v>0.09943287037037037</v>
      </c>
    </row>
    <row r="342" ht="15.75" customHeight="1" s="45">
      <c r="A342" s="57" t="n">
        <v>46108</v>
      </c>
      <c r="B342" s="58" t="inlineStr">
        <is>
          <t>Antes-Projeto</t>
        </is>
      </c>
      <c r="C342" s="59" t="inlineStr">
        <is>
          <t>Acolhim. + Atend. Urgência + Atend. UPA</t>
        </is>
      </c>
      <c r="D342" s="60">
        <f>SUM(D343:D345)</f>
        <v/>
      </c>
      <c r="E342" s="60">
        <f>SUM(E343:E345)</f>
        <v/>
      </c>
      <c r="F342" s="60">
        <f>SUM(F343:F345)</f>
        <v/>
      </c>
      <c r="G342" s="60">
        <f>SUM(G343:G345)</f>
        <v/>
      </c>
      <c r="H342" s="60">
        <f>SUM(H343:H345)</f>
        <v/>
      </c>
      <c r="I342" s="60">
        <f>SUM(I343:I345)</f>
        <v/>
      </c>
      <c r="J342" s="60">
        <f>SUM(J343:J345)</f>
        <v/>
      </c>
      <c r="K342" s="60">
        <f>SUM(K343:K345)</f>
        <v/>
      </c>
      <c r="L342" s="60">
        <f>SUM(L343:L345)</f>
        <v/>
      </c>
      <c r="M342" s="60">
        <f>SUM(M343:M345)</f>
        <v/>
      </c>
      <c r="N342" s="60">
        <f>SUM(N343:N345)</f>
        <v/>
      </c>
      <c r="O342" s="60">
        <f>SUM(O343:O345)</f>
        <v/>
      </c>
      <c r="P342" s="60">
        <f>SUM(P343:P345)</f>
        <v/>
      </c>
    </row>
    <row r="343" ht="15.75" customHeight="1" s="45">
      <c r="A343" s="61" t="n">
        <v>46108</v>
      </c>
      <c r="B343" s="62" t="inlineStr">
        <is>
          <t>Antes-Projeto</t>
        </is>
      </c>
      <c r="C343" s="63" t="inlineStr">
        <is>
          <t>Acolhimento c/ Classif. de Risco</t>
        </is>
      </c>
      <c r="D343" s="64" t="n">
        <v>231</v>
      </c>
      <c r="E343" s="64" t="n">
        <v>144</v>
      </c>
      <c r="F343" s="64" t="n">
        <v>171</v>
      </c>
      <c r="G343" s="64" t="n">
        <v>120</v>
      </c>
      <c r="H343" s="64" t="n">
        <v>145</v>
      </c>
      <c r="I343" s="64" t="n">
        <v>178</v>
      </c>
      <c r="J343" s="64" t="n">
        <v>110</v>
      </c>
      <c r="K343" s="64" t="n">
        <v>322</v>
      </c>
      <c r="L343" s="64" t="n">
        <v>149</v>
      </c>
      <c r="M343" s="64" t="n">
        <v>207</v>
      </c>
      <c r="N343" s="64" t="n">
        <v>199</v>
      </c>
      <c r="O343" s="64" t="n">
        <v>248</v>
      </c>
      <c r="P343" s="64" t="n">
        <v>236</v>
      </c>
    </row>
    <row r="344" ht="15.75" customHeight="1" s="45">
      <c r="A344" s="61" t="n">
        <v>46108</v>
      </c>
      <c r="B344" s="62" t="inlineStr">
        <is>
          <t>Antes-Projeto</t>
        </is>
      </c>
      <c r="C344" s="65" t="inlineStr">
        <is>
          <t>Atend. Urgência Obs. ≤ 24h</t>
        </is>
      </c>
      <c r="D344" s="66" t="n">
        <v>25</v>
      </c>
      <c r="E344" s="66" t="n">
        <v>77</v>
      </c>
      <c r="F344" s="66" t="n">
        <v>17</v>
      </c>
      <c r="G344" s="66" t="n">
        <v>20</v>
      </c>
      <c r="H344" s="66" t="n">
        <v>16</v>
      </c>
      <c r="I344" s="66" t="n">
        <v>51</v>
      </c>
      <c r="J344" s="66" t="n">
        <v>50</v>
      </c>
      <c r="K344" s="66" t="n">
        <v>33</v>
      </c>
      <c r="L344" s="66" t="n">
        <v>28</v>
      </c>
      <c r="M344" s="66" t="n">
        <v>21</v>
      </c>
      <c r="N344" s="66" t="n">
        <v>32</v>
      </c>
      <c r="O344" s="66" t="n">
        <v>1</v>
      </c>
      <c r="P344" s="66" t="n">
        <v>24</v>
      </c>
    </row>
    <row r="345" ht="15.75" customHeight="1" s="45">
      <c r="A345" s="61" t="n">
        <v>46108</v>
      </c>
      <c r="B345" s="62" t="inlineStr">
        <is>
          <t>Antes-Projeto</t>
        </is>
      </c>
      <c r="C345" s="63" t="inlineStr">
        <is>
          <t>Atend. Médico em UPA</t>
        </is>
      </c>
      <c r="D345" s="64" t="n">
        <v>212</v>
      </c>
      <c r="E345" s="64" t="n">
        <v>82</v>
      </c>
      <c r="F345" s="64" t="n">
        <v>111</v>
      </c>
      <c r="G345" s="64" t="n">
        <v>45</v>
      </c>
      <c r="H345" s="64" t="n">
        <v>63</v>
      </c>
      <c r="I345" s="64" t="n">
        <v>152</v>
      </c>
      <c r="J345" s="64" t="n">
        <v>82</v>
      </c>
      <c r="K345" s="64" t="n">
        <v>197</v>
      </c>
      <c r="L345" s="64" t="n">
        <v>94</v>
      </c>
      <c r="M345" s="64" t="n">
        <v>96</v>
      </c>
      <c r="N345" s="64" t="n">
        <v>136</v>
      </c>
      <c r="O345" s="64" t="n">
        <v>192</v>
      </c>
      <c r="P345" s="64" t="n">
        <v>110</v>
      </c>
    </row>
    <row r="346" ht="15.75" customHeight="1" s="45">
      <c r="A346" s="61" t="n">
        <v>46108</v>
      </c>
      <c r="B346" s="62" t="inlineStr">
        <is>
          <t>Antes-Projeto</t>
        </is>
      </c>
      <c r="C346" s="65" t="inlineStr">
        <is>
          <t>Exames Laboratoriais</t>
        </is>
      </c>
      <c r="D346" s="66" t="n">
        <v>654</v>
      </c>
      <c r="E346" s="66" t="n">
        <v>375</v>
      </c>
      <c r="F346" s="66" t="n">
        <v>524</v>
      </c>
      <c r="G346" s="66" t="n">
        <v>306</v>
      </c>
      <c r="H346" s="66" t="n">
        <v>348</v>
      </c>
      <c r="I346" s="66" t="n">
        <v>559</v>
      </c>
      <c r="J346" s="66" t="n">
        <v>279</v>
      </c>
      <c r="K346" s="66" t="n">
        <v>786</v>
      </c>
      <c r="L346" s="66" t="n">
        <v>613</v>
      </c>
      <c r="M346" s="66" t="n">
        <v>604</v>
      </c>
      <c r="N346" s="66" t="n">
        <v>501</v>
      </c>
      <c r="O346" s="66" t="n">
        <v>532</v>
      </c>
      <c r="P346" s="66" t="n">
        <v>396</v>
      </c>
    </row>
    <row r="347" ht="15.75" customHeight="1" s="45">
      <c r="A347" s="61" t="n">
        <v>46108</v>
      </c>
      <c r="B347" s="62" t="inlineStr">
        <is>
          <t>Antes-Projeto</t>
        </is>
      </c>
      <c r="C347" s="63" t="inlineStr">
        <is>
          <t>Radiografias</t>
        </is>
      </c>
      <c r="D347" s="64" t="n">
        <v>37</v>
      </c>
      <c r="E347" s="64" t="n">
        <v>26</v>
      </c>
      <c r="F347" s="64" t="n">
        <v>22</v>
      </c>
      <c r="G347" s="64" t="n">
        <v>6</v>
      </c>
      <c r="H347" s="64" t="n">
        <v>13</v>
      </c>
      <c r="I347" s="64" t="n">
        <v>22</v>
      </c>
      <c r="J347" s="64" t="n">
        <v>21</v>
      </c>
      <c r="K347" s="64" t="n">
        <v>65</v>
      </c>
      <c r="L347" s="64" t="n">
        <v>31</v>
      </c>
      <c r="M347" s="64" t="n">
        <v>21</v>
      </c>
      <c r="N347" s="64" t="n">
        <v>34</v>
      </c>
      <c r="O347" s="64" t="n">
        <v>48</v>
      </c>
      <c r="P347" s="64" t="n">
        <v>53</v>
      </c>
    </row>
    <row r="348" ht="15.75" customHeight="1" s="45">
      <c r="A348" s="61" t="n">
        <v>46108</v>
      </c>
      <c r="B348" s="62" t="inlineStr">
        <is>
          <t>Antes-Projeto</t>
        </is>
      </c>
      <c r="C348" s="65" t="inlineStr">
        <is>
          <t>Eletrocardiogramas</t>
        </is>
      </c>
      <c r="D348" s="66" t="n">
        <v>9</v>
      </c>
      <c r="E348" s="66" t="n">
        <v>8</v>
      </c>
      <c r="F348" s="66" t="n">
        <v>14</v>
      </c>
      <c r="G348" s="67" t="n">
        <v>0</v>
      </c>
      <c r="H348" s="66" t="n">
        <v>6</v>
      </c>
      <c r="I348" s="66" t="n">
        <v>13</v>
      </c>
      <c r="J348" s="66" t="n">
        <v>9</v>
      </c>
      <c r="K348" s="66" t="n">
        <v>13</v>
      </c>
      <c r="L348" s="66" t="n">
        <v>16</v>
      </c>
      <c r="M348" s="66" t="n">
        <v>10</v>
      </c>
      <c r="N348" s="66" t="n">
        <v>9</v>
      </c>
      <c r="O348" s="66" t="n">
        <v>15</v>
      </c>
      <c r="P348" s="66" t="n">
        <v>25</v>
      </c>
    </row>
    <row r="349" ht="15.75" customHeight="1" s="45">
      <c r="A349" s="61" t="n">
        <v>46108</v>
      </c>
      <c r="B349" s="62" t="inlineStr">
        <is>
          <t>Antes-Projeto</t>
        </is>
      </c>
      <c r="C349" s="68" t="inlineStr">
        <is>
          <t>GAEs Abertas</t>
        </is>
      </c>
      <c r="D349" s="69" t="n">
        <v>247</v>
      </c>
      <c r="E349" s="69" t="n">
        <v>147</v>
      </c>
      <c r="F349" s="69" t="n">
        <v>175</v>
      </c>
      <c r="G349" s="69" t="n">
        <v>127</v>
      </c>
      <c r="H349" s="69" t="n">
        <v>149</v>
      </c>
      <c r="I349" s="69" t="n">
        <v>201</v>
      </c>
      <c r="J349" s="69" t="n">
        <v>123</v>
      </c>
      <c r="K349" s="69" t="n">
        <v>351</v>
      </c>
      <c r="L349" s="69" t="n">
        <v>155</v>
      </c>
      <c r="M349" s="69" t="n">
        <v>216</v>
      </c>
      <c r="N349" s="69" t="n">
        <v>211</v>
      </c>
      <c r="O349" s="69" t="n">
        <v>265</v>
      </c>
      <c r="P349" s="69" t="n">
        <v>254</v>
      </c>
    </row>
    <row r="350" ht="15.75" customHeight="1" s="45">
      <c r="A350" s="61" t="n">
        <v>46108</v>
      </c>
      <c r="B350" s="62" t="inlineStr">
        <is>
          <t>Antes-Projeto</t>
        </is>
      </c>
      <c r="C350" s="68" t="inlineStr">
        <is>
          <t>GAEs Classificadas</t>
        </is>
      </c>
      <c r="D350" s="69" t="n">
        <v>234</v>
      </c>
      <c r="E350" s="69" t="n">
        <v>143</v>
      </c>
      <c r="F350" s="69" t="n">
        <v>169</v>
      </c>
      <c r="G350" s="69" t="n">
        <v>120</v>
      </c>
      <c r="H350" s="69" t="n">
        <v>143</v>
      </c>
      <c r="I350" s="69" t="n">
        <v>185</v>
      </c>
      <c r="J350" s="69" t="n">
        <v>111</v>
      </c>
      <c r="K350" s="69" t="n">
        <v>321</v>
      </c>
      <c r="L350" s="69" t="n">
        <v>147</v>
      </c>
      <c r="M350" s="69" t="n">
        <v>201</v>
      </c>
      <c r="N350" s="69" t="n">
        <v>201</v>
      </c>
      <c r="O350" s="69" t="n">
        <v>249</v>
      </c>
      <c r="P350" s="69" t="n">
        <v>240</v>
      </c>
    </row>
    <row r="351" ht="15.75" customHeight="1" s="45">
      <c r="A351" s="61" t="n">
        <v>46108</v>
      </c>
      <c r="B351" s="62" t="inlineStr">
        <is>
          <t>Antes-Projeto</t>
        </is>
      </c>
      <c r="C351" s="70" t="inlineStr">
        <is>
          <t>Percentual de GAEs abertas classificadas</t>
        </is>
      </c>
      <c r="D351" s="71">
        <f>IFERROR(D350/D349,"-")</f>
        <v/>
      </c>
      <c r="E351" s="71">
        <f>IFERROR(E350/E349,"-")</f>
        <v/>
      </c>
      <c r="F351" s="71">
        <f>IFERROR(F350/F349,"-")</f>
        <v/>
      </c>
      <c r="G351" s="71">
        <f>IFERROR(G350/G349,"-")</f>
        <v/>
      </c>
      <c r="H351" s="71">
        <f>IFERROR(H350/H349,"-")</f>
        <v/>
      </c>
      <c r="I351" s="71">
        <f>IFERROR(I350/I349,"-")</f>
        <v/>
      </c>
      <c r="J351" s="71">
        <f>IFERROR(J350/J349,"-")</f>
        <v/>
      </c>
      <c r="K351" s="71">
        <f>IFERROR(K350/K349,"-")</f>
        <v/>
      </c>
      <c r="L351" s="71">
        <f>IFERROR(L350/L349,"-")</f>
        <v/>
      </c>
      <c r="M351" s="71">
        <f>IFERROR(M350/M349,"-")</f>
        <v/>
      </c>
      <c r="N351" s="71">
        <f>IFERROR(N350/N349,"-")</f>
        <v/>
      </c>
      <c r="O351" s="71">
        <f>IFERROR(O350/O349,"-")</f>
        <v/>
      </c>
      <c r="P351" s="71">
        <f>IFERROR(P350/P349,"-")</f>
        <v/>
      </c>
    </row>
    <row r="352" ht="15.75" customHeight="1" s="45">
      <c r="A352" s="61" t="n">
        <v>46108</v>
      </c>
      <c r="B352" s="62" t="inlineStr">
        <is>
          <t>Antes-Projeto</t>
        </is>
      </c>
      <c r="C352" s="72" t="inlineStr">
        <is>
          <t>Tempo Médio — 🟡 Amarelo (hh:mm)</t>
        </is>
      </c>
      <c r="D352" s="73" t="n">
        <v>0.05653935185185185</v>
      </c>
      <c r="E352" s="73" t="n">
        <v>0.06612268518518519</v>
      </c>
      <c r="F352" s="73" t="n">
        <v>0.06826388888888889</v>
      </c>
      <c r="G352" s="73" t="n">
        <v>0.1217476851851852</v>
      </c>
      <c r="H352" s="73" t="n">
        <v>0.1084259259259259</v>
      </c>
      <c r="I352" s="73" t="n">
        <v>0.0565162037037037</v>
      </c>
      <c r="J352" s="73" t="n">
        <v>0.06939814814814815</v>
      </c>
      <c r="K352" s="73" t="n">
        <v>0.07193287037037037</v>
      </c>
      <c r="L352" s="73" t="n">
        <v>0.09715277777777778</v>
      </c>
      <c r="M352" s="73" t="n">
        <v>0.03966435185185185</v>
      </c>
      <c r="N352" s="73" t="n">
        <v>0.07980324074074074</v>
      </c>
      <c r="O352" s="73" t="n">
        <v>0.03878472222222222</v>
      </c>
      <c r="P352" s="73" t="n">
        <v>0.09800925925925925</v>
      </c>
    </row>
    <row r="353" ht="15.75" customHeight="1" s="45">
      <c r="A353" s="61" t="n">
        <v>46108</v>
      </c>
      <c r="B353" s="62" t="inlineStr">
        <is>
          <t>Antes-Projeto</t>
        </is>
      </c>
      <c r="C353" s="74" t="inlineStr">
        <is>
          <t>Tempo Médio — 🟠 Laranja (hh:mm)</t>
        </is>
      </c>
      <c r="D353" s="75" t="n">
        <v>0.009398148148148149</v>
      </c>
      <c r="E353" s="75" t="n">
        <v>0.006701388888888889</v>
      </c>
      <c r="F353" s="75" t="n">
        <v>0.01280092592592593</v>
      </c>
      <c r="G353" s="75" t="n">
        <v>0.07262731481481481</v>
      </c>
      <c r="H353" s="75" t="n">
        <v>0.00900462962962963</v>
      </c>
      <c r="I353" s="75" t="n">
        <v>0.011875</v>
      </c>
      <c r="J353" s="75" t="n">
        <v>0.007164351851851851</v>
      </c>
      <c r="K353" s="75" t="n">
        <v>0.02355324074074074</v>
      </c>
      <c r="L353" s="75" t="n">
        <v>0.01090277777777778</v>
      </c>
      <c r="M353" s="75" t="n">
        <v>0.01465277777777778</v>
      </c>
      <c r="N353" s="75" t="n">
        <v>0.01795138888888889</v>
      </c>
      <c r="O353" s="75" t="n">
        <v>0.01178240740740741</v>
      </c>
      <c r="P353" s="75" t="n">
        <v>0.02184027777777778</v>
      </c>
    </row>
    <row r="354" ht="15.75" customHeight="1" s="45">
      <c r="A354" s="76" t="n">
        <v>46108</v>
      </c>
      <c r="B354" s="77" t="inlineStr">
        <is>
          <t>Antes-Projeto</t>
        </is>
      </c>
      <c r="C354" s="78" t="inlineStr">
        <is>
          <t>Tempo Médio — 🟢 Verde   (hh:mm)</t>
        </is>
      </c>
      <c r="D354" s="79" t="n">
        <v>0.09829861111111111</v>
      </c>
      <c r="E354" s="79" t="n">
        <v>0.1904398148148148</v>
      </c>
      <c r="F354" s="79" t="n">
        <v>0.1323263888888889</v>
      </c>
      <c r="G354" s="79" t="n">
        <v>0.1174537037037037</v>
      </c>
      <c r="H354" s="79" t="n">
        <v>0.08716435185185185</v>
      </c>
      <c r="I354" s="79" t="n">
        <v>0.1414236111111111</v>
      </c>
      <c r="J354" s="79" t="n">
        <v>0.09711805555555555</v>
      </c>
      <c r="K354" s="79" t="n">
        <v>0.08099537037037037</v>
      </c>
      <c r="L354" s="79" t="n">
        <v>0.1277314814814815</v>
      </c>
      <c r="M354" s="79" t="n">
        <v>0.1063773148148148</v>
      </c>
      <c r="N354" s="79" t="n">
        <v>0.1288194444444444</v>
      </c>
      <c r="O354" s="79" t="n">
        <v>0.09674768518518519</v>
      </c>
      <c r="P354" s="79" t="n">
        <v>0.1542939814814815</v>
      </c>
    </row>
    <row r="355" ht="15.75" customHeight="1" s="45">
      <c r="A355" s="57" t="n">
        <v>46109</v>
      </c>
      <c r="B355" s="58" t="inlineStr">
        <is>
          <t>Antes-Projeto</t>
        </is>
      </c>
      <c r="C355" s="59" t="inlineStr">
        <is>
          <t>Acolhim. + Atend. Urgência + Atend. UPA</t>
        </is>
      </c>
      <c r="D355" s="60">
        <f>SUM(D356:D358)</f>
        <v/>
      </c>
      <c r="E355" s="60">
        <f>SUM(E356:E358)</f>
        <v/>
      </c>
      <c r="F355" s="60">
        <f>SUM(F356:F358)</f>
        <v/>
      </c>
      <c r="G355" s="60">
        <f>SUM(G356:G358)</f>
        <v/>
      </c>
      <c r="H355" s="60">
        <f>SUM(H356:H358)</f>
        <v/>
      </c>
      <c r="I355" s="60">
        <f>SUM(I356:I358)</f>
        <v/>
      </c>
      <c r="J355" s="60">
        <f>SUM(J356:J358)</f>
        <v/>
      </c>
      <c r="K355" s="60">
        <f>SUM(K356:K358)</f>
        <v/>
      </c>
      <c r="L355" s="60">
        <f>SUM(L356:L358)</f>
        <v/>
      </c>
      <c r="M355" s="60">
        <f>SUM(M356:M358)</f>
        <v/>
      </c>
      <c r="N355" s="60">
        <f>SUM(N356:N358)</f>
        <v/>
      </c>
      <c r="O355" s="60">
        <f>SUM(O356:O358)</f>
        <v/>
      </c>
      <c r="P355" s="60">
        <f>SUM(P356:P358)</f>
        <v/>
      </c>
    </row>
    <row r="356" ht="15.75" customHeight="1" s="45">
      <c r="A356" s="61" t="n">
        <v>46109</v>
      </c>
      <c r="B356" s="62" t="inlineStr">
        <is>
          <t>Antes-Projeto</t>
        </is>
      </c>
      <c r="C356" s="65" t="inlineStr">
        <is>
          <t>Acolhimento c/ Classif. de Risco</t>
        </is>
      </c>
      <c r="D356" s="66" t="n">
        <v>176</v>
      </c>
      <c r="E356" s="66" t="n">
        <v>122</v>
      </c>
      <c r="F356" s="66" t="n">
        <v>147</v>
      </c>
      <c r="G356" s="66" t="n">
        <v>118</v>
      </c>
      <c r="H356" s="66" t="n">
        <v>112</v>
      </c>
      <c r="I356" s="66" t="n">
        <v>175</v>
      </c>
      <c r="J356" s="66" t="n">
        <v>41</v>
      </c>
      <c r="K356" s="66" t="n">
        <v>248</v>
      </c>
      <c r="L356" s="66" t="n">
        <v>133</v>
      </c>
      <c r="M356" s="66" t="n">
        <v>206</v>
      </c>
      <c r="N356" s="66" t="n">
        <v>172</v>
      </c>
      <c r="O356" s="66" t="n">
        <v>251</v>
      </c>
      <c r="P356" s="66" t="n">
        <v>248</v>
      </c>
    </row>
    <row r="357" ht="15.75" customHeight="1" s="45">
      <c r="A357" s="61" t="n">
        <v>46109</v>
      </c>
      <c r="B357" s="62" t="inlineStr">
        <is>
          <t>Antes-Projeto</t>
        </is>
      </c>
      <c r="C357" s="63" t="inlineStr">
        <is>
          <t>Atend. Urgência Obs. ≤ 24h</t>
        </is>
      </c>
      <c r="D357" s="64" t="n">
        <v>21</v>
      </c>
      <c r="E357" s="64" t="n">
        <v>72</v>
      </c>
      <c r="F357" s="64" t="n">
        <v>15</v>
      </c>
      <c r="G357" s="64" t="n">
        <v>19</v>
      </c>
      <c r="H357" s="64" t="n">
        <v>14</v>
      </c>
      <c r="I357" s="64" t="n">
        <v>65</v>
      </c>
      <c r="J357" s="64" t="n">
        <v>14</v>
      </c>
      <c r="K357" s="64" t="n">
        <v>29</v>
      </c>
      <c r="L357" s="64" t="n">
        <v>25</v>
      </c>
      <c r="M357" s="64" t="n">
        <v>23</v>
      </c>
      <c r="N357" s="64" t="n">
        <v>35</v>
      </c>
      <c r="O357" s="64" t="n">
        <v>7</v>
      </c>
      <c r="P357" s="64" t="n">
        <v>16</v>
      </c>
    </row>
    <row r="358" ht="15.75" customHeight="1" s="45">
      <c r="A358" s="61" t="n">
        <v>46109</v>
      </c>
      <c r="B358" s="62" t="inlineStr">
        <is>
          <t>Antes-Projeto</t>
        </is>
      </c>
      <c r="C358" s="65" t="inlineStr">
        <is>
          <t>Atend. Médico em UPA</t>
        </is>
      </c>
      <c r="D358" s="66" t="n">
        <v>97</v>
      </c>
      <c r="E358" s="66" t="n">
        <v>66</v>
      </c>
      <c r="F358" s="66" t="n">
        <v>107</v>
      </c>
      <c r="G358" s="66" t="n">
        <v>50</v>
      </c>
      <c r="H358" s="66" t="n">
        <v>93</v>
      </c>
      <c r="I358" s="66" t="n">
        <v>131</v>
      </c>
      <c r="J358" s="66" t="n">
        <v>29</v>
      </c>
      <c r="K358" s="66" t="n">
        <v>163</v>
      </c>
      <c r="L358" s="66" t="n">
        <v>72</v>
      </c>
      <c r="M358" s="66" t="n">
        <v>156</v>
      </c>
      <c r="N358" s="66" t="n">
        <v>128</v>
      </c>
      <c r="O358" s="66" t="n">
        <v>159</v>
      </c>
      <c r="P358" s="66" t="n">
        <v>141</v>
      </c>
    </row>
    <row r="359" ht="15.75" customHeight="1" s="45">
      <c r="A359" s="61" t="n">
        <v>46109</v>
      </c>
      <c r="B359" s="62" t="inlineStr">
        <is>
          <t>Antes-Projeto</t>
        </is>
      </c>
      <c r="C359" s="63" t="inlineStr">
        <is>
          <t>Exames Laboratoriais</t>
        </is>
      </c>
      <c r="D359" s="64" t="n">
        <v>447</v>
      </c>
      <c r="E359" s="64" t="n">
        <v>210</v>
      </c>
      <c r="F359" s="64" t="n">
        <v>81</v>
      </c>
      <c r="G359" s="64" t="n">
        <v>202</v>
      </c>
      <c r="H359" s="64" t="n">
        <v>266</v>
      </c>
      <c r="I359" s="64" t="n">
        <v>544</v>
      </c>
      <c r="J359" s="64" t="n">
        <v>183</v>
      </c>
      <c r="K359" s="64" t="n">
        <v>849</v>
      </c>
      <c r="L359" s="64" t="n">
        <v>630</v>
      </c>
      <c r="M359" s="64" t="n">
        <v>491</v>
      </c>
      <c r="N359" s="64" t="n">
        <v>519</v>
      </c>
      <c r="O359" s="64" t="n">
        <v>168</v>
      </c>
      <c r="P359" s="64" t="n">
        <v>409</v>
      </c>
    </row>
    <row r="360" ht="15.75" customHeight="1" s="45">
      <c r="A360" s="61" t="n">
        <v>46109</v>
      </c>
      <c r="B360" s="62" t="inlineStr">
        <is>
          <t>Antes-Projeto</t>
        </is>
      </c>
      <c r="C360" s="65" t="inlineStr">
        <is>
          <t>Radiografias</t>
        </is>
      </c>
      <c r="D360" s="66" t="n">
        <v>22</v>
      </c>
      <c r="E360" s="66" t="n">
        <v>18</v>
      </c>
      <c r="F360" s="66" t="n">
        <v>14</v>
      </c>
      <c r="G360" s="66" t="n">
        <v>13</v>
      </c>
      <c r="H360" s="66" t="n">
        <v>5</v>
      </c>
      <c r="I360" s="66" t="n">
        <v>27</v>
      </c>
      <c r="J360" s="66" t="n">
        <v>1</v>
      </c>
      <c r="K360" s="66" t="n">
        <v>39</v>
      </c>
      <c r="L360" s="66" t="n">
        <v>33</v>
      </c>
      <c r="M360" s="66" t="n">
        <v>41</v>
      </c>
      <c r="N360" s="66" t="n">
        <v>33</v>
      </c>
      <c r="O360" s="66" t="n">
        <v>39</v>
      </c>
      <c r="P360" s="66" t="n">
        <v>58</v>
      </c>
    </row>
    <row r="361" ht="15.75" customHeight="1" s="45">
      <c r="A361" s="61" t="n">
        <v>46109</v>
      </c>
      <c r="B361" s="62" t="inlineStr">
        <is>
          <t>Antes-Projeto</t>
        </is>
      </c>
      <c r="C361" s="63" t="inlineStr">
        <is>
          <t>Eletrocardiogramas</t>
        </is>
      </c>
      <c r="D361" s="64" t="n">
        <v>9</v>
      </c>
      <c r="E361" s="64" t="n">
        <v>13</v>
      </c>
      <c r="F361" s="64" t="n">
        <v>10</v>
      </c>
      <c r="G361" s="64" t="n">
        <v>2</v>
      </c>
      <c r="H361" s="64" t="n">
        <v>6</v>
      </c>
      <c r="I361" s="64" t="n">
        <v>11</v>
      </c>
      <c r="J361" s="67" t="n">
        <v>0</v>
      </c>
      <c r="K361" s="64" t="n">
        <v>18</v>
      </c>
      <c r="L361" s="64" t="n">
        <v>12</v>
      </c>
      <c r="M361" s="64" t="n">
        <v>4</v>
      </c>
      <c r="N361" s="64" t="n">
        <v>10</v>
      </c>
      <c r="O361" s="64" t="n">
        <v>9</v>
      </c>
      <c r="P361" s="64" t="n">
        <v>16</v>
      </c>
    </row>
    <row r="362" ht="15.75" customHeight="1" s="45">
      <c r="A362" s="61" t="n">
        <v>46109</v>
      </c>
      <c r="B362" s="62" t="inlineStr">
        <is>
          <t>Antes-Projeto</t>
        </is>
      </c>
      <c r="C362" s="68" t="inlineStr">
        <is>
          <t>GAEs Abertas</t>
        </is>
      </c>
      <c r="D362" s="69" t="n">
        <v>188</v>
      </c>
      <c r="E362" s="69" t="n">
        <v>141</v>
      </c>
      <c r="F362" s="69" t="n">
        <v>151</v>
      </c>
      <c r="G362" s="69" t="n">
        <v>118</v>
      </c>
      <c r="H362" s="69" t="n">
        <v>119</v>
      </c>
      <c r="I362" s="69" t="n">
        <v>190</v>
      </c>
      <c r="J362" s="69" t="n">
        <v>51</v>
      </c>
      <c r="K362" s="69" t="n">
        <v>261</v>
      </c>
      <c r="L362" s="69" t="n">
        <v>139</v>
      </c>
      <c r="M362" s="69" t="n">
        <v>226</v>
      </c>
      <c r="N362" s="69" t="n">
        <v>175</v>
      </c>
      <c r="O362" s="69" t="n">
        <v>251</v>
      </c>
      <c r="P362" s="69" t="n">
        <v>265</v>
      </c>
    </row>
    <row r="363" ht="15.75" customHeight="1" s="45">
      <c r="A363" s="61" t="n">
        <v>46109</v>
      </c>
      <c r="B363" s="62" t="inlineStr">
        <is>
          <t>Antes-Projeto</t>
        </is>
      </c>
      <c r="C363" s="68" t="inlineStr">
        <is>
          <t>GAEs Classificadas</t>
        </is>
      </c>
      <c r="D363" s="69" t="n">
        <v>173</v>
      </c>
      <c r="E363" s="69" t="n">
        <v>122</v>
      </c>
      <c r="F363" s="69" t="n">
        <v>148</v>
      </c>
      <c r="G363" s="69" t="n">
        <v>117</v>
      </c>
      <c r="H363" s="69" t="n">
        <v>112</v>
      </c>
      <c r="I363" s="69" t="n">
        <v>167</v>
      </c>
      <c r="J363" s="69" t="n">
        <v>40</v>
      </c>
      <c r="K363" s="69" t="n">
        <v>251</v>
      </c>
      <c r="L363" s="69" t="n">
        <v>134</v>
      </c>
      <c r="M363" s="69" t="n">
        <v>202</v>
      </c>
      <c r="N363" s="69" t="n">
        <v>170</v>
      </c>
      <c r="O363" s="69" t="n">
        <v>247</v>
      </c>
      <c r="P363" s="69" t="n">
        <v>250</v>
      </c>
    </row>
    <row r="364" ht="15.75" customHeight="1" s="45">
      <c r="A364" s="61" t="n">
        <v>46109</v>
      </c>
      <c r="B364" s="62" t="inlineStr">
        <is>
          <t>Antes-Projeto</t>
        </is>
      </c>
      <c r="C364" s="70" t="inlineStr">
        <is>
          <t>Percentual de GAEs abertas classificadas</t>
        </is>
      </c>
      <c r="D364" s="71">
        <f>IFERROR(D363/D362,"-")</f>
        <v/>
      </c>
      <c r="E364" s="71">
        <f>IFERROR(E363/E362,"-")</f>
        <v/>
      </c>
      <c r="F364" s="71">
        <f>IFERROR(F363/F362,"-")</f>
        <v/>
      </c>
      <c r="G364" s="71">
        <f>IFERROR(G363/G362,"-")</f>
        <v/>
      </c>
      <c r="H364" s="71">
        <f>IFERROR(H363/H362,"-")</f>
        <v/>
      </c>
      <c r="I364" s="71">
        <f>IFERROR(I363/I362,"-")</f>
        <v/>
      </c>
      <c r="J364" s="71">
        <f>IFERROR(J363/J362,"-")</f>
        <v/>
      </c>
      <c r="K364" s="71">
        <f>IFERROR(K363/K362,"-")</f>
        <v/>
      </c>
      <c r="L364" s="71">
        <f>IFERROR(L363/L362,"-")</f>
        <v/>
      </c>
      <c r="M364" s="71">
        <f>IFERROR(M363/M362,"-")</f>
        <v/>
      </c>
      <c r="N364" s="71">
        <f>IFERROR(N363/N362,"-")</f>
        <v/>
      </c>
      <c r="O364" s="71">
        <f>IFERROR(O363/O362,"-")</f>
        <v/>
      </c>
      <c r="P364" s="71">
        <f>IFERROR(P363/P362,"-")</f>
        <v/>
      </c>
    </row>
    <row r="365" ht="15.75" customHeight="1" s="45">
      <c r="A365" s="61" t="n">
        <v>46109</v>
      </c>
      <c r="B365" s="62" t="inlineStr">
        <is>
          <t>Antes-Projeto</t>
        </is>
      </c>
      <c r="C365" s="72" t="inlineStr">
        <is>
          <t>Tempo Médio — 🟡 Amarelo (hh:mm)</t>
        </is>
      </c>
      <c r="D365" s="73" t="n">
        <v>0.05630787037037037</v>
      </c>
      <c r="E365" s="73" t="n">
        <v>0.07111111111111111</v>
      </c>
      <c r="F365" s="73" t="n">
        <v>0.07379629629629629</v>
      </c>
      <c r="G365" s="73" t="n">
        <v>0.06003472222222223</v>
      </c>
      <c r="H365" s="73" t="n">
        <v>0.07467592592592592</v>
      </c>
      <c r="I365" s="73" t="n">
        <v>0.1645717592592593</v>
      </c>
      <c r="J365" s="73" t="n">
        <v>0.08996527777777778</v>
      </c>
      <c r="K365" s="73" t="n">
        <v>0.1088425925925926</v>
      </c>
      <c r="L365" s="73" t="n">
        <v>0.06611111111111111</v>
      </c>
      <c r="M365" s="73" t="n">
        <v>0.05603009259259259</v>
      </c>
      <c r="N365" s="73" t="n">
        <v>0.03664351851851852</v>
      </c>
      <c r="O365" s="73" t="n">
        <v>0.1007060185185185</v>
      </c>
      <c r="P365" s="73" t="n">
        <v>0.08949074074074075</v>
      </c>
    </row>
    <row r="366" ht="15.75" customHeight="1" s="45">
      <c r="A366" s="61" t="n">
        <v>46109</v>
      </c>
      <c r="B366" s="62" t="inlineStr">
        <is>
          <t>Antes-Projeto</t>
        </is>
      </c>
      <c r="C366" s="74" t="inlineStr">
        <is>
          <t>Tempo Médio — 🟠 Laranja (hh:mm)</t>
        </is>
      </c>
      <c r="D366" s="75" t="n">
        <v>0.00931712962962963</v>
      </c>
      <c r="E366" s="75" t="n">
        <v>0.01737268518518519</v>
      </c>
      <c r="F366" s="75" t="n">
        <v>0.007835648148148149</v>
      </c>
      <c r="G366" s="75" t="n">
        <v>0.003611111111111111</v>
      </c>
      <c r="H366" s="75" t="n">
        <v>0.007719907407407407</v>
      </c>
      <c r="I366" s="75" t="n">
        <v>0.008958333333333334</v>
      </c>
      <c r="J366" s="75" t="n">
        <v>0.04210648148148148</v>
      </c>
      <c r="K366" s="75" t="n">
        <v>0.01326388888888889</v>
      </c>
      <c r="L366" s="75" t="n">
        <v>0.01457175925925926</v>
      </c>
      <c r="M366" s="75" t="n">
        <v>0.008530092592592593</v>
      </c>
      <c r="N366" s="75" t="n">
        <v>0.01136574074074074</v>
      </c>
      <c r="O366" s="80" t="n">
        <v>0</v>
      </c>
      <c r="P366" s="75" t="n">
        <v>0.01381944444444444</v>
      </c>
    </row>
    <row r="367" ht="15.75" customHeight="1" s="45">
      <c r="A367" s="76" t="n">
        <v>46109</v>
      </c>
      <c r="B367" s="77" t="inlineStr">
        <is>
          <t>Antes-Projeto</t>
        </is>
      </c>
      <c r="C367" s="78" t="inlineStr">
        <is>
          <t>Tempo Médio — 🟢 Verde   (hh:mm)</t>
        </is>
      </c>
      <c r="D367" s="79" t="n">
        <v>0.08599537037037037</v>
      </c>
      <c r="E367" s="79" t="n">
        <v>0.09965277777777778</v>
      </c>
      <c r="F367" s="79" t="n">
        <v>0.1570833333333333</v>
      </c>
      <c r="G367" s="79" t="n">
        <v>0.1338194444444444</v>
      </c>
      <c r="H367" s="79" t="n">
        <v>0.1065046296296296</v>
      </c>
      <c r="I367" s="79" t="n">
        <v>0.2322916666666667</v>
      </c>
      <c r="J367" s="79" t="n">
        <v>0.1636342592592593</v>
      </c>
      <c r="K367" s="79" t="n">
        <v>0.1003356481481481</v>
      </c>
      <c r="L367" s="79" t="n">
        <v>0.1065393518518519</v>
      </c>
      <c r="M367" s="79" t="n">
        <v>0.07494212962962964</v>
      </c>
      <c r="N367" s="79" t="n">
        <v>0.09322916666666667</v>
      </c>
      <c r="O367" s="79" t="n">
        <v>0.142662037037037</v>
      </c>
      <c r="P367" s="79" t="n">
        <v>0.1077314814814815</v>
      </c>
    </row>
    <row r="368" ht="15.75" customHeight="1" s="45">
      <c r="A368" s="57" t="n">
        <v>46110</v>
      </c>
      <c r="B368" s="58" t="inlineStr">
        <is>
          <t>Antes-Projeto</t>
        </is>
      </c>
      <c r="C368" s="59" t="inlineStr">
        <is>
          <t>Acolhim. + Atend. Urgência + Atend. UPA</t>
        </is>
      </c>
      <c r="D368" s="60">
        <f>SUM(D369:D371)</f>
        <v/>
      </c>
      <c r="E368" s="60">
        <f>SUM(E369:E371)</f>
        <v/>
      </c>
      <c r="F368" s="60">
        <f>SUM(F369:F371)</f>
        <v/>
      </c>
      <c r="G368" s="60">
        <f>SUM(G369:G371)</f>
        <v/>
      </c>
      <c r="H368" s="60">
        <f>SUM(H369:H371)</f>
        <v/>
      </c>
      <c r="I368" s="60">
        <f>SUM(I369:I371)</f>
        <v/>
      </c>
      <c r="J368" s="60">
        <f>SUM(J369:J371)</f>
        <v/>
      </c>
      <c r="K368" s="60">
        <f>SUM(K369:K371)</f>
        <v/>
      </c>
      <c r="L368" s="60">
        <f>SUM(L369:L371)</f>
        <v/>
      </c>
      <c r="M368" s="60">
        <f>SUM(M369:M371)</f>
        <v/>
      </c>
      <c r="N368" s="60">
        <f>SUM(N369:N371)</f>
        <v/>
      </c>
      <c r="O368" s="60">
        <f>SUM(O369:O371)</f>
        <v/>
      </c>
      <c r="P368" s="60">
        <f>SUM(P369:P371)</f>
        <v/>
      </c>
    </row>
    <row r="369" ht="15.75" customHeight="1" s="45">
      <c r="A369" s="61" t="n">
        <v>46110</v>
      </c>
      <c r="B369" s="62" t="inlineStr">
        <is>
          <t>Antes-Projeto</t>
        </is>
      </c>
      <c r="C369" s="63" t="inlineStr">
        <is>
          <t>Acolhimento c/ Classif. de Risco</t>
        </is>
      </c>
      <c r="D369" s="64" t="n">
        <v>175</v>
      </c>
      <c r="E369" s="64" t="n">
        <v>121</v>
      </c>
      <c r="F369" s="64" t="n">
        <v>135</v>
      </c>
      <c r="G369" s="64" t="n">
        <v>96</v>
      </c>
      <c r="H369" s="64" t="n">
        <v>131</v>
      </c>
      <c r="I369" s="64" t="n">
        <v>169</v>
      </c>
      <c r="J369" s="64" t="n">
        <v>38</v>
      </c>
      <c r="K369" s="64" t="n">
        <v>256</v>
      </c>
      <c r="L369" s="64" t="n">
        <v>131</v>
      </c>
      <c r="M369" s="64" t="n">
        <v>232</v>
      </c>
      <c r="N369" s="64" t="n">
        <v>161</v>
      </c>
      <c r="O369" s="64" t="n">
        <v>257</v>
      </c>
      <c r="P369" s="64" t="n">
        <v>225</v>
      </c>
    </row>
    <row r="370" ht="15.75" customHeight="1" s="45">
      <c r="A370" s="61" t="n">
        <v>46110</v>
      </c>
      <c r="B370" s="62" t="inlineStr">
        <is>
          <t>Antes-Projeto</t>
        </is>
      </c>
      <c r="C370" s="65" t="inlineStr">
        <is>
          <t>Atend. Urgência Obs. ≤ 24h</t>
        </is>
      </c>
      <c r="D370" s="66" t="n">
        <v>8</v>
      </c>
      <c r="E370" s="66" t="n">
        <v>67</v>
      </c>
      <c r="F370" s="66" t="n">
        <v>18</v>
      </c>
      <c r="G370" s="66" t="n">
        <v>6</v>
      </c>
      <c r="H370" s="66" t="n">
        <v>19</v>
      </c>
      <c r="I370" s="66" t="n">
        <v>63</v>
      </c>
      <c r="J370" s="66" t="n">
        <v>13</v>
      </c>
      <c r="K370" s="66" t="n">
        <v>20</v>
      </c>
      <c r="L370" s="66" t="n">
        <v>32</v>
      </c>
      <c r="M370" s="66" t="n">
        <v>27</v>
      </c>
      <c r="N370" s="66" t="n">
        <v>10</v>
      </c>
      <c r="O370" s="66" t="n">
        <v>5</v>
      </c>
      <c r="P370" s="66" t="n">
        <v>39</v>
      </c>
    </row>
    <row r="371" ht="15.75" customHeight="1" s="45">
      <c r="A371" s="61" t="n">
        <v>46110</v>
      </c>
      <c r="B371" s="62" t="inlineStr">
        <is>
          <t>Antes-Projeto</t>
        </is>
      </c>
      <c r="C371" s="63" t="inlineStr">
        <is>
          <t>Atend. Médico em UPA</t>
        </is>
      </c>
      <c r="D371" s="64" t="n">
        <v>130</v>
      </c>
      <c r="E371" s="64" t="n">
        <v>60</v>
      </c>
      <c r="F371" s="64" t="n">
        <v>90</v>
      </c>
      <c r="G371" s="64" t="n">
        <v>77</v>
      </c>
      <c r="H371" s="64" t="n">
        <v>68</v>
      </c>
      <c r="I371" s="64" t="n">
        <v>148</v>
      </c>
      <c r="J371" s="64" t="n">
        <v>16</v>
      </c>
      <c r="K371" s="64" t="n">
        <v>132</v>
      </c>
      <c r="L371" s="64" t="n">
        <v>69</v>
      </c>
      <c r="M371" s="64" t="n">
        <v>172</v>
      </c>
      <c r="N371" s="64" t="n">
        <v>100</v>
      </c>
      <c r="O371" s="64" t="n">
        <v>197</v>
      </c>
      <c r="P371" s="64" t="n">
        <v>124</v>
      </c>
    </row>
    <row r="372" ht="15.75" customHeight="1" s="45">
      <c r="A372" s="61" t="n">
        <v>46110</v>
      </c>
      <c r="B372" s="62" t="inlineStr">
        <is>
          <t>Antes-Projeto</t>
        </is>
      </c>
      <c r="C372" s="65" t="inlineStr">
        <is>
          <t>Exames Laboratoriais</t>
        </is>
      </c>
      <c r="D372" s="66" t="n">
        <v>497</v>
      </c>
      <c r="E372" s="66" t="n">
        <v>225</v>
      </c>
      <c r="F372" s="66" t="n">
        <v>340</v>
      </c>
      <c r="G372" s="66" t="n">
        <v>190</v>
      </c>
      <c r="H372" s="66" t="n">
        <v>327</v>
      </c>
      <c r="I372" s="66" t="n">
        <v>523</v>
      </c>
      <c r="J372" s="66" t="n">
        <v>45</v>
      </c>
      <c r="K372" s="66" t="n">
        <v>751</v>
      </c>
      <c r="L372" s="66" t="n">
        <v>681</v>
      </c>
      <c r="M372" s="66" t="n">
        <v>633</v>
      </c>
      <c r="N372" s="66" t="n">
        <v>353</v>
      </c>
      <c r="O372" s="66" t="n">
        <v>371</v>
      </c>
      <c r="P372" s="66" t="n">
        <v>649</v>
      </c>
    </row>
    <row r="373" ht="15.75" customHeight="1" s="45">
      <c r="A373" s="61" t="n">
        <v>46110</v>
      </c>
      <c r="B373" s="62" t="inlineStr">
        <is>
          <t>Antes-Projeto</t>
        </is>
      </c>
      <c r="C373" s="63" t="inlineStr">
        <is>
          <t>Radiografias</t>
        </is>
      </c>
      <c r="D373" s="64" t="n">
        <v>27</v>
      </c>
      <c r="E373" s="64" t="n">
        <v>22</v>
      </c>
      <c r="F373" s="64" t="n">
        <v>34</v>
      </c>
      <c r="G373" s="64" t="n">
        <v>14</v>
      </c>
      <c r="H373" s="64" t="n">
        <v>18</v>
      </c>
      <c r="I373" s="64" t="n">
        <v>18</v>
      </c>
      <c r="J373" s="64" t="n">
        <v>1</v>
      </c>
      <c r="K373" s="64" t="n">
        <v>48</v>
      </c>
      <c r="L373" s="64" t="n">
        <v>35</v>
      </c>
      <c r="M373" s="64" t="n">
        <v>54</v>
      </c>
      <c r="N373" s="64" t="n">
        <v>20</v>
      </c>
      <c r="O373" s="64" t="n">
        <v>35</v>
      </c>
      <c r="P373" s="64" t="n">
        <v>46</v>
      </c>
    </row>
    <row r="374" ht="15.75" customHeight="1" s="45">
      <c r="A374" s="61" t="n">
        <v>46110</v>
      </c>
      <c r="B374" s="62" t="inlineStr">
        <is>
          <t>Antes-Projeto</t>
        </is>
      </c>
      <c r="C374" s="65" t="inlineStr">
        <is>
          <t>Eletrocardiogramas</t>
        </is>
      </c>
      <c r="D374" s="66" t="n">
        <v>11</v>
      </c>
      <c r="E374" s="66" t="n">
        <v>8</v>
      </c>
      <c r="F374" s="66" t="n">
        <v>6</v>
      </c>
      <c r="G374" s="66" t="n">
        <v>12</v>
      </c>
      <c r="H374" s="66" t="n">
        <v>10</v>
      </c>
      <c r="I374" s="66" t="n">
        <v>18</v>
      </c>
      <c r="J374" s="66" t="n">
        <v>2</v>
      </c>
      <c r="K374" s="66" t="n">
        <v>22</v>
      </c>
      <c r="L374" s="66" t="n">
        <v>16</v>
      </c>
      <c r="M374" s="66" t="n">
        <v>10</v>
      </c>
      <c r="N374" s="66" t="n">
        <v>8</v>
      </c>
      <c r="O374" s="66" t="n">
        <v>9</v>
      </c>
      <c r="P374" s="66" t="n">
        <v>15</v>
      </c>
    </row>
    <row r="375" ht="15.75" customHeight="1" s="45">
      <c r="A375" s="61" t="n">
        <v>46110</v>
      </c>
      <c r="B375" s="62" t="inlineStr">
        <is>
          <t>Antes-Projeto</t>
        </is>
      </c>
      <c r="C375" s="68" t="inlineStr">
        <is>
          <t>GAEs Abertas</t>
        </is>
      </c>
      <c r="D375" s="69" t="n">
        <v>186</v>
      </c>
      <c r="E375" s="69" t="n">
        <v>130</v>
      </c>
      <c r="F375" s="69" t="n">
        <v>137</v>
      </c>
      <c r="G375" s="69" t="n">
        <v>97</v>
      </c>
      <c r="H375" s="69" t="n">
        <v>134</v>
      </c>
      <c r="I375" s="69" t="n">
        <v>189</v>
      </c>
      <c r="J375" s="69" t="n">
        <v>46</v>
      </c>
      <c r="K375" s="69" t="n">
        <v>277</v>
      </c>
      <c r="L375" s="69" t="n">
        <v>135</v>
      </c>
      <c r="M375" s="69" t="n">
        <v>249</v>
      </c>
      <c r="N375" s="69" t="n">
        <v>165</v>
      </c>
      <c r="O375" s="69" t="n">
        <v>268</v>
      </c>
      <c r="P375" s="69" t="n">
        <v>225</v>
      </c>
    </row>
    <row r="376" ht="15.75" customHeight="1" s="45">
      <c r="A376" s="61" t="n">
        <v>46110</v>
      </c>
      <c r="B376" s="62" t="inlineStr">
        <is>
          <t>Antes-Projeto</t>
        </is>
      </c>
      <c r="C376" s="68" t="inlineStr">
        <is>
          <t>GAEs Classificadas</t>
        </is>
      </c>
      <c r="D376" s="69" t="n">
        <v>183</v>
      </c>
      <c r="E376" s="69" t="n">
        <v>123</v>
      </c>
      <c r="F376" s="69" t="n">
        <v>135</v>
      </c>
      <c r="G376" s="69" t="n">
        <v>97</v>
      </c>
      <c r="H376" s="69" t="n">
        <v>131</v>
      </c>
      <c r="I376" s="69" t="n">
        <v>168</v>
      </c>
      <c r="J376" s="69" t="n">
        <v>38</v>
      </c>
      <c r="K376" s="69" t="n">
        <v>249</v>
      </c>
      <c r="L376" s="69" t="n">
        <v>130</v>
      </c>
      <c r="M376" s="69" t="n">
        <v>233</v>
      </c>
      <c r="N376" s="69" t="n">
        <v>160</v>
      </c>
      <c r="O376" s="69" t="n">
        <v>262</v>
      </c>
      <c r="P376" s="69" t="n">
        <v>220</v>
      </c>
    </row>
    <row r="377" ht="15.75" customHeight="1" s="45">
      <c r="A377" s="61" t="n">
        <v>46110</v>
      </c>
      <c r="B377" s="62" t="inlineStr">
        <is>
          <t>Antes-Projeto</t>
        </is>
      </c>
      <c r="C377" s="70" t="inlineStr">
        <is>
          <t>Percentual de GAEs abertas classificadas</t>
        </is>
      </c>
      <c r="D377" s="71">
        <f>IFERROR(D376/D375,"-")</f>
        <v/>
      </c>
      <c r="E377" s="71">
        <f>IFERROR(E376/E375,"-")</f>
        <v/>
      </c>
      <c r="F377" s="71">
        <f>IFERROR(F376/F375,"-")</f>
        <v/>
      </c>
      <c r="G377" s="71">
        <f>IFERROR(G376/G375,"-")</f>
        <v/>
      </c>
      <c r="H377" s="71">
        <f>IFERROR(H376/H375,"-")</f>
        <v/>
      </c>
      <c r="I377" s="71">
        <f>IFERROR(I376/I375,"-")</f>
        <v/>
      </c>
      <c r="J377" s="71">
        <f>IFERROR(J376/J375,"-")</f>
        <v/>
      </c>
      <c r="K377" s="71">
        <f>IFERROR(K376/K375,"-")</f>
        <v/>
      </c>
      <c r="L377" s="71">
        <f>IFERROR(L376/L375,"-")</f>
        <v/>
      </c>
      <c r="M377" s="71">
        <f>IFERROR(M376/M375,"-")</f>
        <v/>
      </c>
      <c r="N377" s="71">
        <f>IFERROR(N376/N375,"-")</f>
        <v/>
      </c>
      <c r="O377" s="71">
        <f>IFERROR(O376/O375,"-")</f>
        <v/>
      </c>
      <c r="P377" s="71">
        <f>IFERROR(P376/P375,"-")</f>
        <v/>
      </c>
    </row>
    <row r="378" ht="15.75" customHeight="1" s="45">
      <c r="A378" s="61" t="n">
        <v>46110</v>
      </c>
      <c r="B378" s="62" t="inlineStr">
        <is>
          <t>Antes-Projeto</t>
        </is>
      </c>
      <c r="C378" s="72" t="inlineStr">
        <is>
          <t>Tempo Médio — 🟡 Amarelo (hh:mm)</t>
        </is>
      </c>
      <c r="D378" s="73" t="n">
        <v>0.05174768518518519</v>
      </c>
      <c r="E378" s="73" t="n">
        <v>0.0775</v>
      </c>
      <c r="F378" s="73" t="n">
        <v>0.04299768518518519</v>
      </c>
      <c r="G378" s="73" t="n">
        <v>0.02381944444444445</v>
      </c>
      <c r="H378" s="73" t="n">
        <v>0.1499189814814815</v>
      </c>
      <c r="I378" s="73" t="n">
        <v>0.09375</v>
      </c>
      <c r="J378" s="73" t="n">
        <v>0.2500231481481481</v>
      </c>
      <c r="K378" s="73" t="n">
        <v>0.07979166666666666</v>
      </c>
      <c r="L378" s="73" t="n">
        <v>0.1942013888888889</v>
      </c>
      <c r="M378" s="73" t="n">
        <v>0.05731481481481481</v>
      </c>
      <c r="N378" s="73" t="n">
        <v>0.05030092592592592</v>
      </c>
      <c r="O378" s="73" t="n">
        <v>0.0902199074074074</v>
      </c>
      <c r="P378" s="73" t="n">
        <v>0.09351851851851851</v>
      </c>
    </row>
    <row r="379" ht="15.75" customHeight="1" s="45">
      <c r="A379" s="61" t="n">
        <v>46110</v>
      </c>
      <c r="B379" s="62" t="inlineStr">
        <is>
          <t>Antes-Projeto</t>
        </is>
      </c>
      <c r="C379" s="74" t="inlineStr">
        <is>
          <t>Tempo Médio — 🟠 Laranja (hh:mm)</t>
        </is>
      </c>
      <c r="D379" s="75" t="n">
        <v>0.005613425925925926</v>
      </c>
      <c r="E379" s="75" t="n">
        <v>0.02590277777777778</v>
      </c>
      <c r="F379" s="75" t="n">
        <v>0.007465277777777778</v>
      </c>
      <c r="G379" s="75" t="n">
        <v>0.007662037037037037</v>
      </c>
      <c r="H379" s="75" t="n">
        <v>0.009733796296296296</v>
      </c>
      <c r="I379" s="75" t="n">
        <v>0.01188657407407407</v>
      </c>
      <c r="J379" s="75" t="n">
        <v>0.3049074074074074</v>
      </c>
      <c r="K379" s="75" t="n">
        <v>0.01939814814814815</v>
      </c>
      <c r="L379" s="75" t="n">
        <v>0.0278125</v>
      </c>
      <c r="M379" s="75" t="n">
        <v>0.01496527777777778</v>
      </c>
      <c r="N379" s="75" t="n">
        <v>0.01365740740740741</v>
      </c>
      <c r="O379" s="75" t="n">
        <v>0.009675925925925926</v>
      </c>
      <c r="P379" s="75" t="n">
        <v>0.0174537037037037</v>
      </c>
    </row>
    <row r="380" ht="15.75" customHeight="1" s="45">
      <c r="A380" s="76" t="n">
        <v>46110</v>
      </c>
      <c r="B380" s="77" t="inlineStr">
        <is>
          <t>Antes-Projeto</t>
        </is>
      </c>
      <c r="C380" s="78" t="inlineStr">
        <is>
          <t>Tempo Médio — 🟢 Verde   (hh:mm)</t>
        </is>
      </c>
      <c r="D380" s="79" t="n">
        <v>0.09834490740740741</v>
      </c>
      <c r="E380" s="79" t="n">
        <v>0.1986458333333333</v>
      </c>
      <c r="F380" s="79" t="n">
        <v>0.158287037037037</v>
      </c>
      <c r="G380" s="79" t="n">
        <v>0.03998842592592593</v>
      </c>
      <c r="H380" s="79" t="n">
        <v>0.2268981481481482</v>
      </c>
      <c r="I380" s="79" t="n">
        <v>0.1522106481481481</v>
      </c>
      <c r="J380" s="79" t="n">
        <v>0.227662037037037</v>
      </c>
      <c r="K380" s="79" t="n">
        <v>0.1057060185185185</v>
      </c>
      <c r="L380" s="79" t="n">
        <v>0.1952430555555555</v>
      </c>
      <c r="M380" s="79" t="n">
        <v>0.06532407407407408</v>
      </c>
      <c r="N380" s="79" t="n">
        <v>0.08944444444444444</v>
      </c>
      <c r="O380" s="79" t="n">
        <v>0.157662037037037</v>
      </c>
      <c r="P380" s="79" t="n">
        <v>0.08547453703703704</v>
      </c>
    </row>
    <row r="381" ht="15.75" customHeight="1" s="45">
      <c r="A381" s="57" t="n">
        <v>46111</v>
      </c>
      <c r="B381" s="58" t="inlineStr">
        <is>
          <t>Antes-Projeto</t>
        </is>
      </c>
      <c r="C381" s="59" t="inlineStr">
        <is>
          <t>Acolhim. + Atend. Urgência + Atend. UPA</t>
        </is>
      </c>
      <c r="D381" s="60">
        <f>SUM(D382:D384)</f>
        <v/>
      </c>
      <c r="E381" s="60">
        <f>SUM(E382:E384)</f>
        <v/>
      </c>
      <c r="F381" s="60">
        <f>SUM(F382:F384)</f>
        <v/>
      </c>
      <c r="G381" s="60">
        <f>SUM(G382:G384)</f>
        <v/>
      </c>
      <c r="H381" s="60">
        <f>SUM(H382:H384)</f>
        <v/>
      </c>
      <c r="I381" s="60">
        <f>SUM(I382:I384)</f>
        <v/>
      </c>
      <c r="J381" s="60">
        <f>SUM(J382:J384)</f>
        <v/>
      </c>
      <c r="K381" s="60">
        <f>SUM(K382:K384)</f>
        <v/>
      </c>
      <c r="L381" s="60">
        <f>SUM(L382:L384)</f>
        <v/>
      </c>
      <c r="M381" s="60">
        <f>SUM(M382:M384)</f>
        <v/>
      </c>
      <c r="N381" s="60">
        <f>SUM(N382:N384)</f>
        <v/>
      </c>
      <c r="O381" s="60">
        <f>SUM(O382:O384)</f>
        <v/>
      </c>
      <c r="P381" s="60">
        <f>SUM(P382:P384)</f>
        <v/>
      </c>
    </row>
    <row r="382" ht="15.75" customHeight="1" s="45">
      <c r="A382" s="61" t="n">
        <v>46111</v>
      </c>
      <c r="B382" s="62" t="inlineStr">
        <is>
          <t>Antes-Projeto</t>
        </is>
      </c>
      <c r="C382" s="65" t="inlineStr">
        <is>
          <t>Acolhimento c/ Classif. de Risco</t>
        </is>
      </c>
      <c r="D382" s="66" t="n">
        <v>261</v>
      </c>
      <c r="E382" s="66" t="n">
        <v>186</v>
      </c>
      <c r="F382" s="66" t="n">
        <v>176</v>
      </c>
      <c r="G382" s="66" t="n">
        <v>150</v>
      </c>
      <c r="H382" s="66" t="n">
        <v>155</v>
      </c>
      <c r="I382" s="66" t="n">
        <v>227</v>
      </c>
      <c r="J382" s="66" t="n">
        <v>142</v>
      </c>
      <c r="K382" s="66" t="n">
        <v>336</v>
      </c>
      <c r="L382" s="66" t="n">
        <v>176</v>
      </c>
      <c r="M382" s="66" t="n">
        <v>316</v>
      </c>
      <c r="N382" s="66" t="n">
        <v>234</v>
      </c>
      <c r="O382" s="66" t="n">
        <v>356</v>
      </c>
      <c r="P382" s="66" t="n">
        <v>283</v>
      </c>
    </row>
    <row r="383" ht="15.75" customHeight="1" s="45">
      <c r="A383" s="61" t="n">
        <v>46111</v>
      </c>
      <c r="B383" s="62" t="inlineStr">
        <is>
          <t>Antes-Projeto</t>
        </is>
      </c>
      <c r="C383" s="63" t="inlineStr">
        <is>
          <t>Atend. Urgência Obs. ≤ 24h</t>
        </is>
      </c>
      <c r="D383" s="64" t="n">
        <v>23</v>
      </c>
      <c r="E383" s="64" t="n">
        <v>25</v>
      </c>
      <c r="F383" s="64" t="n">
        <v>27</v>
      </c>
      <c r="G383" s="64" t="n">
        <v>5</v>
      </c>
      <c r="H383" s="64" t="n">
        <v>8</v>
      </c>
      <c r="I383" s="64" t="n">
        <v>34</v>
      </c>
      <c r="J383" s="64" t="n">
        <v>18</v>
      </c>
      <c r="K383" s="64" t="n">
        <v>31</v>
      </c>
      <c r="L383" s="64" t="n">
        <v>36</v>
      </c>
      <c r="M383" s="64" t="n">
        <v>14</v>
      </c>
      <c r="N383" s="64" t="n">
        <v>12</v>
      </c>
      <c r="O383" s="64" t="n">
        <v>16</v>
      </c>
      <c r="P383" s="64" t="n">
        <v>33</v>
      </c>
    </row>
    <row r="384" ht="15.75" customHeight="1" s="45">
      <c r="A384" s="61" t="n">
        <v>46111</v>
      </c>
      <c r="B384" s="62" t="inlineStr">
        <is>
          <t>Antes-Projeto</t>
        </is>
      </c>
      <c r="C384" s="65" t="inlineStr">
        <is>
          <t>Atend. Médico em UPA</t>
        </is>
      </c>
      <c r="D384" s="66" t="n">
        <v>198</v>
      </c>
      <c r="E384" s="66" t="n">
        <v>31</v>
      </c>
      <c r="F384" s="66" t="n">
        <v>109</v>
      </c>
      <c r="G384" s="66" t="n">
        <v>104</v>
      </c>
      <c r="H384" s="66" t="n">
        <v>90</v>
      </c>
      <c r="I384" s="66" t="n">
        <v>181</v>
      </c>
      <c r="J384" s="66" t="n">
        <v>94</v>
      </c>
      <c r="K384" s="66" t="n">
        <v>182</v>
      </c>
      <c r="L384" s="66" t="n">
        <v>73</v>
      </c>
      <c r="M384" s="66" t="n">
        <v>182</v>
      </c>
      <c r="N384" s="66" t="n">
        <v>158</v>
      </c>
      <c r="O384" s="66" t="n">
        <v>250</v>
      </c>
      <c r="P384" s="66" t="n">
        <v>98</v>
      </c>
    </row>
    <row r="385" ht="15.75" customHeight="1" s="45">
      <c r="A385" s="61" t="n">
        <v>46111</v>
      </c>
      <c r="B385" s="62" t="inlineStr">
        <is>
          <t>Antes-Projeto</t>
        </is>
      </c>
      <c r="C385" s="63" t="inlineStr">
        <is>
          <t>Exames Laboratoriais</t>
        </is>
      </c>
      <c r="D385" s="64" t="n">
        <v>832</v>
      </c>
      <c r="E385" s="64" t="n">
        <v>204</v>
      </c>
      <c r="F385" s="64" t="n">
        <v>345</v>
      </c>
      <c r="G385" s="64" t="n">
        <v>260</v>
      </c>
      <c r="H385" s="64" t="n">
        <v>377</v>
      </c>
      <c r="I385" s="64" t="n">
        <v>666</v>
      </c>
      <c r="J385" s="64" t="n">
        <v>232</v>
      </c>
      <c r="K385" s="64" t="n">
        <v>766</v>
      </c>
      <c r="L385" s="64" t="n">
        <v>578</v>
      </c>
      <c r="M385" s="64" t="n">
        <v>627</v>
      </c>
      <c r="N385" s="64" t="n">
        <v>644</v>
      </c>
      <c r="O385" s="64" t="n">
        <v>517</v>
      </c>
      <c r="P385" s="64" t="n">
        <v>514</v>
      </c>
    </row>
    <row r="386" ht="15.75" customHeight="1" s="45">
      <c r="A386" s="61" t="n">
        <v>46111</v>
      </c>
      <c r="B386" s="62" t="inlineStr">
        <is>
          <t>Antes-Projeto</t>
        </is>
      </c>
      <c r="C386" s="65" t="inlineStr">
        <is>
          <t>Radiografias</t>
        </is>
      </c>
      <c r="D386" s="66" t="n">
        <v>33</v>
      </c>
      <c r="E386" s="66" t="n">
        <v>26</v>
      </c>
      <c r="F386" s="66" t="n">
        <v>22</v>
      </c>
      <c r="G386" s="66" t="n">
        <v>12</v>
      </c>
      <c r="H386" s="66" t="n">
        <v>10</v>
      </c>
      <c r="I386" s="66" t="n">
        <v>32</v>
      </c>
      <c r="J386" s="66" t="n">
        <v>24</v>
      </c>
      <c r="K386" s="66" t="n">
        <v>43</v>
      </c>
      <c r="L386" s="66" t="n">
        <v>24</v>
      </c>
      <c r="M386" s="66" t="n">
        <v>60</v>
      </c>
      <c r="N386" s="66" t="n">
        <v>23</v>
      </c>
      <c r="O386" s="66" t="n">
        <v>79</v>
      </c>
      <c r="P386" s="66" t="n">
        <v>55</v>
      </c>
    </row>
    <row r="387" ht="15.75" customHeight="1" s="45">
      <c r="A387" s="61" t="n">
        <v>46111</v>
      </c>
      <c r="B387" s="62" t="inlineStr">
        <is>
          <t>Antes-Projeto</t>
        </is>
      </c>
      <c r="C387" s="63" t="inlineStr">
        <is>
          <t>Eletrocardiogramas</t>
        </is>
      </c>
      <c r="D387" s="64" t="n">
        <v>24</v>
      </c>
      <c r="E387" s="64" t="n">
        <v>9</v>
      </c>
      <c r="F387" s="64" t="n">
        <v>2</v>
      </c>
      <c r="G387" s="64" t="n">
        <v>4</v>
      </c>
      <c r="H387" s="64" t="n">
        <v>6</v>
      </c>
      <c r="I387" s="64" t="n">
        <v>16</v>
      </c>
      <c r="J387" s="67" t="n">
        <v>0</v>
      </c>
      <c r="K387" s="64" t="n">
        <v>9</v>
      </c>
      <c r="L387" s="64" t="n">
        <v>11</v>
      </c>
      <c r="M387" s="64" t="n">
        <v>12</v>
      </c>
      <c r="N387" s="64" t="n">
        <v>18</v>
      </c>
      <c r="O387" s="64" t="n">
        <v>20</v>
      </c>
      <c r="P387" s="64" t="n">
        <v>25</v>
      </c>
    </row>
    <row r="388" ht="15.75" customHeight="1" s="45">
      <c r="A388" s="61" t="n">
        <v>46111</v>
      </c>
      <c r="B388" s="62" t="inlineStr">
        <is>
          <t>Antes-Projeto</t>
        </is>
      </c>
      <c r="C388" s="68" t="inlineStr">
        <is>
          <t>GAEs Abertas</t>
        </is>
      </c>
      <c r="D388" s="69" t="n">
        <v>266</v>
      </c>
      <c r="E388" s="69" t="n">
        <v>189</v>
      </c>
      <c r="F388" s="69" t="n">
        <v>180</v>
      </c>
      <c r="G388" s="69" t="n">
        <v>152</v>
      </c>
      <c r="H388" s="69" t="n">
        <v>164</v>
      </c>
      <c r="I388" s="69" t="n">
        <v>257</v>
      </c>
      <c r="J388" s="69" t="n">
        <v>152</v>
      </c>
      <c r="K388" s="69" t="n">
        <v>386</v>
      </c>
      <c r="L388" s="69" t="n">
        <v>194</v>
      </c>
      <c r="M388" s="69" t="n">
        <v>332</v>
      </c>
      <c r="N388" s="69" t="n">
        <v>255</v>
      </c>
      <c r="O388" s="69" t="n">
        <v>372</v>
      </c>
      <c r="P388" s="69" t="n">
        <v>304</v>
      </c>
    </row>
    <row r="389" ht="15.75" customHeight="1" s="45">
      <c r="A389" s="61" t="n">
        <v>46111</v>
      </c>
      <c r="B389" s="62" t="inlineStr">
        <is>
          <t>Antes-Projeto</t>
        </is>
      </c>
      <c r="C389" s="68" t="inlineStr">
        <is>
          <t>GAEs Classificadas</t>
        </is>
      </c>
      <c r="D389" s="69" t="n">
        <v>252</v>
      </c>
      <c r="E389" s="69" t="n">
        <v>183</v>
      </c>
      <c r="F389" s="69" t="n">
        <v>177</v>
      </c>
      <c r="G389" s="69" t="n">
        <v>148</v>
      </c>
      <c r="H389" s="69" t="n">
        <v>155</v>
      </c>
      <c r="I389" s="69" t="n">
        <v>225</v>
      </c>
      <c r="J389" s="69" t="n">
        <v>142</v>
      </c>
      <c r="K389" s="69" t="n">
        <v>334</v>
      </c>
      <c r="L389" s="69" t="n">
        <v>177</v>
      </c>
      <c r="M389" s="69" t="n">
        <v>316</v>
      </c>
      <c r="N389" s="69" t="n">
        <v>235</v>
      </c>
      <c r="O389" s="69" t="n">
        <v>352</v>
      </c>
      <c r="P389" s="69" t="n">
        <v>284</v>
      </c>
    </row>
    <row r="390" ht="15.75" customHeight="1" s="45">
      <c r="A390" s="61" t="n">
        <v>46111</v>
      </c>
      <c r="B390" s="62" t="inlineStr">
        <is>
          <t>Antes-Projeto</t>
        </is>
      </c>
      <c r="C390" s="70" t="inlineStr">
        <is>
          <t>Percentual de GAEs abertas classificadas</t>
        </is>
      </c>
      <c r="D390" s="71">
        <f>IFERROR(D389/D388,"-")</f>
        <v/>
      </c>
      <c r="E390" s="71">
        <f>IFERROR(E389/E388,"-")</f>
        <v/>
      </c>
      <c r="F390" s="71">
        <f>IFERROR(F389/F388,"-")</f>
        <v/>
      </c>
      <c r="G390" s="71">
        <f>IFERROR(G389/G388,"-")</f>
        <v/>
      </c>
      <c r="H390" s="71">
        <f>IFERROR(H389/H388,"-")</f>
        <v/>
      </c>
      <c r="I390" s="71">
        <f>IFERROR(I389/I388,"-")</f>
        <v/>
      </c>
      <c r="J390" s="71">
        <f>IFERROR(J389/J388,"-")</f>
        <v/>
      </c>
      <c r="K390" s="71">
        <f>IFERROR(K389/K388,"-")</f>
        <v/>
      </c>
      <c r="L390" s="71">
        <f>IFERROR(L389/L388,"-")</f>
        <v/>
      </c>
      <c r="M390" s="71">
        <f>IFERROR(M389/M388,"-")</f>
        <v/>
      </c>
      <c r="N390" s="71">
        <f>IFERROR(N389/N388,"-")</f>
        <v/>
      </c>
      <c r="O390" s="71">
        <f>IFERROR(O389/O388,"-")</f>
        <v/>
      </c>
      <c r="P390" s="71">
        <f>IFERROR(P389/P388,"-")</f>
        <v/>
      </c>
    </row>
    <row r="391" ht="15.75" customHeight="1" s="45">
      <c r="A391" s="61" t="n">
        <v>46111</v>
      </c>
      <c r="B391" s="62" t="inlineStr">
        <is>
          <t>Antes-Projeto</t>
        </is>
      </c>
      <c r="C391" s="72" t="inlineStr">
        <is>
          <t>Tempo Médio — 🟡 Amarelo (hh:mm)</t>
        </is>
      </c>
      <c r="D391" s="73" t="n">
        <v>0.1397453703703704</v>
      </c>
      <c r="E391" s="73" t="n">
        <v>0.1038888888888889</v>
      </c>
      <c r="F391" s="73" t="n">
        <v>0.05980324074074074</v>
      </c>
      <c r="G391" s="73" t="n">
        <v>0.0809375</v>
      </c>
      <c r="H391" s="73" t="n">
        <v>0.06238425925925926</v>
      </c>
      <c r="I391" s="73" t="n">
        <v>0.039375</v>
      </c>
      <c r="J391" s="73" t="n">
        <v>0.05953703703703703</v>
      </c>
      <c r="K391" s="73" t="n">
        <v>0.1328703703703704</v>
      </c>
      <c r="L391" s="73" t="n">
        <v>0.1884375</v>
      </c>
      <c r="M391" s="73" t="n">
        <v>0.06038194444444445</v>
      </c>
      <c r="N391" s="73" t="n">
        <v>0.07209490740740741</v>
      </c>
      <c r="O391" s="73" t="n">
        <v>0.07464120370370371</v>
      </c>
      <c r="P391" s="73" t="n">
        <v>0.1708912037037037</v>
      </c>
    </row>
    <row r="392" ht="15.75" customHeight="1" s="45">
      <c r="A392" s="61" t="n">
        <v>46111</v>
      </c>
      <c r="B392" s="62" t="inlineStr">
        <is>
          <t>Antes-Projeto</t>
        </is>
      </c>
      <c r="C392" s="74" t="inlineStr">
        <is>
          <t>Tempo Médio — 🟠 Laranja (hh:mm)</t>
        </is>
      </c>
      <c r="D392" s="75" t="n">
        <v>0.01818287037037037</v>
      </c>
      <c r="E392" s="75" t="n">
        <v>0.02603009259259259</v>
      </c>
      <c r="F392" s="75" t="n">
        <v>0.007037037037037037</v>
      </c>
      <c r="G392" s="75" t="n">
        <v>0.008460648148148148</v>
      </c>
      <c r="H392" s="75" t="n">
        <v>0.005995370370370371</v>
      </c>
      <c r="I392" s="75" t="n">
        <v>0.001828703703703704</v>
      </c>
      <c r="J392" s="75" t="n">
        <v>0.006041666666666667</v>
      </c>
      <c r="K392" s="75" t="n">
        <v>0.01084490740740741</v>
      </c>
      <c r="L392" s="75" t="n">
        <v>0.01894675925925926</v>
      </c>
      <c r="M392" s="75" t="n">
        <v>0.01364583333333333</v>
      </c>
      <c r="N392" s="75" t="n">
        <v>0.01519675925925926</v>
      </c>
      <c r="O392" s="75" t="n">
        <v>0.01134259259259259</v>
      </c>
      <c r="P392" s="75" t="n">
        <v>0.01729166666666667</v>
      </c>
    </row>
    <row r="393" ht="15.75" customHeight="1" s="45">
      <c r="A393" s="76" t="n">
        <v>46111</v>
      </c>
      <c r="B393" s="77" t="inlineStr">
        <is>
          <t>Antes-Projeto</t>
        </is>
      </c>
      <c r="C393" s="78" t="inlineStr">
        <is>
          <t>Tempo Médio — 🟢 Verde   (hh:mm)</t>
        </is>
      </c>
      <c r="D393" s="79" t="n">
        <v>0.05731481481481481</v>
      </c>
      <c r="E393" s="79" t="n">
        <v>0.2071180555555556</v>
      </c>
      <c r="F393" s="79" t="n">
        <v>0.1499652777777778</v>
      </c>
      <c r="G393" s="79" t="n">
        <v>0.05840277777777778</v>
      </c>
      <c r="H393" s="79" t="n">
        <v>0.1320833333333333</v>
      </c>
      <c r="I393" s="79" t="n">
        <v>0.1473842592592593</v>
      </c>
      <c r="J393" s="79" t="n">
        <v>0.06609953703703704</v>
      </c>
      <c r="K393" s="79" t="n">
        <v>0.1289583333333333</v>
      </c>
      <c r="L393" s="79" t="n">
        <v>0.2973842592592593</v>
      </c>
      <c r="M393" s="79" t="n">
        <v>0.1110185185185185</v>
      </c>
      <c r="N393" s="79" t="n">
        <v>0.1432986111111111</v>
      </c>
      <c r="O393" s="79" t="n">
        <v>0.1076041666666667</v>
      </c>
      <c r="P393" s="79" t="n">
        <v>0.1103125</v>
      </c>
    </row>
    <row r="394" ht="15.75" customHeight="1" s="45">
      <c r="A394" s="57" t="n">
        <v>46112</v>
      </c>
      <c r="B394" s="58" t="inlineStr">
        <is>
          <t>Antes-Projeto</t>
        </is>
      </c>
      <c r="C394" s="59" t="inlineStr">
        <is>
          <t>Acolhim. + Atend. Urgência + Atend. UPA</t>
        </is>
      </c>
      <c r="D394" s="60">
        <f>SUM(D395:D397)</f>
        <v/>
      </c>
      <c r="E394" s="60">
        <f>SUM(E395:E397)</f>
        <v/>
      </c>
      <c r="F394" s="60">
        <f>SUM(F395:F397)</f>
        <v/>
      </c>
      <c r="G394" s="60">
        <f>SUM(G395:G397)</f>
        <v/>
      </c>
      <c r="H394" s="60">
        <f>SUM(H395:H397)</f>
        <v/>
      </c>
      <c r="I394" s="60">
        <f>SUM(I395:I397)</f>
        <v/>
      </c>
      <c r="J394" s="60">
        <f>SUM(J395:J397)</f>
        <v/>
      </c>
      <c r="K394" s="60">
        <f>SUM(K395:K397)</f>
        <v/>
      </c>
      <c r="L394" s="60">
        <f>SUM(L395:L397)</f>
        <v/>
      </c>
      <c r="M394" s="60">
        <f>SUM(M395:M397)</f>
        <v/>
      </c>
      <c r="N394" s="60">
        <f>SUM(N395:N397)</f>
        <v/>
      </c>
      <c r="O394" s="60">
        <f>SUM(O395:O397)</f>
        <v/>
      </c>
      <c r="P394" s="60">
        <f>SUM(P395:P397)</f>
        <v/>
      </c>
    </row>
    <row r="395" ht="15.75" customHeight="1" s="45">
      <c r="A395" s="61" t="n">
        <v>46112</v>
      </c>
      <c r="B395" s="62" t="inlineStr">
        <is>
          <t>Antes-Projeto</t>
        </is>
      </c>
      <c r="C395" s="63" t="inlineStr">
        <is>
          <t>Acolhimento c/ Classif. de Risco</t>
        </is>
      </c>
      <c r="D395" s="64" t="n">
        <v>238</v>
      </c>
      <c r="E395" s="64" t="n">
        <v>163</v>
      </c>
      <c r="F395" s="64" t="n">
        <v>152</v>
      </c>
      <c r="G395" s="64" t="n">
        <v>142</v>
      </c>
      <c r="H395" s="64" t="n">
        <v>115</v>
      </c>
      <c r="I395" s="64" t="n">
        <v>190</v>
      </c>
      <c r="J395" s="64" t="n">
        <v>106</v>
      </c>
      <c r="K395" s="64" t="n">
        <v>312</v>
      </c>
      <c r="L395" s="64" t="n">
        <v>176</v>
      </c>
      <c r="M395" s="64" t="n">
        <v>295</v>
      </c>
      <c r="N395" s="64" t="n">
        <v>183</v>
      </c>
      <c r="O395" s="64" t="n">
        <v>275</v>
      </c>
      <c r="P395" s="64" t="n">
        <v>247</v>
      </c>
    </row>
    <row r="396" ht="15.75" customHeight="1" s="45">
      <c r="A396" s="61" t="n">
        <v>46112</v>
      </c>
      <c r="B396" s="62" t="inlineStr">
        <is>
          <t>Antes-Projeto</t>
        </is>
      </c>
      <c r="C396" s="65" t="inlineStr">
        <is>
          <t>Atend. Urgência Obs. ≤ 24h</t>
        </is>
      </c>
      <c r="D396" s="66" t="n">
        <v>14</v>
      </c>
      <c r="E396" s="66" t="n">
        <v>16</v>
      </c>
      <c r="F396" s="66" t="n">
        <v>31</v>
      </c>
      <c r="G396" s="66" t="n">
        <v>7</v>
      </c>
      <c r="H396" s="66" t="n">
        <v>5</v>
      </c>
      <c r="I396" s="66" t="n">
        <v>13</v>
      </c>
      <c r="J396" s="66" t="n">
        <v>3</v>
      </c>
      <c r="K396" s="66" t="n">
        <v>25</v>
      </c>
      <c r="L396" s="66" t="n">
        <v>48</v>
      </c>
      <c r="M396" s="66" t="n">
        <v>6</v>
      </c>
      <c r="N396" s="66" t="n">
        <v>16</v>
      </c>
      <c r="O396" s="66" t="n">
        <v>9</v>
      </c>
      <c r="P396" s="66" t="n">
        <v>29</v>
      </c>
    </row>
    <row r="397" ht="15.75" customHeight="1" s="45">
      <c r="A397" s="61" t="n">
        <v>46112</v>
      </c>
      <c r="B397" s="62" t="inlineStr">
        <is>
          <t>Antes-Projeto</t>
        </is>
      </c>
      <c r="C397" s="63" t="inlineStr">
        <is>
          <t>Atend. Médico em UPA</t>
        </is>
      </c>
      <c r="D397" s="64" t="n">
        <v>146</v>
      </c>
      <c r="E397" s="64" t="n">
        <v>96</v>
      </c>
      <c r="F397" s="64" t="n">
        <v>106</v>
      </c>
      <c r="G397" s="64" t="n">
        <v>61</v>
      </c>
      <c r="H397" s="64" t="n">
        <v>69</v>
      </c>
      <c r="I397" s="64" t="n">
        <v>145</v>
      </c>
      <c r="J397" s="64" t="n">
        <v>73</v>
      </c>
      <c r="K397" s="64" t="n">
        <v>230</v>
      </c>
      <c r="L397" s="64" t="n">
        <v>75</v>
      </c>
      <c r="M397" s="64" t="n">
        <v>163</v>
      </c>
      <c r="N397" s="64" t="n">
        <v>117</v>
      </c>
      <c r="O397" s="64" t="n">
        <v>198</v>
      </c>
      <c r="P397" s="64" t="n">
        <v>111</v>
      </c>
    </row>
    <row r="398" ht="15.75" customHeight="1" s="45">
      <c r="A398" s="61" t="n">
        <v>46112</v>
      </c>
      <c r="B398" s="62" t="inlineStr">
        <is>
          <t>Antes-Projeto</t>
        </is>
      </c>
      <c r="C398" s="65" t="inlineStr">
        <is>
          <t>Exames Laboratoriais</t>
        </is>
      </c>
      <c r="D398" s="66" t="n">
        <v>754</v>
      </c>
      <c r="E398" s="66" t="n">
        <v>415</v>
      </c>
      <c r="F398" s="66" t="n">
        <v>485</v>
      </c>
      <c r="G398" s="66" t="n">
        <v>210</v>
      </c>
      <c r="H398" s="66" t="n">
        <v>274</v>
      </c>
      <c r="I398" s="66" t="n">
        <v>524</v>
      </c>
      <c r="J398" s="66" t="n">
        <v>210</v>
      </c>
      <c r="K398" s="66" t="n">
        <v>914</v>
      </c>
      <c r="L398" s="66" t="n">
        <v>668</v>
      </c>
      <c r="M398" s="66" t="n">
        <v>692</v>
      </c>
      <c r="N398" s="66" t="n">
        <v>386</v>
      </c>
      <c r="O398" s="66" t="n">
        <v>509</v>
      </c>
      <c r="P398" s="66" t="n">
        <v>689</v>
      </c>
    </row>
    <row r="399" ht="15.75" customHeight="1" s="45">
      <c r="A399" s="61" t="n">
        <v>46112</v>
      </c>
      <c r="B399" s="62" t="inlineStr">
        <is>
          <t>Antes-Projeto</t>
        </is>
      </c>
      <c r="C399" s="63" t="inlineStr">
        <is>
          <t>Radiografias</t>
        </is>
      </c>
      <c r="D399" s="64" t="n">
        <v>26</v>
      </c>
      <c r="E399" s="64" t="n">
        <v>23</v>
      </c>
      <c r="F399" s="64" t="n">
        <v>24</v>
      </c>
      <c r="G399" s="64" t="n">
        <v>7</v>
      </c>
      <c r="H399" s="64" t="n">
        <v>9</v>
      </c>
      <c r="I399" s="64" t="n">
        <v>22</v>
      </c>
      <c r="J399" s="64" t="n">
        <v>17</v>
      </c>
      <c r="K399" s="64" t="n">
        <v>57</v>
      </c>
      <c r="L399" s="64" t="n">
        <v>38</v>
      </c>
      <c r="M399" s="64" t="n">
        <v>53</v>
      </c>
      <c r="N399" s="64" t="n">
        <v>32</v>
      </c>
      <c r="O399" s="64" t="n">
        <v>50</v>
      </c>
      <c r="P399" s="64" t="n">
        <v>44</v>
      </c>
    </row>
    <row r="400" ht="15.75" customHeight="1" s="45">
      <c r="A400" s="61" t="n">
        <v>46112</v>
      </c>
      <c r="B400" s="62" t="inlineStr">
        <is>
          <t>Antes-Projeto</t>
        </is>
      </c>
      <c r="C400" s="65" t="inlineStr">
        <is>
          <t>Eletrocardiogramas</t>
        </is>
      </c>
      <c r="D400" s="66" t="n">
        <v>23</v>
      </c>
      <c r="E400" s="66" t="n">
        <v>3</v>
      </c>
      <c r="F400" s="66" t="n">
        <v>10</v>
      </c>
      <c r="G400" s="66" t="n">
        <v>4</v>
      </c>
      <c r="H400" s="66" t="n">
        <v>4</v>
      </c>
      <c r="I400" s="66" t="n">
        <v>20</v>
      </c>
      <c r="J400" s="66" t="n">
        <v>1</v>
      </c>
      <c r="K400" s="66" t="n">
        <v>22</v>
      </c>
      <c r="L400" s="66" t="n">
        <v>16</v>
      </c>
      <c r="M400" s="66" t="n">
        <v>5</v>
      </c>
      <c r="N400" s="66" t="n">
        <v>12</v>
      </c>
      <c r="O400" s="66" t="n">
        <v>10</v>
      </c>
      <c r="P400" s="66" t="n">
        <v>15</v>
      </c>
    </row>
    <row r="401" ht="15.75" customHeight="1" s="45">
      <c r="A401" s="61" t="n">
        <v>46112</v>
      </c>
      <c r="B401" s="62" t="inlineStr">
        <is>
          <t>Antes-Projeto</t>
        </is>
      </c>
      <c r="C401" s="68" t="inlineStr">
        <is>
          <t>GAEs Abertas</t>
        </is>
      </c>
      <c r="D401" s="69" t="n">
        <v>251</v>
      </c>
      <c r="E401" s="69" t="n">
        <v>167</v>
      </c>
      <c r="F401" s="69" t="n">
        <v>160</v>
      </c>
      <c r="G401" s="69" t="n">
        <v>153</v>
      </c>
      <c r="H401" s="69" t="n">
        <v>120</v>
      </c>
      <c r="I401" s="69" t="n">
        <v>203</v>
      </c>
      <c r="J401" s="69" t="n">
        <v>112</v>
      </c>
      <c r="K401" s="69" t="n">
        <v>345</v>
      </c>
      <c r="L401" s="69" t="n">
        <v>189</v>
      </c>
      <c r="M401" s="69" t="n">
        <v>312</v>
      </c>
      <c r="N401" s="69" t="n">
        <v>199</v>
      </c>
      <c r="O401" s="69" t="n">
        <v>300</v>
      </c>
      <c r="P401" s="69" t="n">
        <v>252</v>
      </c>
    </row>
    <row r="402" ht="15.75" customHeight="1" s="45">
      <c r="A402" s="61" t="n">
        <v>46112</v>
      </c>
      <c r="B402" s="62" t="inlineStr">
        <is>
          <t>Antes-Projeto</t>
        </is>
      </c>
      <c r="C402" s="68" t="inlineStr">
        <is>
          <t>GAEs Classificadas</t>
        </is>
      </c>
      <c r="D402" s="69" t="n">
        <v>238</v>
      </c>
      <c r="E402" s="69" t="n">
        <v>164</v>
      </c>
      <c r="F402" s="69" t="n">
        <v>152</v>
      </c>
      <c r="G402" s="69" t="n">
        <v>141</v>
      </c>
      <c r="H402" s="69" t="n">
        <v>114</v>
      </c>
      <c r="I402" s="69" t="n">
        <v>190</v>
      </c>
      <c r="J402" s="69" t="n">
        <v>105</v>
      </c>
      <c r="K402" s="69" t="n">
        <v>309</v>
      </c>
      <c r="L402" s="69" t="n">
        <v>174</v>
      </c>
      <c r="M402" s="69" t="n">
        <v>292</v>
      </c>
      <c r="N402" s="69" t="n">
        <v>177</v>
      </c>
      <c r="O402" s="69" t="n">
        <v>274</v>
      </c>
      <c r="P402" s="69" t="n">
        <v>246</v>
      </c>
    </row>
    <row r="403" ht="15.75" customHeight="1" s="45">
      <c r="A403" s="61" t="n">
        <v>46112</v>
      </c>
      <c r="B403" s="62" t="inlineStr">
        <is>
          <t>Antes-Projeto</t>
        </is>
      </c>
      <c r="C403" s="70" t="inlineStr">
        <is>
          <t>Percentual de GAEs abertas classificadas</t>
        </is>
      </c>
      <c r="D403" s="71">
        <f>IFERROR(D402/D401,"-")</f>
        <v/>
      </c>
      <c r="E403" s="71">
        <f>IFERROR(E402/E401,"-")</f>
        <v/>
      </c>
      <c r="F403" s="71">
        <f>IFERROR(F402/F401,"-")</f>
        <v/>
      </c>
      <c r="G403" s="71">
        <f>IFERROR(G402/G401,"-")</f>
        <v/>
      </c>
      <c r="H403" s="71">
        <f>IFERROR(H402/H401,"-")</f>
        <v/>
      </c>
      <c r="I403" s="71">
        <f>IFERROR(I402/I401,"-")</f>
        <v/>
      </c>
      <c r="J403" s="71">
        <f>IFERROR(J402/J401,"-")</f>
        <v/>
      </c>
      <c r="K403" s="71">
        <f>IFERROR(K402/K401,"-")</f>
        <v/>
      </c>
      <c r="L403" s="71">
        <f>IFERROR(L402/L401,"-")</f>
        <v/>
      </c>
      <c r="M403" s="71">
        <f>IFERROR(M402/M401,"-")</f>
        <v/>
      </c>
      <c r="N403" s="71">
        <f>IFERROR(N402/N401,"-")</f>
        <v/>
      </c>
      <c r="O403" s="71">
        <f>IFERROR(O402/O401,"-")</f>
        <v/>
      </c>
      <c r="P403" s="71">
        <f>IFERROR(P402/P401,"-")</f>
        <v/>
      </c>
    </row>
    <row r="404" ht="15.75" customHeight="1" s="45">
      <c r="A404" s="61" t="n">
        <v>46112</v>
      </c>
      <c r="B404" s="62" t="inlineStr">
        <is>
          <t>Antes-Projeto</t>
        </is>
      </c>
      <c r="C404" s="72" t="inlineStr">
        <is>
          <t>Tempo Médio — 🟡 Amarelo (hh:mm)</t>
        </is>
      </c>
      <c r="D404" s="73" t="n">
        <v>0.1162152777777778</v>
      </c>
      <c r="E404" s="73" t="n">
        <v>0.09614583333333333</v>
      </c>
      <c r="F404" s="73" t="n">
        <v>0.04173611111111111</v>
      </c>
      <c r="G404" s="73" t="n">
        <v>0.1267013888888889</v>
      </c>
      <c r="H404" s="73" t="n">
        <v>0.04096064814814815</v>
      </c>
      <c r="I404" s="73" t="n">
        <v>0.1014814814814815</v>
      </c>
      <c r="J404" s="73" t="n">
        <v>0.0425</v>
      </c>
      <c r="K404" s="73" t="n">
        <v>0.07460648148148148</v>
      </c>
      <c r="L404" s="73" t="n">
        <v>0.2021990740740741</v>
      </c>
      <c r="M404" s="73" t="n">
        <v>0.04840277777777778</v>
      </c>
      <c r="N404" s="73" t="n">
        <v>0.117650462962963</v>
      </c>
      <c r="O404" s="73" t="n">
        <v>0.05674768518518519</v>
      </c>
      <c r="P404" s="73" t="n">
        <v>0.1421759259259259</v>
      </c>
    </row>
    <row r="405" ht="15.75" customHeight="1" s="45">
      <c r="A405" s="61" t="n">
        <v>46112</v>
      </c>
      <c r="B405" s="62" t="inlineStr">
        <is>
          <t>Antes-Projeto</t>
        </is>
      </c>
      <c r="C405" s="74" t="inlineStr">
        <is>
          <t>Tempo Médio — 🟠 Laranja (hh:mm)</t>
        </is>
      </c>
      <c r="D405" s="75" t="n">
        <v>0.01190972222222222</v>
      </c>
      <c r="E405" s="75" t="n">
        <v>0.01934027777777778</v>
      </c>
      <c r="F405" s="75" t="n">
        <v>0.004837962962962963</v>
      </c>
      <c r="G405" s="75" t="n">
        <v>0.0466550925925926</v>
      </c>
      <c r="H405" s="75" t="n">
        <v>0.01149305555555555</v>
      </c>
      <c r="I405" s="75" t="n">
        <v>0.01292824074074074</v>
      </c>
      <c r="J405" s="75" t="n">
        <v>0.005578703703703704</v>
      </c>
      <c r="K405" s="75" t="n">
        <v>0.01280092592592593</v>
      </c>
      <c r="L405" s="75" t="n">
        <v>0.03255787037037037</v>
      </c>
      <c r="M405" s="75" t="n">
        <v>0.008425925925925925</v>
      </c>
      <c r="N405" s="75" t="n">
        <v>0.01998842592592593</v>
      </c>
      <c r="O405" s="75" t="n">
        <v>0.01645833333333333</v>
      </c>
      <c r="P405" s="75" t="n">
        <v>0.0121412037037037</v>
      </c>
    </row>
    <row r="406" ht="15.75" customHeight="1" s="45">
      <c r="A406" s="76" t="n">
        <v>46112</v>
      </c>
      <c r="B406" s="77" t="inlineStr">
        <is>
          <t>Antes-Projeto</t>
        </is>
      </c>
      <c r="C406" s="78" t="inlineStr">
        <is>
          <t>Tempo Médio — 🟢 Verde   (hh:mm)</t>
        </is>
      </c>
      <c r="D406" s="79" t="n">
        <v>0.08098379629629629</v>
      </c>
      <c r="E406" s="79" t="n">
        <v>0.2181365740740741</v>
      </c>
      <c r="F406" s="79" t="n">
        <v>0.1188888888888889</v>
      </c>
      <c r="G406" s="79" t="n">
        <v>0.2109027777777778</v>
      </c>
      <c r="H406" s="79" t="n">
        <v>0.06680555555555556</v>
      </c>
      <c r="I406" s="79" t="n">
        <v>0.1257638888888889</v>
      </c>
      <c r="J406" s="79" t="n">
        <v>0.06677083333333333</v>
      </c>
      <c r="K406" s="79" t="n">
        <v>0.1176851851851852</v>
      </c>
      <c r="L406" s="79" t="n">
        <v>0.2365046296296296</v>
      </c>
      <c r="M406" s="79" t="n">
        <v>0.08898148148148148</v>
      </c>
      <c r="N406" s="79" t="n">
        <v>0.1752083333333333</v>
      </c>
      <c r="O406" s="79" t="n">
        <v>0.1474884259259259</v>
      </c>
      <c r="P406" s="79" t="n">
        <v>0.2225925925925926</v>
      </c>
    </row>
  </sheetData>
  <autoFilter ref="A3:P406"/>
  <mergeCells count="4">
    <mergeCell ref="K2:P2"/>
    <mergeCell ref="A1:P1"/>
    <mergeCell ref="A2:C2"/>
    <mergeCell ref="D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P3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2" activeCellId="0" sqref="A2"/>
    </sheetView>
  </sheetViews>
  <sheetFormatPr baseColWidth="8" defaultColWidth="8.6796875" defaultRowHeight="15" zeroHeight="0" outlineLevelRow="0"/>
  <cols>
    <col width="13" customWidth="1" style="44" min="1" max="1"/>
    <col width="12" customWidth="1" style="44" min="2" max="2"/>
    <col width="36.71" customWidth="1" style="44" min="3" max="3"/>
    <col width="15" customWidth="1" style="44" min="4" max="16"/>
  </cols>
  <sheetData>
    <row r="1" ht="31.5" customHeight="1" s="45">
      <c r="A1" s="46" t="inlineStr">
        <is>
          <t>ANÁLISE COMPARATIVA DE INDICADORES — UPAs PORTE I e PORTE III — ANTES e APÓS O PROJETO</t>
        </is>
      </c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8" t="n"/>
    </row>
    <row r="2" ht="25.5" customHeight="1" s="45">
      <c r="A2" s="49" t="inlineStr">
        <is>
          <t>Obs.: O indicador TAXA DE MORTALIDADE é de responsabilidade da SUPPH.</t>
        </is>
      </c>
      <c r="B2" s="47" t="n"/>
      <c r="C2" s="50" t="n"/>
      <c r="D2" s="51" t="inlineStr">
        <is>
          <t>— PORTE I —</t>
        </is>
      </c>
      <c r="E2" s="47" t="n"/>
      <c r="F2" s="47" t="n"/>
      <c r="G2" s="47" t="n"/>
      <c r="H2" s="47" t="n"/>
      <c r="I2" s="47" t="n"/>
      <c r="J2" s="50" t="n"/>
      <c r="K2" s="52" t="inlineStr">
        <is>
          <t>— PORTE III —</t>
        </is>
      </c>
      <c r="L2" s="47" t="n"/>
      <c r="M2" s="47" t="n"/>
      <c r="N2" s="47" t="n"/>
      <c r="O2" s="47" t="n"/>
      <c r="P2" s="53" t="n"/>
    </row>
    <row r="3" ht="36" customHeight="1" s="45">
      <c r="A3" s="54" t="inlineStr">
        <is>
          <t>Data</t>
        </is>
      </c>
      <c r="B3" s="54" t="inlineStr">
        <is>
          <t>Fase</t>
        </is>
      </c>
      <c r="C3" s="54" t="inlineStr">
        <is>
          <t>Indicador</t>
        </is>
      </c>
      <c r="D3" s="55" t="inlineStr">
        <is>
          <t>UPA
CEILÂNDIA II</t>
        </is>
      </c>
      <c r="E3" s="55" t="inlineStr">
        <is>
          <t>UPA
PARANOÁ</t>
        </is>
      </c>
      <c r="F3" s="55" t="inlineStr">
        <is>
          <t>UPA
GAMA</t>
        </is>
      </c>
      <c r="G3" s="55" t="inlineStr">
        <is>
          <t>UPA
PLANALTINA</t>
        </is>
      </c>
      <c r="H3" s="55" t="inlineStr">
        <is>
          <t>UPA RIACHO FUNDO II</t>
        </is>
      </c>
      <c r="I3" s="55" t="inlineStr">
        <is>
          <t>UPA VICENTE PIRES</t>
        </is>
      </c>
      <c r="J3" s="55" t="inlineStr">
        <is>
          <t>UPA BRAZLÂNDIA</t>
        </is>
      </c>
      <c r="K3" s="56" t="inlineStr">
        <is>
          <t>UPA
CEILÂNDIA</t>
        </is>
      </c>
      <c r="L3" s="56" t="inlineStr">
        <is>
          <t>UPA NÚCLEO BANDEIRANTE</t>
        </is>
      </c>
      <c r="M3" s="56" t="inlineStr">
        <is>
          <t>UPA RECANTO DAS EMAS</t>
        </is>
      </c>
      <c r="N3" s="56" t="inlineStr">
        <is>
          <t>UPA SAMAMBAIA</t>
        </is>
      </c>
      <c r="O3" s="56" t="inlineStr">
        <is>
          <t>UPA
SÃO SEBASTIÃO</t>
        </is>
      </c>
      <c r="P3" s="56" t="inlineStr">
        <is>
          <t>UPA SOBRADINHO</t>
        </is>
      </c>
    </row>
    <row r="4" ht="15.75" customHeight="1" s="45">
      <c r="A4" s="57" t="n">
        <v>46113</v>
      </c>
      <c r="B4" s="58" t="inlineStr">
        <is>
          <t>Antes-Projeto</t>
        </is>
      </c>
      <c r="C4" s="59" t="inlineStr">
        <is>
          <t>Acolhim. + Atend. Urgência + Atend. UPA</t>
        </is>
      </c>
      <c r="D4" s="60">
        <f>SUM(D5:D7)</f>
        <v/>
      </c>
      <c r="E4" s="60">
        <f>SUM(E5:E7)</f>
        <v/>
      </c>
      <c r="F4" s="60">
        <f>SUM(F5:F7)</f>
        <v/>
      </c>
      <c r="G4" s="60">
        <f>SUM(G5:G7)</f>
        <v/>
      </c>
      <c r="H4" s="60">
        <f>SUM(H5:H7)</f>
        <v/>
      </c>
      <c r="I4" s="60">
        <f>SUM(I5:I7)</f>
        <v/>
      </c>
      <c r="J4" s="60">
        <f>SUM(J5:J7)</f>
        <v/>
      </c>
      <c r="K4" s="60">
        <f>SUM(K5:K7)</f>
        <v/>
      </c>
      <c r="L4" s="60">
        <f>SUM(L5:L7)</f>
        <v/>
      </c>
      <c r="M4" s="60">
        <f>SUM(M5:M7)</f>
        <v/>
      </c>
      <c r="N4" s="60">
        <f>SUM(N5:N7)</f>
        <v/>
      </c>
      <c r="O4" s="60">
        <f>SUM(O5:O7)</f>
        <v/>
      </c>
      <c r="P4" s="60">
        <f>SUM(P5:P7)</f>
        <v/>
      </c>
    </row>
    <row r="5" ht="15.75" customHeight="1" s="45">
      <c r="A5" s="61" t="n">
        <v>46113</v>
      </c>
      <c r="B5" s="62" t="inlineStr">
        <is>
          <t>Antes-Projeto</t>
        </is>
      </c>
      <c r="C5" s="63" t="inlineStr">
        <is>
          <t>Acolhimento c/ Classif. de Risco</t>
        </is>
      </c>
      <c r="D5" s="64" t="n">
        <v>223</v>
      </c>
      <c r="E5" s="64" t="n">
        <v>171</v>
      </c>
      <c r="F5" s="64" t="n">
        <v>170</v>
      </c>
      <c r="G5" s="64" t="n">
        <v>124</v>
      </c>
      <c r="H5" s="64" t="n">
        <v>128</v>
      </c>
      <c r="I5" s="64" t="n">
        <v>206</v>
      </c>
      <c r="J5" s="64" t="n">
        <v>118</v>
      </c>
      <c r="K5" s="64" t="n">
        <v>367</v>
      </c>
      <c r="L5" s="64" t="n">
        <v>181</v>
      </c>
      <c r="M5" s="64" t="n">
        <v>292</v>
      </c>
      <c r="N5" s="64" t="n">
        <v>242</v>
      </c>
      <c r="O5" s="64" t="n">
        <v>272</v>
      </c>
      <c r="P5" s="64" t="n">
        <v>247</v>
      </c>
    </row>
    <row r="6" ht="15.75" customHeight="1" s="45">
      <c r="A6" s="61" t="n">
        <v>46113</v>
      </c>
      <c r="B6" s="62" t="inlineStr">
        <is>
          <t>Antes-Projeto</t>
        </is>
      </c>
      <c r="C6" s="65" t="inlineStr">
        <is>
          <t>Atend. Urgência Obs. ≤ 24h</t>
        </is>
      </c>
      <c r="D6" s="66" t="n">
        <v>52</v>
      </c>
      <c r="E6" s="66" t="n">
        <v>25</v>
      </c>
      <c r="F6" s="67" t="n">
        <v>0</v>
      </c>
      <c r="G6" s="66" t="n">
        <v>52</v>
      </c>
      <c r="H6" s="66" t="n">
        <v>66</v>
      </c>
      <c r="I6" s="66" t="n">
        <v>8</v>
      </c>
      <c r="J6" s="66" t="n">
        <v>159</v>
      </c>
      <c r="K6" s="66" t="n">
        <v>99</v>
      </c>
      <c r="L6" s="66" t="n">
        <v>27</v>
      </c>
      <c r="M6" s="66" t="n">
        <v>198</v>
      </c>
      <c r="N6" s="66" t="n">
        <v>156</v>
      </c>
      <c r="O6" s="66" t="n">
        <v>21</v>
      </c>
      <c r="P6" s="66" t="n">
        <v>25</v>
      </c>
    </row>
    <row r="7" ht="15.75" customHeight="1" s="45">
      <c r="A7" s="61" t="n">
        <v>46113</v>
      </c>
      <c r="B7" s="62" t="inlineStr">
        <is>
          <t>Antes-Projeto</t>
        </is>
      </c>
      <c r="C7" s="63" t="inlineStr">
        <is>
          <t>Atend. Médico em UPA</t>
        </is>
      </c>
      <c r="D7" s="64" t="n">
        <v>153</v>
      </c>
      <c r="E7" s="64" t="n">
        <v>70</v>
      </c>
      <c r="F7" s="64" t="n">
        <v>110</v>
      </c>
      <c r="G7" s="64" t="n">
        <v>104</v>
      </c>
      <c r="H7" s="64" t="n">
        <v>61</v>
      </c>
      <c r="I7" s="64" t="n">
        <v>153</v>
      </c>
      <c r="J7" s="64" t="n">
        <v>83</v>
      </c>
      <c r="K7" s="64" t="n">
        <v>253</v>
      </c>
      <c r="L7" s="64" t="n">
        <v>118</v>
      </c>
      <c r="M7" s="64" t="n">
        <v>171</v>
      </c>
      <c r="N7" s="64" t="n">
        <v>231</v>
      </c>
      <c r="O7" s="64" t="n">
        <v>190</v>
      </c>
      <c r="P7" s="64" t="n">
        <v>106</v>
      </c>
    </row>
    <row r="8" ht="15.75" customHeight="1" s="45">
      <c r="A8" s="61" t="n">
        <v>46113</v>
      </c>
      <c r="B8" s="62" t="inlineStr">
        <is>
          <t>Antes-Projeto</t>
        </is>
      </c>
      <c r="C8" s="65" t="inlineStr">
        <is>
          <t>Exames Laboratoriais</t>
        </is>
      </c>
      <c r="D8" s="66" t="n">
        <v>648</v>
      </c>
      <c r="E8" s="66" t="n">
        <v>252</v>
      </c>
      <c r="F8" s="66" t="n">
        <v>124</v>
      </c>
      <c r="G8" s="66" t="n">
        <v>200</v>
      </c>
      <c r="H8" s="66" t="n">
        <v>335</v>
      </c>
      <c r="I8" s="66" t="n">
        <v>550</v>
      </c>
      <c r="J8" s="66" t="n">
        <v>234</v>
      </c>
      <c r="K8" s="66" t="n">
        <v>861</v>
      </c>
      <c r="L8" s="66" t="n">
        <v>620</v>
      </c>
      <c r="M8" s="66" t="n">
        <v>728</v>
      </c>
      <c r="N8" s="66" t="n">
        <v>432</v>
      </c>
      <c r="O8" s="66" t="n">
        <v>611</v>
      </c>
      <c r="P8" s="66" t="n">
        <v>313</v>
      </c>
    </row>
    <row r="9" ht="15.75" customHeight="1" s="45">
      <c r="A9" s="61" t="n">
        <v>46113</v>
      </c>
      <c r="B9" s="62" t="inlineStr">
        <is>
          <t>Antes-Projeto</t>
        </is>
      </c>
      <c r="C9" s="63" t="inlineStr">
        <is>
          <t>Radiografias</t>
        </is>
      </c>
      <c r="D9" s="64" t="n">
        <v>34</v>
      </c>
      <c r="E9" s="64" t="n">
        <v>21</v>
      </c>
      <c r="F9" s="64" t="n">
        <v>22</v>
      </c>
      <c r="G9" s="64" t="n">
        <v>22</v>
      </c>
      <c r="H9" s="64" t="n">
        <v>15</v>
      </c>
      <c r="I9" s="64" t="n">
        <v>26</v>
      </c>
      <c r="J9" s="64" t="n">
        <v>13</v>
      </c>
      <c r="K9" s="64" t="n">
        <v>59</v>
      </c>
      <c r="L9" s="64" t="n">
        <v>30</v>
      </c>
      <c r="M9" s="64" t="n">
        <v>65</v>
      </c>
      <c r="N9" s="64" t="n">
        <v>28</v>
      </c>
      <c r="O9" s="64" t="n">
        <v>47</v>
      </c>
      <c r="P9" s="64" t="n">
        <v>45</v>
      </c>
    </row>
    <row r="10" ht="15.75" customHeight="1" s="45">
      <c r="A10" s="61" t="n">
        <v>46113</v>
      </c>
      <c r="B10" s="62" t="inlineStr">
        <is>
          <t>Antes-Projeto</t>
        </is>
      </c>
      <c r="C10" s="65" t="inlineStr">
        <is>
          <t>Eletrocardiogramas</t>
        </is>
      </c>
      <c r="D10" s="66" t="n">
        <v>21</v>
      </c>
      <c r="E10" s="66" t="n">
        <v>10</v>
      </c>
      <c r="F10" s="66" t="n">
        <v>13</v>
      </c>
      <c r="G10" s="66" t="n">
        <v>14</v>
      </c>
      <c r="H10" s="66" t="n">
        <v>4</v>
      </c>
      <c r="I10" s="66" t="n">
        <v>16</v>
      </c>
      <c r="J10" s="66" t="n">
        <v>5</v>
      </c>
      <c r="K10" s="66" t="n">
        <v>36</v>
      </c>
      <c r="L10" s="66" t="n">
        <v>14</v>
      </c>
      <c r="M10" s="66" t="n">
        <v>23</v>
      </c>
      <c r="N10" s="66" t="n">
        <v>17</v>
      </c>
      <c r="O10" s="66" t="n">
        <v>18</v>
      </c>
      <c r="P10" s="66" t="n">
        <v>12</v>
      </c>
    </row>
    <row r="11" ht="15.75" customHeight="1" s="45">
      <c r="A11" s="61" t="n">
        <v>46113</v>
      </c>
      <c r="B11" s="62" t="inlineStr">
        <is>
          <t>Antes-Projeto</t>
        </is>
      </c>
      <c r="C11" s="68" t="inlineStr">
        <is>
          <t>GAEs Abertas</t>
        </is>
      </c>
      <c r="D11" s="69" t="n">
        <v>241</v>
      </c>
      <c r="E11" s="69" t="n">
        <v>179</v>
      </c>
      <c r="F11" s="69" t="n">
        <v>178</v>
      </c>
      <c r="G11" s="69" t="n">
        <v>133</v>
      </c>
      <c r="H11" s="69" t="n">
        <v>135</v>
      </c>
      <c r="I11" s="69" t="n">
        <v>225</v>
      </c>
      <c r="J11" s="69" t="n">
        <v>123</v>
      </c>
      <c r="K11" s="69" t="n">
        <v>393</v>
      </c>
      <c r="L11" s="69" t="n">
        <v>185</v>
      </c>
      <c r="M11" s="69" t="n">
        <v>308</v>
      </c>
      <c r="N11" s="69" t="n">
        <v>231</v>
      </c>
      <c r="O11" s="69" t="n">
        <v>288</v>
      </c>
      <c r="P11" s="69" t="n">
        <v>272</v>
      </c>
    </row>
    <row r="12" ht="15.75" customHeight="1" s="45">
      <c r="A12" s="61" t="n">
        <v>46113</v>
      </c>
      <c r="B12" s="62" t="inlineStr">
        <is>
          <t>Antes-Projeto</t>
        </is>
      </c>
      <c r="C12" s="68" t="inlineStr">
        <is>
          <t>GAEs Classificadas</t>
        </is>
      </c>
      <c r="D12" s="69" t="n">
        <v>224</v>
      </c>
      <c r="E12" s="69" t="n">
        <v>171</v>
      </c>
      <c r="F12" s="69" t="n">
        <v>171</v>
      </c>
      <c r="G12" s="69" t="n">
        <v>132</v>
      </c>
      <c r="H12" s="69" t="n">
        <v>128</v>
      </c>
      <c r="I12" s="69" t="n">
        <v>203</v>
      </c>
      <c r="J12" s="69" t="n">
        <v>118</v>
      </c>
      <c r="K12" s="69" t="n">
        <v>368</v>
      </c>
      <c r="L12" s="69" t="n">
        <v>181</v>
      </c>
      <c r="M12" s="69" t="n">
        <v>293</v>
      </c>
      <c r="N12" s="69" t="n">
        <v>221</v>
      </c>
      <c r="O12" s="69" t="n">
        <v>272</v>
      </c>
      <c r="P12" s="69" t="n">
        <v>259</v>
      </c>
    </row>
    <row r="13" ht="15.75" customHeight="1" s="45">
      <c r="A13" s="61" t="n">
        <v>46113</v>
      </c>
      <c r="B13" s="62" t="inlineStr">
        <is>
          <t>Antes-Projeto</t>
        </is>
      </c>
      <c r="C13" s="70" t="inlineStr">
        <is>
          <t>Percentual de GAEs abertas classificadas</t>
        </is>
      </c>
      <c r="D13" s="71">
        <f>IFERROR(D12/D11,"-")</f>
        <v/>
      </c>
      <c r="E13" s="71">
        <f>IFERROR(E12/E11,"-")</f>
        <v/>
      </c>
      <c r="F13" s="71">
        <f>IFERROR(F12/F11,"-")</f>
        <v/>
      </c>
      <c r="G13" s="71">
        <f>IFERROR(G12/G11,"-")</f>
        <v/>
      </c>
      <c r="H13" s="71">
        <f>IFERROR(H12/H11,"-")</f>
        <v/>
      </c>
      <c r="I13" s="71">
        <f>IFERROR(I12/I11,"-")</f>
        <v/>
      </c>
      <c r="J13" s="71">
        <f>IFERROR(J12/J11,"-")</f>
        <v/>
      </c>
      <c r="K13" s="71">
        <f>IFERROR(K12/K11,"-")</f>
        <v/>
      </c>
      <c r="L13" s="71">
        <f>IFERROR(L12/L11,"-")</f>
        <v/>
      </c>
      <c r="M13" s="71">
        <f>IFERROR(M12/M11,"-")</f>
        <v/>
      </c>
      <c r="N13" s="71">
        <f>IFERROR(N12/N11,"-")</f>
        <v/>
      </c>
      <c r="O13" s="71">
        <f>IFERROR(O12/O11,"-")</f>
        <v/>
      </c>
      <c r="P13" s="71">
        <f>IFERROR(P12/P11,"-")</f>
        <v/>
      </c>
    </row>
    <row r="14" ht="15.75" customHeight="1" s="45">
      <c r="A14" s="61" t="n">
        <v>46113</v>
      </c>
      <c r="B14" s="62" t="inlineStr">
        <is>
          <t>Antes-Projeto</t>
        </is>
      </c>
      <c r="C14" s="72" t="inlineStr">
        <is>
          <t>Tempo Médio — 🟡 Amarelo (hh:mm)</t>
        </is>
      </c>
      <c r="D14" s="73" t="n">
        <v>0.07489583333333333</v>
      </c>
      <c r="E14" s="73" t="n">
        <v>0.03291666666666666</v>
      </c>
      <c r="F14" s="73" t="n">
        <v>0.03619212962962963</v>
      </c>
      <c r="G14" s="73" t="n">
        <v>0.02796296296296296</v>
      </c>
      <c r="H14" s="73" t="n">
        <v>0.05349537037037037</v>
      </c>
      <c r="I14" s="73" t="n">
        <v>0.0675462962962963</v>
      </c>
      <c r="J14" s="73" t="n">
        <v>0.7406828703703704</v>
      </c>
      <c r="K14" s="73" t="n">
        <v>0.06594907407407408</v>
      </c>
      <c r="L14" s="73" t="n">
        <v>0.0758449074074074</v>
      </c>
      <c r="M14" s="73" t="n">
        <v>0.04809027777777778</v>
      </c>
      <c r="N14" s="73" t="n">
        <v>0.05585648148148148</v>
      </c>
      <c r="O14" s="73" t="n">
        <v>0.07167824074074074</v>
      </c>
      <c r="P14" s="73" t="n">
        <v>0.1488888888888889</v>
      </c>
    </row>
    <row r="15" ht="15.75" customHeight="1" s="45">
      <c r="A15" s="61" t="n">
        <v>46113</v>
      </c>
      <c r="B15" s="62" t="inlineStr">
        <is>
          <t>Antes-Projeto</t>
        </is>
      </c>
      <c r="C15" s="74" t="inlineStr">
        <is>
          <t>Tempo Médio — 🟠 Laranja (hh:mm)</t>
        </is>
      </c>
      <c r="D15" s="75" t="n">
        <v>0.009722222222222222</v>
      </c>
      <c r="E15" s="75" t="n">
        <v>0.02199074074074074</v>
      </c>
      <c r="F15" s="75" t="n">
        <v>0.009699074074074074</v>
      </c>
      <c r="G15" s="75" t="n">
        <v>0.005486111111111111</v>
      </c>
      <c r="H15" s="75" t="n">
        <v>0.002743055555555555</v>
      </c>
      <c r="I15" s="75" t="n">
        <v>0.008541666666666666</v>
      </c>
      <c r="J15" s="75" t="n">
        <v>0.007141203703703703</v>
      </c>
      <c r="K15" s="75" t="n">
        <v>0.01386574074074074</v>
      </c>
      <c r="L15" s="75" t="n">
        <v>0.01694444444444445</v>
      </c>
      <c r="M15" s="75" t="n">
        <v>0.01314814814814815</v>
      </c>
      <c r="N15" s="75" t="n">
        <v>0.01321759259259259</v>
      </c>
      <c r="O15" s="75" t="n">
        <v>0.0115625</v>
      </c>
      <c r="P15" s="75" t="n">
        <v>0.02748842592592593</v>
      </c>
    </row>
    <row r="16" ht="15.75" customHeight="1" s="45">
      <c r="A16" s="76" t="n">
        <v>46113</v>
      </c>
      <c r="B16" s="77" t="inlineStr">
        <is>
          <t>Antes-Projeto</t>
        </is>
      </c>
      <c r="C16" s="78" t="inlineStr">
        <is>
          <t>Tempo Médio — 🟢 Verde   (hh:mm)</t>
        </is>
      </c>
      <c r="D16" s="79" t="n">
        <v>0.04839120370370371</v>
      </c>
      <c r="E16" s="79" t="n">
        <v>0.07206018518518519</v>
      </c>
      <c r="F16" s="79" t="n">
        <v>0.07439814814814814</v>
      </c>
      <c r="G16" s="79" t="n">
        <v>0.04576388888888889</v>
      </c>
      <c r="H16" s="79" t="n">
        <v>0.1682060185185185</v>
      </c>
      <c r="I16" s="79" t="n">
        <v>0.1351736111111111</v>
      </c>
      <c r="J16" s="79" t="n">
        <v>0.0599537037037037</v>
      </c>
      <c r="K16" s="79" t="n">
        <v>0.07424768518518518</v>
      </c>
      <c r="L16" s="79" t="n">
        <v>0.1458912037037037</v>
      </c>
      <c r="M16" s="79" t="n">
        <v>0.08912037037037036</v>
      </c>
      <c r="N16" s="79" t="n">
        <v>0.06859953703703704</v>
      </c>
      <c r="O16" s="79" t="n">
        <v>0.08252314814814815</v>
      </c>
      <c r="P16" s="79" t="n">
        <v>0.02836805555555556</v>
      </c>
    </row>
    <row r="17" ht="15.75" customHeight="1" s="45">
      <c r="A17" s="57" t="n">
        <v>46114</v>
      </c>
      <c r="B17" s="58" t="inlineStr">
        <is>
          <t>Antes-Projeto</t>
        </is>
      </c>
      <c r="C17" s="59" t="inlineStr">
        <is>
          <t>Acolhim. + Atend. Urgência + Atend. UPA</t>
        </is>
      </c>
      <c r="D17" s="60">
        <f>SUM(D18:D20)</f>
        <v/>
      </c>
      <c r="E17" s="60">
        <f>SUM(E18:E20)</f>
        <v/>
      </c>
      <c r="F17" s="60">
        <f>SUM(F18:F20)</f>
        <v/>
      </c>
      <c r="G17" s="60">
        <f>SUM(G18:G20)</f>
        <v/>
      </c>
      <c r="H17" s="60">
        <f>SUM(H18:H20)</f>
        <v/>
      </c>
      <c r="I17" s="60">
        <f>SUM(I18:I20)</f>
        <v/>
      </c>
      <c r="J17" s="60">
        <f>SUM(J18:J20)</f>
        <v/>
      </c>
      <c r="K17" s="60">
        <f>SUM(K18:K20)</f>
        <v/>
      </c>
      <c r="L17" s="60">
        <f>SUM(L18:L20)</f>
        <v/>
      </c>
      <c r="M17" s="60">
        <f>SUM(M18:M20)</f>
        <v/>
      </c>
      <c r="N17" s="60">
        <f>SUM(N18:N20)</f>
        <v/>
      </c>
      <c r="O17" s="60">
        <f>SUM(O18:O20)</f>
        <v/>
      </c>
      <c r="P17" s="60">
        <f>SUM(P18:P20)</f>
        <v/>
      </c>
    </row>
    <row r="18" ht="15.75" customHeight="1" s="45">
      <c r="A18" s="61" t="n">
        <v>46114</v>
      </c>
      <c r="B18" s="62" t="inlineStr">
        <is>
          <t>Antes-Projeto</t>
        </is>
      </c>
      <c r="C18" s="65" t="inlineStr">
        <is>
          <t>Acolhimento c/ Classif. de Risco</t>
        </is>
      </c>
      <c r="D18" s="66" t="n">
        <v>179</v>
      </c>
      <c r="E18" s="66" t="n">
        <v>136</v>
      </c>
      <c r="F18" s="66" t="n">
        <v>147</v>
      </c>
      <c r="G18" s="66" t="n">
        <v>84</v>
      </c>
      <c r="H18" s="66" t="n">
        <v>99</v>
      </c>
      <c r="I18" s="66" t="n">
        <v>171</v>
      </c>
      <c r="J18" s="66" t="n">
        <v>90</v>
      </c>
      <c r="K18" s="66" t="n">
        <v>264</v>
      </c>
      <c r="L18" s="66" t="n">
        <v>129</v>
      </c>
      <c r="M18" s="66" t="n">
        <v>235</v>
      </c>
      <c r="N18" s="66" t="n">
        <v>186</v>
      </c>
      <c r="O18" s="66" t="n">
        <v>275</v>
      </c>
      <c r="P18" s="66" t="n">
        <v>230</v>
      </c>
    </row>
    <row r="19" ht="15.75" customHeight="1" s="45">
      <c r="A19" s="61" t="n">
        <v>46114</v>
      </c>
      <c r="B19" s="62" t="inlineStr">
        <is>
          <t>Antes-Projeto</t>
        </is>
      </c>
      <c r="C19" s="63" t="inlineStr">
        <is>
          <t>Atend. Urgência Obs. ≤ 24h</t>
        </is>
      </c>
      <c r="D19" s="64" t="n">
        <v>19</v>
      </c>
      <c r="E19" s="64" t="n">
        <v>25</v>
      </c>
      <c r="F19" s="64" t="n">
        <v>23</v>
      </c>
      <c r="G19" s="64" t="n">
        <v>19</v>
      </c>
      <c r="H19" s="64" t="n">
        <v>9</v>
      </c>
      <c r="I19" s="64" t="n">
        <v>36</v>
      </c>
      <c r="J19" s="64" t="n">
        <v>31</v>
      </c>
      <c r="K19" s="64" t="n">
        <v>60</v>
      </c>
      <c r="L19" s="64" t="n">
        <v>34</v>
      </c>
      <c r="M19" s="64" t="n">
        <v>57</v>
      </c>
      <c r="N19" s="64" t="n">
        <v>38</v>
      </c>
      <c r="O19" s="64" t="n">
        <v>20</v>
      </c>
      <c r="P19" s="64" t="n">
        <v>28</v>
      </c>
    </row>
    <row r="20" ht="15.75" customHeight="1" s="45">
      <c r="A20" s="61" t="n">
        <v>46114</v>
      </c>
      <c r="B20" s="62" t="inlineStr">
        <is>
          <t>Antes-Projeto</t>
        </is>
      </c>
      <c r="C20" s="65" t="inlineStr">
        <is>
          <t>Atend. Médico em UPA</t>
        </is>
      </c>
      <c r="D20" s="66" t="n">
        <v>141</v>
      </c>
      <c r="E20" s="66" t="n">
        <v>75</v>
      </c>
      <c r="F20" s="66" t="n">
        <v>94</v>
      </c>
      <c r="G20" s="66" t="n">
        <v>55</v>
      </c>
      <c r="H20" s="66" t="n">
        <v>41</v>
      </c>
      <c r="I20" s="66" t="n">
        <v>152</v>
      </c>
      <c r="J20" s="66" t="n">
        <v>63</v>
      </c>
      <c r="K20" s="66" t="n">
        <v>206</v>
      </c>
      <c r="L20" s="66" t="n">
        <v>96</v>
      </c>
      <c r="M20" s="66" t="n">
        <v>127</v>
      </c>
      <c r="N20" s="66" t="n">
        <v>180</v>
      </c>
      <c r="O20" s="66" t="n">
        <v>245</v>
      </c>
      <c r="P20" s="66" t="n">
        <v>143</v>
      </c>
    </row>
    <row r="21" ht="15.75" customHeight="1" s="45">
      <c r="A21" s="61" t="n">
        <v>46114</v>
      </c>
      <c r="B21" s="62" t="inlineStr">
        <is>
          <t>Antes-Projeto</t>
        </is>
      </c>
      <c r="C21" s="63" t="inlineStr">
        <is>
          <t>Exames Laboratoriais</t>
        </is>
      </c>
      <c r="D21" s="64" t="n">
        <v>542</v>
      </c>
      <c r="E21" s="64" t="n">
        <v>402</v>
      </c>
      <c r="F21" s="64" t="n">
        <v>654</v>
      </c>
      <c r="G21" s="64" t="n">
        <v>115</v>
      </c>
      <c r="H21" s="64" t="n">
        <v>245</v>
      </c>
      <c r="I21" s="64" t="n">
        <v>678</v>
      </c>
      <c r="J21" s="64" t="n">
        <v>326</v>
      </c>
      <c r="K21" s="64" t="n">
        <v>659</v>
      </c>
      <c r="L21" s="64" t="n">
        <v>401</v>
      </c>
      <c r="M21" s="64" t="n">
        <v>523</v>
      </c>
      <c r="N21" s="64" t="n">
        <v>389</v>
      </c>
      <c r="O21" s="64" t="n">
        <v>380</v>
      </c>
      <c r="P21" s="64" t="n">
        <v>615</v>
      </c>
    </row>
    <row r="22" ht="15.75" customHeight="1" s="45">
      <c r="A22" s="61" t="n">
        <v>46114</v>
      </c>
      <c r="B22" s="62" t="inlineStr">
        <is>
          <t>Antes-Projeto</t>
        </is>
      </c>
      <c r="C22" s="65" t="inlineStr">
        <is>
          <t>Radiografias</t>
        </is>
      </c>
      <c r="D22" s="66" t="n">
        <v>20</v>
      </c>
      <c r="E22" s="66" t="n">
        <v>15</v>
      </c>
      <c r="F22" s="66" t="n">
        <v>16</v>
      </c>
      <c r="G22" s="66" t="n">
        <v>7</v>
      </c>
      <c r="H22" s="66" t="n">
        <v>5</v>
      </c>
      <c r="I22" s="66" t="n">
        <v>26</v>
      </c>
      <c r="J22" s="66" t="n">
        <v>11</v>
      </c>
      <c r="K22" s="66" t="n">
        <v>37</v>
      </c>
      <c r="L22" s="66" t="n">
        <v>24</v>
      </c>
      <c r="M22" s="66" t="n">
        <v>43</v>
      </c>
      <c r="N22" s="66" t="n">
        <v>34</v>
      </c>
      <c r="O22" s="66" t="n">
        <v>55</v>
      </c>
      <c r="P22" s="66" t="n">
        <v>61</v>
      </c>
    </row>
    <row r="23" ht="15.75" customHeight="1" s="45">
      <c r="A23" s="61" t="n">
        <v>46114</v>
      </c>
      <c r="B23" s="62" t="inlineStr">
        <is>
          <t>Antes-Projeto</t>
        </is>
      </c>
      <c r="C23" s="63" t="inlineStr">
        <is>
          <t>Eletrocardiogramas</t>
        </is>
      </c>
      <c r="D23" s="64" t="n">
        <v>49</v>
      </c>
      <c r="E23" s="64" t="n">
        <v>7</v>
      </c>
      <c r="F23" s="64" t="n">
        <v>25</v>
      </c>
      <c r="G23" s="64" t="n">
        <v>6</v>
      </c>
      <c r="H23" s="64" t="n">
        <v>5</v>
      </c>
      <c r="I23" s="64" t="n">
        <v>9</v>
      </c>
      <c r="J23" s="64" t="n">
        <v>5</v>
      </c>
      <c r="K23" s="64" t="n">
        <v>14</v>
      </c>
      <c r="L23" s="64" t="n">
        <v>8</v>
      </c>
      <c r="M23" s="64" t="n">
        <v>13</v>
      </c>
      <c r="N23" s="64" t="n">
        <v>4</v>
      </c>
      <c r="O23" s="64" t="n">
        <v>13</v>
      </c>
      <c r="P23" s="64" t="n">
        <v>11</v>
      </c>
    </row>
    <row r="24" ht="15.75" customHeight="1" s="45">
      <c r="A24" s="61" t="n">
        <v>46114</v>
      </c>
      <c r="B24" s="62" t="inlineStr">
        <is>
          <t>Antes-Projeto</t>
        </is>
      </c>
      <c r="C24" s="68" t="inlineStr">
        <is>
          <t>GAEs Abertas</t>
        </is>
      </c>
      <c r="D24" s="69" t="n">
        <v>197</v>
      </c>
      <c r="E24" s="69" t="n">
        <v>144</v>
      </c>
      <c r="F24" s="69" t="n">
        <v>157</v>
      </c>
      <c r="G24" s="69" t="n">
        <v>93</v>
      </c>
      <c r="H24" s="69" t="n">
        <v>104</v>
      </c>
      <c r="I24" s="69" t="n">
        <v>185</v>
      </c>
      <c r="J24" s="69" t="n">
        <v>93</v>
      </c>
      <c r="K24" s="69" t="n">
        <v>285</v>
      </c>
      <c r="L24" s="69" t="n">
        <v>140</v>
      </c>
      <c r="M24" s="69" t="n">
        <v>245</v>
      </c>
      <c r="N24" s="69" t="n">
        <v>187</v>
      </c>
      <c r="O24" s="69" t="n">
        <v>278</v>
      </c>
      <c r="P24" s="69" t="n">
        <v>240</v>
      </c>
    </row>
    <row r="25" ht="15.75" customHeight="1" s="45">
      <c r="A25" s="61" t="n">
        <v>46114</v>
      </c>
      <c r="B25" s="62" t="inlineStr">
        <is>
          <t>Antes-Projeto</t>
        </is>
      </c>
      <c r="C25" s="68" t="inlineStr">
        <is>
          <t>GAEs Classificadas</t>
        </is>
      </c>
      <c r="D25" s="69" t="n">
        <v>182</v>
      </c>
      <c r="E25" s="69" t="n">
        <v>138</v>
      </c>
      <c r="F25" s="69" t="n">
        <v>147</v>
      </c>
      <c r="G25" s="69" t="n">
        <v>84</v>
      </c>
      <c r="H25" s="69" t="n">
        <v>100</v>
      </c>
      <c r="I25" s="69" t="n">
        <v>172</v>
      </c>
      <c r="J25" s="69" t="n">
        <v>90</v>
      </c>
      <c r="K25" s="69" t="n">
        <v>261</v>
      </c>
      <c r="L25" s="69" t="n">
        <v>128</v>
      </c>
      <c r="M25" s="69" t="n">
        <v>234</v>
      </c>
      <c r="N25" s="69" t="n">
        <v>179</v>
      </c>
      <c r="O25" s="69" t="n">
        <v>273</v>
      </c>
      <c r="P25" s="69" t="n">
        <v>232</v>
      </c>
    </row>
    <row r="26" ht="15.75" customHeight="1" s="45">
      <c r="A26" s="61" t="n">
        <v>46114</v>
      </c>
      <c r="B26" s="62" t="inlineStr">
        <is>
          <t>Antes-Projeto</t>
        </is>
      </c>
      <c r="C26" s="70" t="inlineStr">
        <is>
          <t>Percentual de GAEs abertas classificadas</t>
        </is>
      </c>
      <c r="D26" s="71">
        <f>IFERROR(D25/D24,"-")</f>
        <v/>
      </c>
      <c r="E26" s="71">
        <f>IFERROR(E25/E24,"-")</f>
        <v/>
      </c>
      <c r="F26" s="71">
        <f>IFERROR(F25/F24,"-")</f>
        <v/>
      </c>
      <c r="G26" s="71">
        <f>IFERROR(G25/G24,"-")</f>
        <v/>
      </c>
      <c r="H26" s="71">
        <f>IFERROR(H25/H24,"-")</f>
        <v/>
      </c>
      <c r="I26" s="71">
        <f>IFERROR(I25/I24,"-")</f>
        <v/>
      </c>
      <c r="J26" s="71">
        <f>IFERROR(J25/J24,"-")</f>
        <v/>
      </c>
      <c r="K26" s="71">
        <f>IFERROR(K25/K24,"-")</f>
        <v/>
      </c>
      <c r="L26" s="71">
        <f>IFERROR(L25/L24,"-")</f>
        <v/>
      </c>
      <c r="M26" s="71">
        <f>IFERROR(M25/M24,"-")</f>
        <v/>
      </c>
      <c r="N26" s="71">
        <f>IFERROR(N25/N24,"-")</f>
        <v/>
      </c>
      <c r="O26" s="71">
        <f>IFERROR(O25/O24,"-")</f>
        <v/>
      </c>
      <c r="P26" s="71">
        <f>IFERROR(P25/P24,"-")</f>
        <v/>
      </c>
    </row>
    <row r="27" ht="15.75" customHeight="1" s="45">
      <c r="A27" s="61" t="n">
        <v>46114</v>
      </c>
      <c r="B27" s="62" t="inlineStr">
        <is>
          <t>Antes-Projeto</t>
        </is>
      </c>
      <c r="C27" s="72" t="inlineStr">
        <is>
          <t>Tempo Médio — 🟡 Amarelo (hh:mm)</t>
        </is>
      </c>
      <c r="D27" s="73" t="n">
        <v>0.0278125</v>
      </c>
      <c r="E27" s="73" t="n">
        <v>0.1424652777777778</v>
      </c>
      <c r="F27" s="73" t="n">
        <v>0.03619212962962963</v>
      </c>
      <c r="G27" s="73" t="n">
        <v>0.03084490740740741</v>
      </c>
      <c r="H27" s="73" t="n">
        <v>0.08461805555555556</v>
      </c>
      <c r="I27" s="73" t="n">
        <v>0.0375</v>
      </c>
      <c r="J27" s="73" t="n">
        <v>0.03627314814814815</v>
      </c>
      <c r="K27" s="73" t="n">
        <v>0.07333333333333333</v>
      </c>
      <c r="L27" s="73" t="n">
        <v>0.1554861111111111</v>
      </c>
      <c r="M27" s="73" t="n">
        <v>0.03215277777777778</v>
      </c>
      <c r="N27" s="73" t="n">
        <v>0.08655092592592592</v>
      </c>
      <c r="O27" s="73" t="n">
        <v>0.04928240740740741</v>
      </c>
      <c r="P27" s="73" t="n">
        <v>0.04266203703703704</v>
      </c>
    </row>
    <row r="28" ht="15.75" customHeight="1" s="45">
      <c r="A28" s="61" t="n">
        <v>46114</v>
      </c>
      <c r="B28" s="62" t="inlineStr">
        <is>
          <t>Antes-Projeto</t>
        </is>
      </c>
      <c r="C28" s="74" t="inlineStr">
        <is>
          <t>Tempo Médio — 🟠 Laranja (hh:mm)</t>
        </is>
      </c>
      <c r="D28" s="75" t="n">
        <v>0.02042824074074074</v>
      </c>
      <c r="E28" s="75" t="n">
        <v>0.01145833333333333</v>
      </c>
      <c r="F28" s="75" t="n">
        <v>0.01158564814814815</v>
      </c>
      <c r="G28" s="75" t="n">
        <v>0.008819444444444444</v>
      </c>
      <c r="H28" s="75" t="n">
        <v>0.0105787037037037</v>
      </c>
      <c r="I28" s="75" t="n">
        <v>0.007418981481481481</v>
      </c>
      <c r="J28" s="75" t="n">
        <v>0.008159722222222223</v>
      </c>
      <c r="K28" s="75" t="n">
        <v>0.02042824074074074</v>
      </c>
      <c r="L28" s="75" t="n">
        <v>0.1487847222222222</v>
      </c>
      <c r="M28" s="75" t="n">
        <v>0.00681712962962963</v>
      </c>
      <c r="N28" s="75" t="n">
        <v>0.01076388888888889</v>
      </c>
      <c r="O28" s="75" t="n">
        <v>0.01274305555555556</v>
      </c>
      <c r="P28" s="75" t="n">
        <v>0.01111111111111111</v>
      </c>
    </row>
    <row r="29" ht="15.75" customHeight="1" s="45">
      <c r="A29" s="76" t="n">
        <v>46114</v>
      </c>
      <c r="B29" s="77" t="inlineStr">
        <is>
          <t>Antes-Projeto</t>
        </is>
      </c>
      <c r="C29" s="78" t="inlineStr">
        <is>
          <t>Tempo Médio — 🟢 Verde   (hh:mm)</t>
        </is>
      </c>
      <c r="D29" s="79" t="n">
        <v>0.02268518518518519</v>
      </c>
      <c r="E29" s="79" t="n">
        <v>0.1332175925925926</v>
      </c>
      <c r="F29" s="79" t="n">
        <v>0.1159143518518519</v>
      </c>
      <c r="G29" s="79" t="n">
        <v>0.08332175925925926</v>
      </c>
      <c r="H29" s="79" t="n">
        <v>0.05813657407407408</v>
      </c>
      <c r="I29" s="79" t="n">
        <v>0.07930555555555556</v>
      </c>
      <c r="J29" s="79" t="n">
        <v>0.04340277777777778</v>
      </c>
      <c r="K29" s="79" t="n">
        <v>0.09872685185185186</v>
      </c>
      <c r="L29" s="79" t="n">
        <v>0.1772337962962963</v>
      </c>
      <c r="M29" s="79" t="n">
        <v>0.07641203703703704</v>
      </c>
      <c r="N29" s="79" t="n">
        <v>0.1024305555555556</v>
      </c>
      <c r="O29" s="79" t="n">
        <v>0.0694212962962963</v>
      </c>
      <c r="P29" s="79" t="n">
        <v>0.1122569444444445</v>
      </c>
    </row>
    <row r="30" ht="15.75" customHeight="1" s="45">
      <c r="A30" s="57" t="n">
        <v>46115</v>
      </c>
      <c r="B30" s="58" t="inlineStr">
        <is>
          <t>Antes-Projeto</t>
        </is>
      </c>
      <c r="C30" s="59" t="inlineStr">
        <is>
          <t>Acolhim. + Atend. Urgência + Atend. UPA</t>
        </is>
      </c>
      <c r="D30" s="60">
        <f>SUM(D31:D33)</f>
        <v/>
      </c>
      <c r="E30" s="60">
        <f>SUM(E31:E33)</f>
        <v/>
      </c>
      <c r="F30" s="60">
        <f>SUM(F31:F33)</f>
        <v/>
      </c>
      <c r="G30" s="60">
        <f>SUM(G31:G33)</f>
        <v/>
      </c>
      <c r="H30" s="60">
        <f>SUM(H31:H33)</f>
        <v/>
      </c>
      <c r="I30" s="60">
        <f>SUM(I31:I33)</f>
        <v/>
      </c>
      <c r="J30" s="60">
        <f>SUM(J31:J33)</f>
        <v/>
      </c>
      <c r="K30" s="60">
        <f>SUM(K31:K33)</f>
        <v/>
      </c>
      <c r="L30" s="60">
        <f>SUM(L31:L33)</f>
        <v/>
      </c>
      <c r="M30" s="60">
        <f>SUM(M31:M33)</f>
        <v/>
      </c>
      <c r="N30" s="60">
        <f>SUM(N31:N33)</f>
        <v/>
      </c>
      <c r="O30" s="60">
        <f>SUM(O31:O33)</f>
        <v/>
      </c>
      <c r="P30" s="60">
        <f>SUM(P31:P33)</f>
        <v/>
      </c>
    </row>
    <row r="31" ht="15.75" customHeight="1" s="45">
      <c r="A31" s="61" t="n">
        <v>46115</v>
      </c>
      <c r="B31" s="62" t="inlineStr">
        <is>
          <t>Antes-Projeto</t>
        </is>
      </c>
      <c r="C31" s="63" t="inlineStr">
        <is>
          <t>Acolhimento c/ Classif. de Risco</t>
        </is>
      </c>
      <c r="D31" s="64" t="n">
        <v>182</v>
      </c>
      <c r="E31" s="64" t="n">
        <v>102</v>
      </c>
      <c r="F31" s="64" t="n">
        <v>135</v>
      </c>
      <c r="G31" s="64" t="n">
        <v>94</v>
      </c>
      <c r="H31" s="64" t="n">
        <v>99</v>
      </c>
      <c r="I31" s="64" t="n">
        <v>173</v>
      </c>
      <c r="J31" s="64" t="n">
        <v>93</v>
      </c>
      <c r="K31" s="64" t="n">
        <v>270</v>
      </c>
      <c r="L31" s="64" t="n">
        <v>117</v>
      </c>
      <c r="M31" s="64" t="n">
        <v>176</v>
      </c>
      <c r="N31" s="64" t="n">
        <v>162</v>
      </c>
      <c r="O31" s="64" t="n">
        <v>209</v>
      </c>
      <c r="P31" s="64" t="n">
        <v>186</v>
      </c>
    </row>
    <row r="32" ht="15.75" customHeight="1" s="45">
      <c r="A32" s="61" t="n">
        <v>46115</v>
      </c>
      <c r="B32" s="62" t="inlineStr">
        <is>
          <t>Antes-Projeto</t>
        </is>
      </c>
      <c r="C32" s="65" t="inlineStr">
        <is>
          <t>Atend. Urgência Obs. ≤ 24h</t>
        </is>
      </c>
      <c r="D32" s="66" t="n">
        <v>12</v>
      </c>
      <c r="E32" s="66" t="n">
        <v>33</v>
      </c>
      <c r="F32" s="66" t="n">
        <v>23</v>
      </c>
      <c r="G32" s="66" t="n">
        <v>28</v>
      </c>
      <c r="H32" s="66" t="n">
        <v>22</v>
      </c>
      <c r="I32" s="66" t="n">
        <v>54</v>
      </c>
      <c r="J32" s="66" t="n">
        <v>94</v>
      </c>
      <c r="K32" s="66" t="n">
        <v>122</v>
      </c>
      <c r="L32" s="66" t="n">
        <v>51</v>
      </c>
      <c r="M32" s="66" t="n">
        <v>56</v>
      </c>
      <c r="N32" s="66" t="n">
        <v>64</v>
      </c>
      <c r="O32" s="66" t="n">
        <v>10</v>
      </c>
      <c r="P32" s="66" t="n">
        <v>23</v>
      </c>
    </row>
    <row r="33" ht="15.75" customHeight="1" s="45">
      <c r="A33" s="61" t="n">
        <v>46115</v>
      </c>
      <c r="B33" s="62" t="inlineStr">
        <is>
          <t>Antes-Projeto</t>
        </is>
      </c>
      <c r="C33" s="63" t="inlineStr">
        <is>
          <t>Atend. Médico em UPA</t>
        </is>
      </c>
      <c r="D33" s="64" t="n">
        <v>109</v>
      </c>
      <c r="E33" s="64" t="n">
        <v>42</v>
      </c>
      <c r="F33" s="64" t="n">
        <v>101</v>
      </c>
      <c r="G33" s="64" t="n">
        <v>70</v>
      </c>
      <c r="H33" s="64" t="n">
        <v>60</v>
      </c>
      <c r="I33" s="64" t="n">
        <v>165</v>
      </c>
      <c r="J33" s="64" t="n">
        <v>71</v>
      </c>
      <c r="K33" s="64" t="n">
        <v>187</v>
      </c>
      <c r="L33" s="64" t="n">
        <v>79</v>
      </c>
      <c r="M33" s="64" t="n">
        <v>98</v>
      </c>
      <c r="N33" s="64" t="n">
        <v>150</v>
      </c>
      <c r="O33" s="64" t="n">
        <v>130</v>
      </c>
      <c r="P33" s="64" t="n">
        <v>111</v>
      </c>
    </row>
    <row r="34" ht="15.75" customHeight="1" s="45">
      <c r="A34" s="61" t="n">
        <v>46115</v>
      </c>
      <c r="B34" s="62" t="inlineStr">
        <is>
          <t>Antes-Projeto</t>
        </is>
      </c>
      <c r="C34" s="65" t="inlineStr">
        <is>
          <t>Exames Laboratoriais</t>
        </is>
      </c>
      <c r="D34" s="66" t="n">
        <v>579</v>
      </c>
      <c r="E34" s="66" t="n">
        <v>162</v>
      </c>
      <c r="F34" s="66" t="n">
        <v>377</v>
      </c>
      <c r="G34" s="66" t="n">
        <v>206</v>
      </c>
      <c r="H34" s="66" t="n">
        <v>239</v>
      </c>
      <c r="I34" s="66" t="n">
        <v>376</v>
      </c>
      <c r="J34" s="66" t="n">
        <v>254</v>
      </c>
      <c r="K34" s="66" t="n">
        <v>926</v>
      </c>
      <c r="L34" s="66" t="n">
        <v>527</v>
      </c>
      <c r="M34" s="66" t="n">
        <v>558</v>
      </c>
      <c r="N34" s="66" t="n">
        <v>508</v>
      </c>
      <c r="O34" s="66" t="n">
        <v>333</v>
      </c>
      <c r="P34" s="66" t="n">
        <v>296</v>
      </c>
    </row>
    <row r="35" ht="15.75" customHeight="1" s="45">
      <c r="A35" s="61" t="n">
        <v>46115</v>
      </c>
      <c r="B35" s="62" t="inlineStr">
        <is>
          <t>Antes-Projeto</t>
        </is>
      </c>
      <c r="C35" s="63" t="inlineStr">
        <is>
          <t>Radiografias</t>
        </is>
      </c>
      <c r="D35" s="64" t="n">
        <v>21</v>
      </c>
      <c r="E35" s="64" t="n">
        <v>13</v>
      </c>
      <c r="F35" s="64" t="n">
        <v>12</v>
      </c>
      <c r="G35" s="64" t="n">
        <v>14</v>
      </c>
      <c r="H35" s="64" t="n">
        <v>3</v>
      </c>
      <c r="I35" s="64" t="n">
        <v>27</v>
      </c>
      <c r="J35" s="64" t="n">
        <v>23</v>
      </c>
      <c r="K35" s="64" t="n">
        <v>52</v>
      </c>
      <c r="L35" s="64" t="n">
        <v>17</v>
      </c>
      <c r="M35" s="64" t="n">
        <v>35</v>
      </c>
      <c r="N35" s="64" t="n">
        <v>24</v>
      </c>
      <c r="O35" s="64" t="n">
        <v>31</v>
      </c>
      <c r="P35" s="64" t="n">
        <v>42</v>
      </c>
    </row>
    <row r="36" ht="15.75" customHeight="1" s="45">
      <c r="A36" s="61" t="n">
        <v>46115</v>
      </c>
      <c r="B36" s="62" t="inlineStr">
        <is>
          <t>Antes-Projeto</t>
        </is>
      </c>
      <c r="C36" s="65" t="inlineStr">
        <is>
          <t>Eletrocardiogramas</t>
        </is>
      </c>
      <c r="D36" s="66" t="n">
        <v>15</v>
      </c>
      <c r="E36" s="66" t="n">
        <v>6</v>
      </c>
      <c r="F36" s="66" t="n">
        <v>17</v>
      </c>
      <c r="G36" s="66" t="n">
        <v>7</v>
      </c>
      <c r="H36" s="66" t="n">
        <v>6</v>
      </c>
      <c r="I36" s="66" t="n">
        <v>7</v>
      </c>
      <c r="J36" s="66" t="n">
        <v>10</v>
      </c>
      <c r="K36" s="66" t="n">
        <v>18</v>
      </c>
      <c r="L36" s="66" t="n">
        <v>12</v>
      </c>
      <c r="M36" s="66" t="n">
        <v>13</v>
      </c>
      <c r="N36" s="66" t="n">
        <v>13</v>
      </c>
      <c r="O36" s="66" t="n">
        <v>14</v>
      </c>
      <c r="P36" s="66" t="n">
        <v>14</v>
      </c>
    </row>
    <row r="37" ht="15.75" customHeight="1" s="45">
      <c r="A37" s="61" t="n">
        <v>46115</v>
      </c>
      <c r="B37" s="62" t="inlineStr">
        <is>
          <t>Antes-Projeto</t>
        </is>
      </c>
      <c r="C37" s="68" t="inlineStr">
        <is>
          <t>GAEs Abertas</t>
        </is>
      </c>
      <c r="D37" s="69" t="n">
        <v>190</v>
      </c>
      <c r="E37" s="69" t="n">
        <v>114</v>
      </c>
      <c r="F37" s="69" t="n">
        <v>141</v>
      </c>
      <c r="G37" s="69" t="n">
        <v>95</v>
      </c>
      <c r="H37" s="69" t="n">
        <v>101</v>
      </c>
      <c r="I37" s="69" t="n">
        <v>191</v>
      </c>
      <c r="J37" s="69" t="n">
        <v>98</v>
      </c>
      <c r="K37" s="69" t="n">
        <v>284</v>
      </c>
      <c r="L37" s="69" t="n">
        <v>122</v>
      </c>
      <c r="M37" s="69" t="n">
        <v>195</v>
      </c>
      <c r="N37" s="69" t="n">
        <v>163</v>
      </c>
      <c r="O37" s="69" t="n">
        <v>220</v>
      </c>
      <c r="P37" s="69" t="n">
        <v>190</v>
      </c>
    </row>
    <row r="38" ht="15.75" customHeight="1" s="45">
      <c r="A38" s="61" t="n">
        <v>46115</v>
      </c>
      <c r="B38" s="62" t="inlineStr">
        <is>
          <t>Antes-Projeto</t>
        </is>
      </c>
      <c r="C38" s="68" t="inlineStr">
        <is>
          <t>GAEs Classificadas</t>
        </is>
      </c>
      <c r="D38" s="69" t="n">
        <v>181</v>
      </c>
      <c r="E38" s="69" t="n">
        <v>101</v>
      </c>
      <c r="F38" s="69" t="n">
        <v>136</v>
      </c>
      <c r="G38" s="69" t="n">
        <v>94</v>
      </c>
      <c r="H38" s="69" t="n">
        <v>99</v>
      </c>
      <c r="I38" s="69" t="n">
        <v>171</v>
      </c>
      <c r="J38" s="69" t="n">
        <v>92</v>
      </c>
      <c r="K38" s="69" t="n">
        <v>272</v>
      </c>
      <c r="L38" s="69" t="n">
        <v>117</v>
      </c>
      <c r="M38" s="69" t="n">
        <v>176</v>
      </c>
      <c r="N38" s="69" t="n">
        <v>151</v>
      </c>
      <c r="O38" s="69" t="n">
        <v>209</v>
      </c>
      <c r="P38" s="69" t="n">
        <v>186</v>
      </c>
    </row>
    <row r="39" ht="15.75" customHeight="1" s="45">
      <c r="A39" s="61" t="n">
        <v>46115</v>
      </c>
      <c r="B39" s="62" t="inlineStr">
        <is>
          <t>Antes-Projeto</t>
        </is>
      </c>
      <c r="C39" s="70" t="inlineStr">
        <is>
          <t>Percentual de GAEs abertas classificadas</t>
        </is>
      </c>
      <c r="D39" s="71">
        <f>IFERROR(D38/D37,"-")</f>
        <v/>
      </c>
      <c r="E39" s="71">
        <f>IFERROR(E38/E37,"-")</f>
        <v/>
      </c>
      <c r="F39" s="71">
        <f>IFERROR(F38/F37,"-")</f>
        <v/>
      </c>
      <c r="G39" s="71">
        <f>IFERROR(G38/G37,"-")</f>
        <v/>
      </c>
      <c r="H39" s="71">
        <f>IFERROR(H38/H37,"-")</f>
        <v/>
      </c>
      <c r="I39" s="71">
        <f>IFERROR(I38/I37,"-")</f>
        <v/>
      </c>
      <c r="J39" s="71">
        <f>IFERROR(J38/J37,"-")</f>
        <v/>
      </c>
      <c r="K39" s="71">
        <f>IFERROR(K38/K37,"-")</f>
        <v/>
      </c>
      <c r="L39" s="71">
        <f>IFERROR(L38/L37,"-")</f>
        <v/>
      </c>
      <c r="M39" s="71">
        <f>IFERROR(M38/M37,"-")</f>
        <v/>
      </c>
      <c r="N39" s="71">
        <f>IFERROR(N38/N37,"-")</f>
        <v/>
      </c>
      <c r="O39" s="71">
        <f>IFERROR(O38/O37,"-")</f>
        <v/>
      </c>
      <c r="P39" s="71">
        <f>IFERROR(P38/P37,"-")</f>
        <v/>
      </c>
    </row>
    <row r="40" ht="15.75" customHeight="1" s="45">
      <c r="A40" s="61" t="n">
        <v>46115</v>
      </c>
      <c r="B40" s="62" t="inlineStr">
        <is>
          <t>Antes-Projeto</t>
        </is>
      </c>
      <c r="C40" s="72" t="inlineStr">
        <is>
          <t>Tempo Médio — 🟡 Amarelo (hh:mm)</t>
        </is>
      </c>
      <c r="D40" s="73" t="n">
        <v>0.01924768518518518</v>
      </c>
      <c r="E40" s="73" t="n">
        <v>0.03299768518518519</v>
      </c>
      <c r="F40" s="73" t="n">
        <v>0.02421296296296296</v>
      </c>
      <c r="G40" s="73" t="n">
        <v>0.04166666666666666</v>
      </c>
      <c r="H40" s="73" t="n">
        <v>0.1184259259259259</v>
      </c>
      <c r="I40" s="73" t="n">
        <v>0.03318287037037037</v>
      </c>
      <c r="J40" s="73" t="n">
        <v>0.03527777777777778</v>
      </c>
      <c r="K40" s="73" t="n">
        <v>0.05709490740740741</v>
      </c>
      <c r="L40" s="73" t="n">
        <v>0.06488425925925925</v>
      </c>
      <c r="M40" s="73" t="n">
        <v>0.02303240740740741</v>
      </c>
      <c r="N40" s="73" t="n">
        <v>0.03995370370370371</v>
      </c>
      <c r="O40" s="73" t="n">
        <v>0.03436342592592593</v>
      </c>
      <c r="P40" s="73" t="n">
        <v>0.06123842592592593</v>
      </c>
    </row>
    <row r="41" ht="15.75" customHeight="1" s="45">
      <c r="A41" s="61" t="n">
        <v>46115</v>
      </c>
      <c r="B41" s="62" t="inlineStr">
        <is>
          <t>Antes-Projeto</t>
        </is>
      </c>
      <c r="C41" s="74" t="inlineStr">
        <is>
          <t>Tempo Médio — 🟠 Laranja (hh:mm)</t>
        </is>
      </c>
      <c r="D41" s="75" t="n">
        <v>0.008020833333333333</v>
      </c>
      <c r="E41" s="75" t="n">
        <v>0.004618055555555556</v>
      </c>
      <c r="F41" s="75" t="n">
        <v>0.008263888888888888</v>
      </c>
      <c r="G41" s="75" t="n">
        <v>0.02657407407407407</v>
      </c>
      <c r="H41" s="75" t="n">
        <v>0.01793981481481481</v>
      </c>
      <c r="I41" s="75" t="n">
        <v>0.006944444444444444</v>
      </c>
      <c r="J41" s="75" t="n">
        <v>0.004664351851851852</v>
      </c>
      <c r="K41" s="75" t="n">
        <v>0.01011574074074074</v>
      </c>
      <c r="L41" s="75" t="n">
        <v>0.01759259259259259</v>
      </c>
      <c r="M41" s="75" t="n">
        <v>0.01587962962962963</v>
      </c>
      <c r="N41" s="75" t="n">
        <v>0.007118055555555555</v>
      </c>
      <c r="O41" s="75" t="n">
        <v>0.01802083333333333</v>
      </c>
      <c r="P41" s="75" t="n">
        <v>0.01010416666666667</v>
      </c>
    </row>
    <row r="42" ht="15.75" customHeight="1" s="45">
      <c r="A42" s="76" t="n">
        <v>46115</v>
      </c>
      <c r="B42" s="77" t="inlineStr">
        <is>
          <t>Antes-Projeto</t>
        </is>
      </c>
      <c r="C42" s="78" t="inlineStr">
        <is>
          <t>Tempo Médio — 🟢 Verde   (hh:mm)</t>
        </is>
      </c>
      <c r="D42" s="79" t="n">
        <v>0.09587962962962963</v>
      </c>
      <c r="E42" s="79" t="n">
        <v>0.04024305555555555</v>
      </c>
      <c r="F42" s="79" t="n">
        <v>0.08452546296296297</v>
      </c>
      <c r="G42" s="79" t="n">
        <v>0.01708333333333333</v>
      </c>
      <c r="H42" s="79" t="n">
        <v>0.204849537037037</v>
      </c>
      <c r="I42" s="79" t="n">
        <v>0.09609953703703704</v>
      </c>
      <c r="J42" s="79" t="n">
        <v>0.05667824074074074</v>
      </c>
      <c r="K42" s="79" t="n">
        <v>0.05704861111111111</v>
      </c>
      <c r="L42" s="79" t="n">
        <v>0.07824074074074074</v>
      </c>
      <c r="M42" s="79" t="n">
        <v>0.05579861111111111</v>
      </c>
      <c r="N42" s="79" t="n">
        <v>0.04790509259259259</v>
      </c>
      <c r="O42" s="79" t="n">
        <v>0.08925925925925926</v>
      </c>
      <c r="P42" s="79" t="n">
        <v>0.1172222222222222</v>
      </c>
    </row>
    <row r="43" ht="15.75" customHeight="1" s="45">
      <c r="A43" s="57" t="n">
        <v>46116</v>
      </c>
      <c r="B43" s="58" t="inlineStr">
        <is>
          <t>Antes-Projeto</t>
        </is>
      </c>
      <c r="C43" s="59" t="inlineStr">
        <is>
          <t>Acolhim. + Atend. Urgência + Atend. UPA</t>
        </is>
      </c>
      <c r="D43" s="60">
        <f>SUM(D44:D46)</f>
        <v/>
      </c>
      <c r="E43" s="60">
        <f>SUM(E44:E46)</f>
        <v/>
      </c>
      <c r="F43" s="60">
        <f>SUM(F44:F46)</f>
        <v/>
      </c>
      <c r="G43" s="60">
        <f>SUM(G44:G46)</f>
        <v/>
      </c>
      <c r="H43" s="60">
        <f>SUM(H44:H46)</f>
        <v/>
      </c>
      <c r="I43" s="60">
        <f>SUM(I44:I46)</f>
        <v/>
      </c>
      <c r="J43" s="60">
        <f>SUM(J44:J46)</f>
        <v/>
      </c>
      <c r="K43" s="60">
        <f>SUM(K44:K46)</f>
        <v/>
      </c>
      <c r="L43" s="60">
        <f>SUM(L44:L46)</f>
        <v/>
      </c>
      <c r="M43" s="60">
        <f>SUM(M44:M46)</f>
        <v/>
      </c>
      <c r="N43" s="60">
        <f>SUM(N44:N46)</f>
        <v/>
      </c>
      <c r="O43" s="60">
        <f>SUM(O44:O46)</f>
        <v/>
      </c>
      <c r="P43" s="60">
        <f>SUM(P44:P46)</f>
        <v/>
      </c>
    </row>
    <row r="44" ht="15.75" customHeight="1" s="45">
      <c r="A44" s="61" t="n">
        <v>46116</v>
      </c>
      <c r="B44" s="62" t="inlineStr">
        <is>
          <t>Antes-Projeto</t>
        </is>
      </c>
      <c r="C44" s="65" t="inlineStr">
        <is>
          <t>Acolhimento c/ Classif. de Risco</t>
        </is>
      </c>
      <c r="D44" s="66" t="n">
        <v>179</v>
      </c>
      <c r="E44" s="66" t="n">
        <v>127</v>
      </c>
      <c r="F44" s="66" t="n">
        <v>136</v>
      </c>
      <c r="G44" s="66" t="n">
        <v>111</v>
      </c>
      <c r="H44" s="66" t="n">
        <v>109</v>
      </c>
      <c r="I44" s="66" t="n">
        <v>157</v>
      </c>
      <c r="J44" s="66" t="n">
        <v>88</v>
      </c>
      <c r="K44" s="66" t="n">
        <v>300</v>
      </c>
      <c r="L44" s="66" t="n">
        <v>152</v>
      </c>
      <c r="M44" s="66" t="n">
        <v>246</v>
      </c>
      <c r="N44" s="66" t="n">
        <v>196</v>
      </c>
      <c r="O44" s="66" t="n">
        <v>241</v>
      </c>
      <c r="P44" s="66" t="n">
        <v>208</v>
      </c>
    </row>
    <row r="45" ht="15.75" customHeight="1" s="45">
      <c r="A45" s="61" t="n">
        <v>46116</v>
      </c>
      <c r="B45" s="62" t="inlineStr">
        <is>
          <t>Antes-Projeto</t>
        </is>
      </c>
      <c r="C45" s="63" t="inlineStr">
        <is>
          <t>Atend. Urgência Obs. ≤ 24h</t>
        </is>
      </c>
      <c r="D45" s="64" t="n">
        <v>24</v>
      </c>
      <c r="E45" s="64" t="n">
        <v>49</v>
      </c>
      <c r="F45" s="64" t="n">
        <v>22</v>
      </c>
      <c r="G45" s="64" t="n">
        <v>48</v>
      </c>
      <c r="H45" s="64" t="n">
        <v>26</v>
      </c>
      <c r="I45" s="64" t="n">
        <v>65</v>
      </c>
      <c r="J45" s="64" t="n">
        <v>9</v>
      </c>
      <c r="K45" s="64" t="n">
        <v>112</v>
      </c>
      <c r="L45" s="64" t="n">
        <v>61</v>
      </c>
      <c r="M45" s="64" t="n">
        <v>56</v>
      </c>
      <c r="N45" s="64" t="n">
        <v>41</v>
      </c>
      <c r="O45" s="64" t="n">
        <v>15</v>
      </c>
      <c r="P45" s="64" t="n">
        <v>25</v>
      </c>
    </row>
    <row r="46" ht="15.75" customHeight="1" s="45">
      <c r="A46" s="61" t="n">
        <v>46116</v>
      </c>
      <c r="B46" s="62" t="inlineStr">
        <is>
          <t>Antes-Projeto</t>
        </is>
      </c>
      <c r="C46" s="65" t="inlineStr">
        <is>
          <t>Atend. Médico em UPA</t>
        </is>
      </c>
      <c r="D46" s="66" t="n">
        <v>78</v>
      </c>
      <c r="E46" s="66" t="n">
        <v>75</v>
      </c>
      <c r="F46" s="66" t="n">
        <v>77</v>
      </c>
      <c r="G46" s="66" t="n">
        <v>88</v>
      </c>
      <c r="H46" s="66" t="n">
        <v>51</v>
      </c>
      <c r="I46" s="66" t="n">
        <v>133</v>
      </c>
      <c r="J46" s="66" t="n">
        <v>33</v>
      </c>
      <c r="K46" s="66" t="n">
        <v>179</v>
      </c>
      <c r="L46" s="66" t="n">
        <v>111</v>
      </c>
      <c r="M46" s="66" t="n">
        <v>192</v>
      </c>
      <c r="N46" s="66" t="n">
        <v>180</v>
      </c>
      <c r="O46" s="66" t="n">
        <v>142</v>
      </c>
      <c r="P46" s="66" t="n">
        <v>137</v>
      </c>
    </row>
    <row r="47" ht="15.75" customHeight="1" s="45">
      <c r="A47" s="61" t="n">
        <v>46116</v>
      </c>
      <c r="B47" s="62" t="inlineStr">
        <is>
          <t>Antes-Projeto</t>
        </is>
      </c>
      <c r="C47" s="63" t="inlineStr">
        <is>
          <t>Exames Laboratoriais</t>
        </is>
      </c>
      <c r="D47" s="64" t="n">
        <v>523</v>
      </c>
      <c r="E47" s="64" t="n">
        <v>336</v>
      </c>
      <c r="F47" s="64" t="n">
        <v>463</v>
      </c>
      <c r="G47" s="64" t="n">
        <v>268</v>
      </c>
      <c r="H47" s="64" t="n">
        <v>273</v>
      </c>
      <c r="I47" s="64" t="n">
        <v>571</v>
      </c>
      <c r="J47" s="64" t="n">
        <v>260</v>
      </c>
      <c r="K47" s="64" t="n">
        <v>675</v>
      </c>
      <c r="L47" s="64" t="n">
        <v>617</v>
      </c>
      <c r="M47" s="64" t="n">
        <v>524</v>
      </c>
      <c r="N47" s="64" t="n">
        <v>454</v>
      </c>
      <c r="O47" s="64" t="n">
        <v>640</v>
      </c>
      <c r="P47" s="64" t="n">
        <v>522</v>
      </c>
    </row>
    <row r="48" ht="15.75" customHeight="1" s="45">
      <c r="A48" s="61" t="n">
        <v>46116</v>
      </c>
      <c r="B48" s="62" t="inlineStr">
        <is>
          <t>Antes-Projeto</t>
        </is>
      </c>
      <c r="C48" s="65" t="inlineStr">
        <is>
          <t>Radiografias</t>
        </is>
      </c>
      <c r="D48" s="66" t="n">
        <v>13</v>
      </c>
      <c r="E48" s="66" t="n">
        <v>13</v>
      </c>
      <c r="F48" s="66" t="n">
        <v>18</v>
      </c>
      <c r="G48" s="66" t="n">
        <v>16</v>
      </c>
      <c r="H48" s="66" t="n">
        <v>4</v>
      </c>
      <c r="I48" s="66" t="n">
        <v>32</v>
      </c>
      <c r="J48" s="66" t="n">
        <v>9</v>
      </c>
      <c r="K48" s="66" t="n">
        <v>27</v>
      </c>
      <c r="L48" s="66" t="n">
        <v>26</v>
      </c>
      <c r="M48" s="66" t="n">
        <v>34</v>
      </c>
      <c r="N48" s="66" t="n">
        <v>31</v>
      </c>
      <c r="O48" s="66" t="n">
        <v>37</v>
      </c>
      <c r="P48" s="66" t="n">
        <v>38</v>
      </c>
    </row>
    <row r="49" ht="15.75" customHeight="1" s="45">
      <c r="A49" s="61" t="n">
        <v>46116</v>
      </c>
      <c r="B49" s="62" t="inlineStr">
        <is>
          <t>Antes-Projeto</t>
        </is>
      </c>
      <c r="C49" s="63" t="inlineStr">
        <is>
          <t>Eletrocardiogramas</t>
        </is>
      </c>
      <c r="D49" s="64" t="n">
        <v>6</v>
      </c>
      <c r="E49" s="64" t="n">
        <v>15</v>
      </c>
      <c r="F49" s="64" t="n">
        <v>14</v>
      </c>
      <c r="G49" s="64" t="n">
        <v>7</v>
      </c>
      <c r="H49" s="64" t="n">
        <v>3</v>
      </c>
      <c r="I49" s="64" t="n">
        <v>15</v>
      </c>
      <c r="J49" s="64" t="n">
        <v>3</v>
      </c>
      <c r="K49" s="64" t="n">
        <v>13</v>
      </c>
      <c r="L49" s="64" t="n">
        <v>18</v>
      </c>
      <c r="M49" s="64" t="n">
        <v>17</v>
      </c>
      <c r="N49" s="64" t="n">
        <v>12</v>
      </c>
      <c r="O49" s="64" t="n">
        <v>14</v>
      </c>
      <c r="P49" s="64" t="n">
        <v>16</v>
      </c>
    </row>
    <row r="50" ht="15.75" customHeight="1" s="45">
      <c r="A50" s="61" t="n">
        <v>46116</v>
      </c>
      <c r="B50" s="62" t="inlineStr">
        <is>
          <t>Antes-Projeto</t>
        </is>
      </c>
      <c r="C50" s="68" t="inlineStr">
        <is>
          <t>GAEs Abertas</t>
        </is>
      </c>
      <c r="D50" s="69" t="n">
        <v>193</v>
      </c>
      <c r="E50" s="69" t="n">
        <v>131</v>
      </c>
      <c r="F50" s="69" t="n">
        <v>140</v>
      </c>
      <c r="G50" s="69" t="n">
        <v>114</v>
      </c>
      <c r="H50" s="69" t="n">
        <v>112</v>
      </c>
      <c r="I50" s="69" t="n">
        <v>166</v>
      </c>
      <c r="J50" s="69" t="n">
        <v>95</v>
      </c>
      <c r="K50" s="69" t="n">
        <v>323</v>
      </c>
      <c r="L50" s="69" t="n">
        <v>163</v>
      </c>
      <c r="M50" s="69" t="n">
        <v>263</v>
      </c>
      <c r="N50" s="69" t="n">
        <v>196</v>
      </c>
      <c r="O50" s="69" t="n">
        <v>249</v>
      </c>
      <c r="P50" s="69" t="n">
        <v>212</v>
      </c>
    </row>
    <row r="51" ht="15.75" customHeight="1" s="45">
      <c r="A51" s="61" t="n">
        <v>46116</v>
      </c>
      <c r="B51" s="62" t="inlineStr">
        <is>
          <t>Antes-Projeto</t>
        </is>
      </c>
      <c r="C51" s="68" t="inlineStr">
        <is>
          <t>GAEs Classificadas</t>
        </is>
      </c>
      <c r="D51" s="69" t="n">
        <v>176</v>
      </c>
      <c r="E51" s="69" t="n">
        <v>126</v>
      </c>
      <c r="F51" s="69" t="n">
        <v>136</v>
      </c>
      <c r="G51" s="69" t="n">
        <v>111</v>
      </c>
      <c r="H51" s="69" t="n">
        <v>108</v>
      </c>
      <c r="I51" s="69" t="n">
        <v>156</v>
      </c>
      <c r="J51" s="69" t="n">
        <v>88</v>
      </c>
      <c r="K51" s="69" t="n">
        <v>297</v>
      </c>
      <c r="L51" s="69" t="n">
        <v>149</v>
      </c>
      <c r="M51" s="69" t="n">
        <v>246</v>
      </c>
      <c r="N51" s="69" t="n">
        <v>183</v>
      </c>
      <c r="O51" s="69" t="n">
        <v>241</v>
      </c>
      <c r="P51" s="69" t="n">
        <v>207</v>
      </c>
    </row>
    <row r="52" ht="15.75" customHeight="1" s="45">
      <c r="A52" s="61" t="n">
        <v>46116</v>
      </c>
      <c r="B52" s="62" t="inlineStr">
        <is>
          <t>Antes-Projeto</t>
        </is>
      </c>
      <c r="C52" s="70" t="inlineStr">
        <is>
          <t>Percentual de GAEs abertas classificadas</t>
        </is>
      </c>
      <c r="D52" s="71">
        <f>IFERROR(D51/D50,"-")</f>
        <v/>
      </c>
      <c r="E52" s="71">
        <f>IFERROR(E51/E50,"-")</f>
        <v/>
      </c>
      <c r="F52" s="71">
        <f>IFERROR(F51/F50,"-")</f>
        <v/>
      </c>
      <c r="G52" s="71">
        <f>IFERROR(G51/G50,"-")</f>
        <v/>
      </c>
      <c r="H52" s="71">
        <f>IFERROR(H51/H50,"-")</f>
        <v/>
      </c>
      <c r="I52" s="71">
        <f>IFERROR(I51/I50,"-")</f>
        <v/>
      </c>
      <c r="J52" s="71">
        <f>IFERROR(J51/J50,"-")</f>
        <v/>
      </c>
      <c r="K52" s="71">
        <f>IFERROR(K51/K50,"-")</f>
        <v/>
      </c>
      <c r="L52" s="71">
        <f>IFERROR(L51/L50,"-")</f>
        <v/>
      </c>
      <c r="M52" s="71">
        <f>IFERROR(M51/M50,"-")</f>
        <v/>
      </c>
      <c r="N52" s="71">
        <f>IFERROR(N51/N50,"-")</f>
        <v/>
      </c>
      <c r="O52" s="71">
        <f>IFERROR(O51/O50,"-")</f>
        <v/>
      </c>
      <c r="P52" s="71">
        <f>IFERROR(P51/P50,"-")</f>
        <v/>
      </c>
    </row>
    <row r="53" ht="15.75" customHeight="1" s="45">
      <c r="A53" s="61" t="n">
        <v>46116</v>
      </c>
      <c r="B53" s="62" t="inlineStr">
        <is>
          <t>Antes-Projeto</t>
        </is>
      </c>
      <c r="C53" s="72" t="inlineStr">
        <is>
          <t>Tempo Médio — 🟡 Amarelo (hh:mm)</t>
        </is>
      </c>
      <c r="D53" s="73" t="n">
        <v>0.0674074074074074</v>
      </c>
      <c r="E53" s="73" t="n">
        <v>0.1064236111111111</v>
      </c>
      <c r="F53" s="73" t="n">
        <v>0.04894675925925926</v>
      </c>
      <c r="G53" s="73" t="n">
        <v>0.0271875</v>
      </c>
      <c r="H53" s="73" t="n">
        <v>0.04491898148148148</v>
      </c>
      <c r="I53" s="73" t="n">
        <v>0.05034722222222222</v>
      </c>
      <c r="J53" s="73" t="n">
        <v>0.1389467592592593</v>
      </c>
      <c r="K53" s="73" t="n">
        <v>0.07807870370370371</v>
      </c>
      <c r="L53" s="73" t="n">
        <v>0.0641087962962963</v>
      </c>
      <c r="M53" s="73" t="n">
        <v>0.01854166666666667</v>
      </c>
      <c r="N53" s="73" t="n">
        <v>0.06459490740740741</v>
      </c>
      <c r="O53" s="73" t="n">
        <v>0.04516203703703704</v>
      </c>
      <c r="P53" s="73" t="n">
        <v>0.07346064814814815</v>
      </c>
    </row>
    <row r="54" ht="15.75" customHeight="1" s="45">
      <c r="A54" s="61" t="n">
        <v>46116</v>
      </c>
      <c r="B54" s="62" t="inlineStr">
        <is>
          <t>Antes-Projeto</t>
        </is>
      </c>
      <c r="C54" s="74" t="inlineStr">
        <is>
          <t>Tempo Médio — 🟠 Laranja (hh:mm)</t>
        </is>
      </c>
      <c r="D54" s="75" t="n">
        <v>0.009189814814814816</v>
      </c>
      <c r="E54" s="75" t="n">
        <v>0.01210648148148148</v>
      </c>
      <c r="F54" s="75" t="n">
        <v>0.0146412037037037</v>
      </c>
      <c r="G54" s="75" t="n">
        <v>0.0040625</v>
      </c>
      <c r="H54" s="75" t="n">
        <v>0.008564814814814815</v>
      </c>
      <c r="I54" s="75" t="n">
        <v>0.006423611111111111</v>
      </c>
      <c r="J54" s="75" t="n">
        <v>0.0184375</v>
      </c>
      <c r="K54" s="75" t="n">
        <v>0.02217592592592593</v>
      </c>
      <c r="L54" s="75" t="n">
        <v>0.0105787037037037</v>
      </c>
      <c r="M54" s="75" t="n">
        <v>0.006747685185185186</v>
      </c>
      <c r="N54" s="75" t="n">
        <v>0.01266203703703704</v>
      </c>
      <c r="O54" s="75" t="n">
        <v>0.01126157407407407</v>
      </c>
      <c r="P54" s="75" t="n">
        <v>0.00693287037037037</v>
      </c>
    </row>
    <row r="55" ht="15.75" customHeight="1" s="45">
      <c r="A55" s="76" t="n">
        <v>46116</v>
      </c>
      <c r="B55" s="77" t="inlineStr">
        <is>
          <t>Antes-Projeto</t>
        </is>
      </c>
      <c r="C55" s="78" t="inlineStr">
        <is>
          <t>Tempo Médio — 🟢 Verde   (hh:mm)</t>
        </is>
      </c>
      <c r="D55" s="79" t="n">
        <v>0.06148148148148148</v>
      </c>
      <c r="E55" s="79" t="n">
        <v>0.1581944444444444</v>
      </c>
      <c r="F55" s="79" t="n">
        <v>0.1483217592592593</v>
      </c>
      <c r="G55" s="79" t="n">
        <v>0.04913194444444444</v>
      </c>
      <c r="H55" s="79" t="n">
        <v>0.04423611111111111</v>
      </c>
      <c r="I55" s="79" t="n">
        <v>0.1689583333333333</v>
      </c>
      <c r="J55" s="79" t="n">
        <v>0.3597222222222222</v>
      </c>
      <c r="K55" s="79" t="n">
        <v>0.1111111111111111</v>
      </c>
      <c r="L55" s="79" t="n">
        <v>0.1238657407407407</v>
      </c>
      <c r="M55" s="79" t="n">
        <v>0.06731481481481481</v>
      </c>
      <c r="N55" s="79" t="n">
        <v>0.1628703703703704</v>
      </c>
      <c r="O55" s="79" t="n">
        <v>0.05217592592592592</v>
      </c>
      <c r="P55" s="79" t="n">
        <v>0.08446759259259259</v>
      </c>
    </row>
    <row r="56" ht="15.75" customHeight="1" s="45">
      <c r="A56" s="57" t="n">
        <v>46117</v>
      </c>
      <c r="B56" s="58" t="inlineStr">
        <is>
          <t>Antes-Projeto</t>
        </is>
      </c>
      <c r="C56" s="59" t="inlineStr">
        <is>
          <t>Acolhim. + Atend. Urgência + Atend. UPA</t>
        </is>
      </c>
      <c r="D56" s="60">
        <f>SUM(D57:D59)</f>
        <v/>
      </c>
      <c r="E56" s="60">
        <f>SUM(E57:E59)</f>
        <v/>
      </c>
      <c r="F56" s="60">
        <f>SUM(F57:F59)</f>
        <v/>
      </c>
      <c r="G56" s="60">
        <f>SUM(G57:G59)</f>
        <v/>
      </c>
      <c r="H56" s="60">
        <f>SUM(H57:H59)</f>
        <v/>
      </c>
      <c r="I56" s="60">
        <f>SUM(I57:I59)</f>
        <v/>
      </c>
      <c r="J56" s="60">
        <f>SUM(J57:J59)</f>
        <v/>
      </c>
      <c r="K56" s="60">
        <f>SUM(K57:K59)</f>
        <v/>
      </c>
      <c r="L56" s="60">
        <f>SUM(L57:L59)</f>
        <v/>
      </c>
      <c r="M56" s="60">
        <f>SUM(M57:M59)</f>
        <v/>
      </c>
      <c r="N56" s="60">
        <f>SUM(N57:N59)</f>
        <v/>
      </c>
      <c r="O56" s="60">
        <f>SUM(O57:O59)</f>
        <v/>
      </c>
      <c r="P56" s="60">
        <f>SUM(P57:P59)</f>
        <v/>
      </c>
    </row>
    <row r="57" ht="15.75" customHeight="1" s="45">
      <c r="A57" s="61" t="n">
        <v>46117</v>
      </c>
      <c r="B57" s="62" t="inlineStr">
        <is>
          <t>Antes-Projeto</t>
        </is>
      </c>
      <c r="C57" s="63" t="inlineStr">
        <is>
          <t>Acolhimento c/ Classif. de Risco</t>
        </is>
      </c>
      <c r="D57" s="64" t="n">
        <v>164</v>
      </c>
      <c r="E57" s="64" t="n">
        <v>138</v>
      </c>
      <c r="F57" s="64" t="n">
        <v>115</v>
      </c>
      <c r="G57" s="64" t="n">
        <v>130</v>
      </c>
      <c r="H57" s="64" t="n">
        <v>110</v>
      </c>
      <c r="I57" s="64" t="n">
        <v>163</v>
      </c>
      <c r="J57" s="64" t="n">
        <v>32</v>
      </c>
      <c r="K57" s="64" t="n">
        <v>254</v>
      </c>
      <c r="L57" s="64" t="n">
        <v>111</v>
      </c>
      <c r="M57" s="64" t="n">
        <v>219</v>
      </c>
      <c r="N57" s="64" t="n">
        <v>204</v>
      </c>
      <c r="O57" s="64" t="n">
        <v>217</v>
      </c>
      <c r="P57" s="64" t="n">
        <v>201</v>
      </c>
    </row>
    <row r="58" ht="15.75" customHeight="1" s="45">
      <c r="A58" s="61" t="n">
        <v>46117</v>
      </c>
      <c r="B58" s="62" t="inlineStr">
        <is>
          <t>Antes-Projeto</t>
        </is>
      </c>
      <c r="C58" s="65" t="inlineStr">
        <is>
          <t>Atend. Urgência Obs. ≤ 24h</t>
        </is>
      </c>
      <c r="D58" s="66" t="n">
        <v>25</v>
      </c>
      <c r="E58" s="66" t="n">
        <v>22</v>
      </c>
      <c r="F58" s="66" t="n">
        <v>21</v>
      </c>
      <c r="G58" s="66" t="n">
        <v>80</v>
      </c>
      <c r="H58" s="66" t="n">
        <v>16</v>
      </c>
      <c r="I58" s="66" t="n">
        <v>61</v>
      </c>
      <c r="J58" s="66" t="n">
        <v>53</v>
      </c>
      <c r="K58" s="66" t="n">
        <v>52</v>
      </c>
      <c r="L58" s="66" t="n">
        <v>70</v>
      </c>
      <c r="M58" s="66" t="n">
        <v>56</v>
      </c>
      <c r="N58" s="66" t="n">
        <v>50</v>
      </c>
      <c r="O58" s="66" t="n">
        <v>7</v>
      </c>
      <c r="P58" s="66" t="n">
        <v>20</v>
      </c>
    </row>
    <row r="59" ht="15.75" customHeight="1" s="45">
      <c r="A59" s="61" t="n">
        <v>46117</v>
      </c>
      <c r="B59" s="62" t="inlineStr">
        <is>
          <t>Antes-Projeto</t>
        </is>
      </c>
      <c r="C59" s="63" t="inlineStr">
        <is>
          <t>Atend. Médico em UPA</t>
        </is>
      </c>
      <c r="D59" s="64" t="n">
        <v>91</v>
      </c>
      <c r="E59" s="64" t="n">
        <v>78</v>
      </c>
      <c r="F59" s="64" t="n">
        <v>75</v>
      </c>
      <c r="G59" s="64" t="n">
        <v>56</v>
      </c>
      <c r="H59" s="64" t="n">
        <v>79</v>
      </c>
      <c r="I59" s="64" t="n">
        <v>109</v>
      </c>
      <c r="J59" s="64" t="n">
        <v>33</v>
      </c>
      <c r="K59" s="64" t="n">
        <v>90</v>
      </c>
      <c r="L59" s="64" t="n">
        <v>70</v>
      </c>
      <c r="M59" s="64" t="n">
        <v>98</v>
      </c>
      <c r="N59" s="64" t="n">
        <v>210</v>
      </c>
      <c r="O59" s="64" t="n">
        <v>162</v>
      </c>
      <c r="P59" s="64" t="n">
        <v>114</v>
      </c>
    </row>
    <row r="60" ht="15.75" customHeight="1" s="45">
      <c r="A60" s="61" t="n">
        <v>46117</v>
      </c>
      <c r="B60" s="62" t="inlineStr">
        <is>
          <t>Antes-Projeto</t>
        </is>
      </c>
      <c r="C60" s="65" t="inlineStr">
        <is>
          <t>Exames Laboratoriais</t>
        </is>
      </c>
      <c r="D60" s="66" t="n">
        <v>540</v>
      </c>
      <c r="E60" s="66" t="n">
        <v>208</v>
      </c>
      <c r="F60" s="66" t="n">
        <v>178</v>
      </c>
      <c r="G60" s="66" t="n">
        <v>521</v>
      </c>
      <c r="H60" s="66" t="n">
        <v>299</v>
      </c>
      <c r="I60" s="66" t="n">
        <v>348</v>
      </c>
      <c r="J60" s="66" t="n">
        <v>121</v>
      </c>
      <c r="K60" s="66" t="n">
        <v>709</v>
      </c>
      <c r="L60" s="66" t="n">
        <v>611</v>
      </c>
      <c r="M60" s="66" t="n">
        <v>543</v>
      </c>
      <c r="N60" s="66" t="n">
        <v>415</v>
      </c>
      <c r="O60" s="66" t="n">
        <v>577</v>
      </c>
      <c r="P60" s="66" t="n">
        <v>261</v>
      </c>
    </row>
    <row r="61" ht="15.75" customHeight="1" s="45">
      <c r="A61" s="61" t="n">
        <v>46117</v>
      </c>
      <c r="B61" s="62" t="inlineStr">
        <is>
          <t>Antes-Projeto</t>
        </is>
      </c>
      <c r="C61" s="63" t="inlineStr">
        <is>
          <t>Radiografias</t>
        </is>
      </c>
      <c r="D61" s="64" t="n">
        <v>16</v>
      </c>
      <c r="E61" s="64" t="n">
        <v>12</v>
      </c>
      <c r="F61" s="64" t="n">
        <v>18</v>
      </c>
      <c r="G61" s="64" t="n">
        <v>18</v>
      </c>
      <c r="H61" s="64" t="n">
        <v>8</v>
      </c>
      <c r="I61" s="64" t="n">
        <v>14</v>
      </c>
      <c r="J61" s="64" t="n">
        <v>7</v>
      </c>
      <c r="K61" s="64" t="n">
        <v>58</v>
      </c>
      <c r="L61" s="64" t="n">
        <v>20</v>
      </c>
      <c r="M61" s="64" t="n">
        <v>41</v>
      </c>
      <c r="N61" s="64" t="n">
        <v>30</v>
      </c>
      <c r="O61" s="64" t="n">
        <v>40</v>
      </c>
      <c r="P61" s="67" t="n">
        <v>0</v>
      </c>
    </row>
    <row r="62" ht="15.75" customHeight="1" s="45">
      <c r="A62" s="61" t="n">
        <v>46117</v>
      </c>
      <c r="B62" s="62" t="inlineStr">
        <is>
          <t>Antes-Projeto</t>
        </is>
      </c>
      <c r="C62" s="65" t="inlineStr">
        <is>
          <t>Eletrocardiogramas</t>
        </is>
      </c>
      <c r="D62" s="66" t="n">
        <v>7</v>
      </c>
      <c r="E62" s="66" t="n">
        <v>4</v>
      </c>
      <c r="F62" s="66" t="n">
        <v>18</v>
      </c>
      <c r="G62" s="66" t="n">
        <v>9</v>
      </c>
      <c r="H62" s="66" t="n">
        <v>10</v>
      </c>
      <c r="I62" s="66" t="n">
        <v>14</v>
      </c>
      <c r="J62" s="66" t="n">
        <v>4</v>
      </c>
      <c r="K62" s="66" t="n">
        <v>3</v>
      </c>
      <c r="L62" s="66" t="n">
        <v>11</v>
      </c>
      <c r="M62" s="66" t="n">
        <v>9</v>
      </c>
      <c r="N62" s="66" t="n">
        <v>23</v>
      </c>
      <c r="O62" s="66" t="n">
        <v>10</v>
      </c>
      <c r="P62" s="66" t="n">
        <v>11</v>
      </c>
    </row>
    <row r="63" ht="15.75" customHeight="1" s="45">
      <c r="A63" s="61" t="n">
        <v>46117</v>
      </c>
      <c r="B63" s="62" t="inlineStr">
        <is>
          <t>Antes-Projeto</t>
        </is>
      </c>
      <c r="C63" s="68" t="inlineStr">
        <is>
          <t>GAEs Abertas</t>
        </is>
      </c>
      <c r="D63" s="69" t="n">
        <v>182</v>
      </c>
      <c r="E63" s="69" t="n">
        <v>144</v>
      </c>
      <c r="F63" s="69" t="n">
        <v>118</v>
      </c>
      <c r="G63" s="69" t="n">
        <v>137</v>
      </c>
      <c r="H63" s="69" t="n">
        <v>118</v>
      </c>
      <c r="I63" s="69" t="n">
        <v>174</v>
      </c>
      <c r="J63" s="69" t="n">
        <v>37</v>
      </c>
      <c r="K63" s="69" t="n">
        <v>271</v>
      </c>
      <c r="L63" s="69" t="n">
        <v>120</v>
      </c>
      <c r="M63" s="69" t="n">
        <v>242</v>
      </c>
      <c r="N63" s="69" t="n">
        <v>209</v>
      </c>
      <c r="O63" s="69" t="n">
        <v>226</v>
      </c>
      <c r="P63" s="69" t="n">
        <v>210</v>
      </c>
    </row>
    <row r="64" ht="15.75" customHeight="1" s="45">
      <c r="A64" s="61" t="n">
        <v>46117</v>
      </c>
      <c r="B64" s="62" t="inlineStr">
        <is>
          <t>Antes-Projeto</t>
        </is>
      </c>
      <c r="C64" s="68" t="inlineStr">
        <is>
          <t>GAEs Classificadas</t>
        </is>
      </c>
      <c r="D64" s="69" t="n">
        <v>166</v>
      </c>
      <c r="E64" s="69" t="n">
        <v>140</v>
      </c>
      <c r="F64" s="69" t="n">
        <v>115</v>
      </c>
      <c r="G64" s="69" t="n">
        <v>129</v>
      </c>
      <c r="H64" s="69" t="n">
        <v>110</v>
      </c>
      <c r="I64" s="69" t="n">
        <v>163</v>
      </c>
      <c r="J64" s="69" t="n">
        <v>32</v>
      </c>
      <c r="K64" s="69" t="n">
        <v>250</v>
      </c>
      <c r="L64" s="69" t="n">
        <v>115</v>
      </c>
      <c r="M64" s="69" t="n">
        <v>222</v>
      </c>
      <c r="N64" s="69" t="n">
        <v>206</v>
      </c>
      <c r="O64" s="69" t="n">
        <v>219</v>
      </c>
      <c r="P64" s="69" t="n">
        <v>206</v>
      </c>
    </row>
    <row r="65" ht="15.75" customHeight="1" s="45">
      <c r="A65" s="61" t="n">
        <v>46117</v>
      </c>
      <c r="B65" s="62" t="inlineStr">
        <is>
          <t>Antes-Projeto</t>
        </is>
      </c>
      <c r="C65" s="70" t="inlineStr">
        <is>
          <t>Percentual de GAEs abertas classificadas</t>
        </is>
      </c>
      <c r="D65" s="71">
        <f>IFERROR(D64/D63,"-")</f>
        <v/>
      </c>
      <c r="E65" s="71">
        <f>IFERROR(E64/E63,"-")</f>
        <v/>
      </c>
      <c r="F65" s="71">
        <f>IFERROR(F64/F63,"-")</f>
        <v/>
      </c>
      <c r="G65" s="71">
        <f>IFERROR(G64/G63,"-")</f>
        <v/>
      </c>
      <c r="H65" s="71">
        <f>IFERROR(H64/H63,"-")</f>
        <v/>
      </c>
      <c r="I65" s="71">
        <f>IFERROR(I64/I63,"-")</f>
        <v/>
      </c>
      <c r="J65" s="71">
        <f>IFERROR(J64/J63,"-")</f>
        <v/>
      </c>
      <c r="K65" s="71">
        <f>IFERROR(K64/K63,"-")</f>
        <v/>
      </c>
      <c r="L65" s="71">
        <f>IFERROR(L64/L63,"-")</f>
        <v/>
      </c>
      <c r="M65" s="71">
        <f>IFERROR(M64/M63,"-")</f>
        <v/>
      </c>
      <c r="N65" s="71">
        <f>IFERROR(N64/N63,"-")</f>
        <v/>
      </c>
      <c r="O65" s="71">
        <f>IFERROR(O64/O63,"-")</f>
        <v/>
      </c>
      <c r="P65" s="71">
        <f>IFERROR(P64/P63,"-")</f>
        <v/>
      </c>
    </row>
    <row r="66" ht="15.75" customHeight="1" s="45">
      <c r="A66" s="61" t="n">
        <v>46117</v>
      </c>
      <c r="B66" s="62" t="inlineStr">
        <is>
          <t>Antes-Projeto</t>
        </is>
      </c>
      <c r="C66" s="72" t="inlineStr">
        <is>
          <t>Tempo Médio — 🟡 Amarelo (hh:mm)</t>
        </is>
      </c>
      <c r="D66" s="73" t="n">
        <v>0.08516203703703704</v>
      </c>
      <c r="E66" s="73" t="n">
        <v>0.07972222222222222</v>
      </c>
      <c r="F66" s="73" t="n">
        <v>0.06027777777777778</v>
      </c>
      <c r="G66" s="73" t="n">
        <v>0.1427430555555556</v>
      </c>
      <c r="H66" s="73" t="n">
        <v>0.08570601851851851</v>
      </c>
      <c r="I66" s="73" t="n">
        <v>0.0352662037037037</v>
      </c>
      <c r="J66" s="73" t="n">
        <v>0.1784259259259259</v>
      </c>
      <c r="K66" s="73" t="n">
        <v>0.1259606481481481</v>
      </c>
      <c r="L66" s="73" t="n">
        <v>0.1561458333333333</v>
      </c>
      <c r="M66" s="73" t="n">
        <v>0.0565162037037037</v>
      </c>
      <c r="N66" s="73" t="n">
        <v>0.1004166666666667</v>
      </c>
      <c r="O66" s="73" t="n">
        <v>0.04789351851851852</v>
      </c>
      <c r="P66" s="73" t="n">
        <v>0.09071759259259259</v>
      </c>
    </row>
    <row r="67" ht="15.75" customHeight="1" s="45">
      <c r="A67" s="61" t="n">
        <v>46117</v>
      </c>
      <c r="B67" s="62" t="inlineStr">
        <is>
          <t>Antes-Projeto</t>
        </is>
      </c>
      <c r="C67" s="74" t="inlineStr">
        <is>
          <t>Tempo Médio — 🟠 Laranja (hh:mm)</t>
        </is>
      </c>
      <c r="D67" s="75" t="n">
        <v>0.01321759259259259</v>
      </c>
      <c r="E67" s="75" t="n">
        <v>0.01565972222222222</v>
      </c>
      <c r="F67" s="75" t="n">
        <v>0.00962962962962963</v>
      </c>
      <c r="G67" s="75" t="n">
        <v>0.002615740740740741</v>
      </c>
      <c r="H67" s="75" t="n">
        <v>0.01318287037037037</v>
      </c>
      <c r="I67" s="75" t="n">
        <v>0.006527777777777778</v>
      </c>
      <c r="J67" s="75" t="n">
        <v>0.1025462962962963</v>
      </c>
      <c r="K67" s="75" t="n">
        <v>0.03016203703703704</v>
      </c>
      <c r="L67" s="75" t="n">
        <v>0.01916666666666667</v>
      </c>
      <c r="M67" s="75" t="n">
        <v>0.01079861111111111</v>
      </c>
      <c r="N67" s="75" t="n">
        <v>0.02041666666666667</v>
      </c>
      <c r="O67" s="75" t="n">
        <v>0.01016203703703704</v>
      </c>
      <c r="P67" s="75" t="n">
        <v>0.01266203703703704</v>
      </c>
    </row>
    <row r="68" ht="15.75" customHeight="1" s="45">
      <c r="A68" s="76" t="n">
        <v>46117</v>
      </c>
      <c r="B68" s="77" t="inlineStr">
        <is>
          <t>Antes-Projeto</t>
        </is>
      </c>
      <c r="C68" s="78" t="inlineStr">
        <is>
          <t>Tempo Médio — 🟢 Verde   (hh:mm)</t>
        </is>
      </c>
      <c r="D68" s="79" t="n">
        <v>0.1248032407407407</v>
      </c>
      <c r="E68" s="79" t="n">
        <v>0.1778240740740741</v>
      </c>
      <c r="F68" s="79" t="n">
        <v>0.1413078703703704</v>
      </c>
      <c r="G68" s="79" t="n">
        <v>0.1546180555555556</v>
      </c>
      <c r="H68" s="79" t="n">
        <v>0.1230555555555556</v>
      </c>
      <c r="I68" s="79" t="n">
        <v>0.1471412037037037</v>
      </c>
      <c r="J68" s="79" t="n">
        <v>0.06258101851851852</v>
      </c>
      <c r="K68" s="79" t="n">
        <v>0.1778703703703704</v>
      </c>
      <c r="L68" s="79" t="n">
        <v>0.1255092592592593</v>
      </c>
      <c r="M68" s="79" t="n">
        <v>0.06753472222222222</v>
      </c>
      <c r="N68" s="79" t="n">
        <v>0.1413657407407407</v>
      </c>
      <c r="O68" s="79" t="n">
        <v>0.1178356481481481</v>
      </c>
      <c r="P68" s="79" t="n">
        <v>0.058125</v>
      </c>
    </row>
    <row r="69" ht="15.75" customHeight="1" s="45">
      <c r="A69" s="57" t="n">
        <v>46118</v>
      </c>
      <c r="B69" s="58" t="inlineStr">
        <is>
          <t>Antes-Projeto</t>
        </is>
      </c>
      <c r="C69" s="59" t="inlineStr">
        <is>
          <t>Acolhim. + Atend. Urgência + Atend. UPA</t>
        </is>
      </c>
      <c r="D69" s="60">
        <f>SUM(D70:D72)</f>
        <v/>
      </c>
      <c r="E69" s="60">
        <f>SUM(E70:E72)</f>
        <v/>
      </c>
      <c r="F69" s="60">
        <f>SUM(F70:F72)</f>
        <v/>
      </c>
      <c r="G69" s="60">
        <f>SUM(G70:G72)</f>
        <v/>
      </c>
      <c r="H69" s="60">
        <f>SUM(H70:H72)</f>
        <v/>
      </c>
      <c r="I69" s="60">
        <f>SUM(I70:I72)</f>
        <v/>
      </c>
      <c r="J69" s="60">
        <f>SUM(J70:J72)</f>
        <v/>
      </c>
      <c r="K69" s="60">
        <f>SUM(K70:K72)</f>
        <v/>
      </c>
      <c r="L69" s="60">
        <f>SUM(L70:L72)</f>
        <v/>
      </c>
      <c r="M69" s="60">
        <f>SUM(M70:M72)</f>
        <v/>
      </c>
      <c r="N69" s="60">
        <f>SUM(N70:N72)</f>
        <v/>
      </c>
      <c r="O69" s="60">
        <f>SUM(O70:O72)</f>
        <v/>
      </c>
      <c r="P69" s="60">
        <f>SUM(P70:P72)</f>
        <v/>
      </c>
    </row>
    <row r="70" ht="15.75" customHeight="1" s="45">
      <c r="A70" s="61" t="n">
        <v>46118</v>
      </c>
      <c r="B70" s="62" t="inlineStr">
        <is>
          <t>Antes-Projeto</t>
        </is>
      </c>
      <c r="C70" s="65" t="inlineStr">
        <is>
          <t>Acolhimento c/ Classif. de Risco</t>
        </is>
      </c>
      <c r="D70" s="66" t="n">
        <v>286</v>
      </c>
      <c r="E70" s="66" t="n">
        <v>196</v>
      </c>
      <c r="F70" s="66" t="n">
        <v>191</v>
      </c>
      <c r="G70" s="66" t="n">
        <v>165</v>
      </c>
      <c r="H70" s="66" t="n">
        <v>165</v>
      </c>
      <c r="I70" s="66" t="n">
        <v>228</v>
      </c>
      <c r="J70" s="66" t="n">
        <v>120</v>
      </c>
      <c r="K70" s="66" t="n">
        <v>318</v>
      </c>
      <c r="L70" s="66" t="n">
        <v>154</v>
      </c>
      <c r="M70" s="66" t="n">
        <v>276</v>
      </c>
      <c r="N70" s="66" t="n">
        <v>250</v>
      </c>
      <c r="O70" s="66" t="n">
        <v>345</v>
      </c>
      <c r="P70" s="66" t="n">
        <v>298</v>
      </c>
    </row>
    <row r="71" ht="15.75" customHeight="1" s="45">
      <c r="A71" s="61" t="n">
        <v>46118</v>
      </c>
      <c r="B71" s="62" t="inlineStr">
        <is>
          <t>Antes-Projeto</t>
        </is>
      </c>
      <c r="C71" s="63" t="inlineStr">
        <is>
          <t>Atend. Urgência Obs. ≤ 24h</t>
        </is>
      </c>
      <c r="D71" s="64" t="n">
        <v>36</v>
      </c>
      <c r="E71" s="64" t="n">
        <v>21</v>
      </c>
      <c r="F71" s="64" t="n">
        <v>18</v>
      </c>
      <c r="G71" s="64" t="n">
        <v>67</v>
      </c>
      <c r="H71" s="64" t="n">
        <v>31</v>
      </c>
      <c r="I71" s="64" t="n">
        <v>55</v>
      </c>
      <c r="J71" s="64" t="n">
        <v>97</v>
      </c>
      <c r="K71" s="64" t="n">
        <v>46</v>
      </c>
      <c r="L71" s="64" t="n">
        <v>54</v>
      </c>
      <c r="M71" s="64" t="n">
        <v>46</v>
      </c>
      <c r="N71" s="64" t="n">
        <v>40</v>
      </c>
      <c r="O71" s="64" t="n">
        <v>11</v>
      </c>
      <c r="P71" s="64" t="n">
        <v>36</v>
      </c>
    </row>
    <row r="72" ht="15.75" customHeight="1" s="45">
      <c r="A72" s="61" t="n">
        <v>46118</v>
      </c>
      <c r="B72" s="62" t="inlineStr">
        <is>
          <t>Antes-Projeto</t>
        </is>
      </c>
      <c r="C72" s="65" t="inlineStr">
        <is>
          <t>Atend. Médico em UPA</t>
        </is>
      </c>
      <c r="D72" s="66" t="n">
        <v>158</v>
      </c>
      <c r="E72" s="66" t="n">
        <v>62</v>
      </c>
      <c r="F72" s="66" t="n">
        <v>118</v>
      </c>
      <c r="G72" s="66" t="n">
        <v>105</v>
      </c>
      <c r="H72" s="66" t="n">
        <v>94</v>
      </c>
      <c r="I72" s="66" t="n">
        <v>163</v>
      </c>
      <c r="J72" s="66" t="n">
        <v>61</v>
      </c>
      <c r="K72" s="66" t="n">
        <v>201</v>
      </c>
      <c r="L72" s="66" t="n">
        <v>81</v>
      </c>
      <c r="M72" s="66" t="n">
        <v>169</v>
      </c>
      <c r="N72" s="66" t="n">
        <v>231</v>
      </c>
      <c r="O72" s="66" t="n">
        <v>204</v>
      </c>
      <c r="P72" s="66" t="n">
        <v>103</v>
      </c>
    </row>
    <row r="73" ht="15.75" customHeight="1" s="45">
      <c r="A73" s="61" t="n">
        <v>46118</v>
      </c>
      <c r="B73" s="62" t="inlineStr">
        <is>
          <t>Antes-Projeto</t>
        </is>
      </c>
      <c r="C73" s="63" t="inlineStr">
        <is>
          <t>Exames Laboratoriais</t>
        </is>
      </c>
      <c r="D73" s="64" t="n">
        <v>653</v>
      </c>
      <c r="E73" s="64" t="n">
        <v>344</v>
      </c>
      <c r="F73" s="64" t="n">
        <v>510</v>
      </c>
      <c r="G73" s="64" t="n">
        <v>356</v>
      </c>
      <c r="H73" s="64" t="n">
        <v>371</v>
      </c>
      <c r="I73" s="64" t="n">
        <v>618</v>
      </c>
      <c r="J73" s="64" t="n">
        <v>302</v>
      </c>
      <c r="K73" s="64" t="n">
        <v>934</v>
      </c>
      <c r="L73" s="64" t="n">
        <v>567</v>
      </c>
      <c r="M73" s="64" t="n">
        <v>484</v>
      </c>
      <c r="N73" s="64" t="n">
        <v>469</v>
      </c>
      <c r="O73" s="64" t="n">
        <v>573</v>
      </c>
      <c r="P73" s="64" t="n">
        <v>757</v>
      </c>
    </row>
    <row r="74" ht="15.75" customHeight="1" s="45">
      <c r="A74" s="61" t="n">
        <v>46118</v>
      </c>
      <c r="B74" s="62" t="inlineStr">
        <is>
          <t>Antes-Projeto</t>
        </is>
      </c>
      <c r="C74" s="65" t="inlineStr">
        <is>
          <t>Radiografias</t>
        </is>
      </c>
      <c r="D74" s="66" t="n">
        <v>33</v>
      </c>
      <c r="E74" s="66" t="n">
        <v>26</v>
      </c>
      <c r="F74" s="66" t="n">
        <v>23</v>
      </c>
      <c r="G74" s="66" t="n">
        <v>16</v>
      </c>
      <c r="H74" s="66" t="n">
        <v>17</v>
      </c>
      <c r="I74" s="66" t="n">
        <v>22</v>
      </c>
      <c r="J74" s="66" t="n">
        <v>10</v>
      </c>
      <c r="K74" s="66" t="n">
        <v>47</v>
      </c>
      <c r="L74" s="66" t="n">
        <v>35</v>
      </c>
      <c r="M74" s="66" t="n">
        <v>75</v>
      </c>
      <c r="N74" s="66" t="n">
        <v>28</v>
      </c>
      <c r="O74" s="66" t="n">
        <v>67</v>
      </c>
      <c r="P74" s="66" t="n">
        <v>51</v>
      </c>
    </row>
    <row r="75" ht="15.75" customHeight="1" s="45">
      <c r="A75" s="61" t="n">
        <v>46118</v>
      </c>
      <c r="B75" s="62" t="inlineStr">
        <is>
          <t>Antes-Projeto</t>
        </is>
      </c>
      <c r="C75" s="63" t="inlineStr">
        <is>
          <t>Eletrocardiogramas</t>
        </is>
      </c>
      <c r="D75" s="64" t="n">
        <v>15</v>
      </c>
      <c r="E75" s="64" t="n">
        <v>11</v>
      </c>
      <c r="F75" s="64" t="n">
        <v>21</v>
      </c>
      <c r="G75" s="64" t="n">
        <v>16</v>
      </c>
      <c r="H75" s="64" t="n">
        <v>9</v>
      </c>
      <c r="I75" s="64" t="n">
        <v>18</v>
      </c>
      <c r="J75" s="64" t="n">
        <v>8</v>
      </c>
      <c r="K75" s="64" t="n">
        <v>4</v>
      </c>
      <c r="L75" s="64" t="n">
        <v>20</v>
      </c>
      <c r="M75" s="64" t="n">
        <v>11</v>
      </c>
      <c r="N75" s="64" t="n">
        <v>21</v>
      </c>
      <c r="O75" s="64" t="n">
        <v>24</v>
      </c>
      <c r="P75" s="64" t="n">
        <v>29</v>
      </c>
    </row>
    <row r="76" ht="15.75" customHeight="1" s="45">
      <c r="A76" s="61" t="n">
        <v>46118</v>
      </c>
      <c r="B76" s="62" t="inlineStr">
        <is>
          <t>Antes-Projeto</t>
        </is>
      </c>
      <c r="C76" s="68" t="inlineStr">
        <is>
          <t>GAEs Abertas</t>
        </is>
      </c>
      <c r="D76" s="69" t="n">
        <v>305</v>
      </c>
      <c r="E76" s="69" t="n">
        <v>202</v>
      </c>
      <c r="F76" s="69" t="n">
        <v>198</v>
      </c>
      <c r="G76" s="69" t="n">
        <v>173</v>
      </c>
      <c r="H76" s="69" t="n">
        <v>174</v>
      </c>
      <c r="I76" s="69" t="n">
        <v>248</v>
      </c>
      <c r="J76" s="69" t="n">
        <v>138</v>
      </c>
      <c r="K76" s="69" t="n">
        <v>419</v>
      </c>
      <c r="L76" s="69" t="n">
        <v>162</v>
      </c>
      <c r="M76" s="69" t="n">
        <v>361</v>
      </c>
      <c r="N76" s="69" t="n">
        <v>247</v>
      </c>
      <c r="O76" s="69" t="n">
        <v>367</v>
      </c>
      <c r="P76" s="69" t="n">
        <v>308</v>
      </c>
    </row>
    <row r="77" ht="15.75" customHeight="1" s="45">
      <c r="A77" s="61" t="n">
        <v>46118</v>
      </c>
      <c r="B77" s="62" t="inlineStr">
        <is>
          <t>Antes-Projeto</t>
        </is>
      </c>
      <c r="C77" s="68" t="inlineStr">
        <is>
          <t>GAEs Classificadas</t>
        </is>
      </c>
      <c r="D77" s="69" t="n">
        <v>284</v>
      </c>
      <c r="E77" s="69" t="n">
        <v>194</v>
      </c>
      <c r="F77" s="69" t="n">
        <v>192</v>
      </c>
      <c r="G77" s="69" t="n">
        <v>165</v>
      </c>
      <c r="H77" s="69" t="n">
        <v>165</v>
      </c>
      <c r="I77" s="69" t="n">
        <v>226</v>
      </c>
      <c r="J77" s="69" t="n">
        <v>120</v>
      </c>
      <c r="K77" s="69" t="n">
        <v>328</v>
      </c>
      <c r="L77" s="69" t="n">
        <v>152</v>
      </c>
      <c r="M77" s="69" t="n">
        <v>273</v>
      </c>
      <c r="N77" s="69" t="n">
        <v>213</v>
      </c>
      <c r="O77" s="69" t="n">
        <v>345</v>
      </c>
      <c r="P77" s="69" t="n">
        <v>297</v>
      </c>
    </row>
    <row r="78" ht="15.75" customHeight="1" s="45">
      <c r="A78" s="61" t="n">
        <v>46118</v>
      </c>
      <c r="B78" s="62" t="inlineStr">
        <is>
          <t>Antes-Projeto</t>
        </is>
      </c>
      <c r="C78" s="70" t="inlineStr">
        <is>
          <t>Percentual de GAEs abertas classificadas</t>
        </is>
      </c>
      <c r="D78" s="71">
        <f>IFERROR(D77/D76,"-")</f>
        <v/>
      </c>
      <c r="E78" s="71">
        <f>IFERROR(E77/E76,"-")</f>
        <v/>
      </c>
      <c r="F78" s="71">
        <f>IFERROR(F77/F76,"-")</f>
        <v/>
      </c>
      <c r="G78" s="71">
        <f>IFERROR(G77/G76,"-")</f>
        <v/>
      </c>
      <c r="H78" s="71">
        <f>IFERROR(H77/H76,"-")</f>
        <v/>
      </c>
      <c r="I78" s="71">
        <f>IFERROR(I77/I76,"-")</f>
        <v/>
      </c>
      <c r="J78" s="71">
        <f>IFERROR(J77/J76,"-")</f>
        <v/>
      </c>
      <c r="K78" s="71">
        <f>IFERROR(K77/K76,"-")</f>
        <v/>
      </c>
      <c r="L78" s="71">
        <f>IFERROR(L77/L76,"-")</f>
        <v/>
      </c>
      <c r="M78" s="71">
        <f>IFERROR(M77/M76,"-")</f>
        <v/>
      </c>
      <c r="N78" s="71">
        <f>IFERROR(N77/N76,"-")</f>
        <v/>
      </c>
      <c r="O78" s="71">
        <f>IFERROR(O77/O76,"-")</f>
        <v/>
      </c>
      <c r="P78" s="71">
        <f>IFERROR(P77/P76,"-")</f>
        <v/>
      </c>
    </row>
    <row r="79" ht="15.75" customHeight="1" s="45">
      <c r="A79" s="61" t="n">
        <v>46118</v>
      </c>
      <c r="B79" s="62" t="inlineStr">
        <is>
          <t>Antes-Projeto</t>
        </is>
      </c>
      <c r="C79" s="72" t="inlineStr">
        <is>
          <t>Tempo Médio — 🟡 Amarelo (hh:mm)</t>
        </is>
      </c>
      <c r="D79" s="73" t="n">
        <v>0.05905092592592592</v>
      </c>
      <c r="E79" s="73" t="n">
        <v>0.09788194444444444</v>
      </c>
      <c r="F79" s="73" t="n">
        <v>0.04917824074074074</v>
      </c>
      <c r="G79" s="73" t="n">
        <v>0.04980324074074074</v>
      </c>
      <c r="H79" s="73" t="n">
        <v>0.04806712962962963</v>
      </c>
      <c r="I79" s="73" t="n">
        <v>0.06440972222222222</v>
      </c>
      <c r="J79" s="73" t="n">
        <v>0.06273148148148149</v>
      </c>
      <c r="K79" s="73" t="n">
        <v>0.09946759259259259</v>
      </c>
      <c r="L79" s="73" t="n">
        <v>0.1102893518518518</v>
      </c>
      <c r="M79" s="73" t="n">
        <v>0.02525462962962963</v>
      </c>
      <c r="N79" s="73" t="n">
        <v>0.1107638888888889</v>
      </c>
      <c r="O79" s="73" t="n">
        <v>0.1285532407407407</v>
      </c>
      <c r="P79" s="73" t="n">
        <v>0.1183449074074074</v>
      </c>
    </row>
    <row r="80" ht="15.75" customHeight="1" s="45">
      <c r="A80" s="61" t="n">
        <v>46118</v>
      </c>
      <c r="B80" s="62" t="inlineStr">
        <is>
          <t>Antes-Projeto</t>
        </is>
      </c>
      <c r="C80" s="74" t="inlineStr">
        <is>
          <t>Tempo Médio — 🟠 Laranja (hh:mm)</t>
        </is>
      </c>
      <c r="D80" s="75" t="n">
        <v>0.009479166666666667</v>
      </c>
      <c r="E80" s="75" t="n">
        <v>0.01010416666666667</v>
      </c>
      <c r="F80" s="75" t="n">
        <v>0.009814814814814814</v>
      </c>
      <c r="G80" s="75" t="n">
        <v>0.005717592592592593</v>
      </c>
      <c r="H80" s="75" t="n">
        <v>0.008773148148148148</v>
      </c>
      <c r="I80" s="75" t="n">
        <v>0.009363425925925926</v>
      </c>
      <c r="J80" s="75" t="n">
        <v>0.01585648148148148</v>
      </c>
      <c r="K80" s="75" t="n">
        <v>0.02590277777777778</v>
      </c>
      <c r="L80" s="75" t="n">
        <v>0.02175925925925926</v>
      </c>
      <c r="M80" s="75" t="n">
        <v>0.01166666666666667</v>
      </c>
      <c r="N80" s="75" t="n">
        <v>0.02006944444444445</v>
      </c>
      <c r="O80" s="75" t="n">
        <v>0.01158564814814815</v>
      </c>
      <c r="P80" s="75" t="n">
        <v>0.01186342592592593</v>
      </c>
    </row>
    <row r="81" ht="15.75" customHeight="1" s="45">
      <c r="A81" s="76" t="n">
        <v>46118</v>
      </c>
      <c r="B81" s="77" t="inlineStr">
        <is>
          <t>Antes-Projeto</t>
        </is>
      </c>
      <c r="C81" s="78" t="inlineStr">
        <is>
          <t>Tempo Médio — 🟢 Verde   (hh:mm)</t>
        </is>
      </c>
      <c r="D81" s="79" t="n">
        <v>0.06618055555555556</v>
      </c>
      <c r="E81" s="79" t="n">
        <v>0.1252199074074074</v>
      </c>
      <c r="F81" s="79" t="n">
        <v>0.08450231481481481</v>
      </c>
      <c r="G81" s="79" t="n">
        <v>0.1416435185185185</v>
      </c>
      <c r="H81" s="79" t="n">
        <v>0.08835648148148148</v>
      </c>
      <c r="I81" s="79" t="n">
        <v>0.132037037037037</v>
      </c>
      <c r="J81" s="79" t="n">
        <v>0.1101967592592593</v>
      </c>
      <c r="K81" s="79" t="n">
        <v>0.08936342592592593</v>
      </c>
      <c r="L81" s="79" t="n">
        <v>0.1817592592592593</v>
      </c>
      <c r="M81" s="79" t="n">
        <v>0.05796296296296297</v>
      </c>
      <c r="N81" s="79" t="n">
        <v>0.08437500000000001</v>
      </c>
      <c r="O81" s="79" t="n">
        <v>0.1706712962962963</v>
      </c>
      <c r="P81" s="79" t="n">
        <v>0.07206018518518519</v>
      </c>
    </row>
    <row r="82" ht="15.75" customHeight="1" s="45">
      <c r="A82" s="57" t="n">
        <v>46119</v>
      </c>
      <c r="B82" s="58" t="inlineStr">
        <is>
          <t>Antes-Projeto</t>
        </is>
      </c>
      <c r="C82" s="59" t="inlineStr">
        <is>
          <t>Acolhim. + Atend. Urgência + Atend. UPA</t>
        </is>
      </c>
      <c r="D82" s="60">
        <f>SUM(D83:D85)</f>
        <v/>
      </c>
      <c r="E82" s="60">
        <f>SUM(E83:E85)</f>
        <v/>
      </c>
      <c r="F82" s="60">
        <f>SUM(F83:F85)</f>
        <v/>
      </c>
      <c r="G82" s="60">
        <f>SUM(G83:G85)</f>
        <v/>
      </c>
      <c r="H82" s="60">
        <f>SUM(H83:H85)</f>
        <v/>
      </c>
      <c r="I82" s="60">
        <f>SUM(I83:I85)</f>
        <v/>
      </c>
      <c r="J82" s="60">
        <f>SUM(J83:J85)</f>
        <v/>
      </c>
      <c r="K82" s="60">
        <f>SUM(K83:K85)</f>
        <v/>
      </c>
      <c r="L82" s="60">
        <f>SUM(L83:L85)</f>
        <v/>
      </c>
      <c r="M82" s="60">
        <f>SUM(M83:M85)</f>
        <v/>
      </c>
      <c r="N82" s="60">
        <f>SUM(N83:N85)</f>
        <v/>
      </c>
      <c r="O82" s="60">
        <f>SUM(O83:O85)</f>
        <v/>
      </c>
      <c r="P82" s="60">
        <f>SUM(P83:P85)</f>
        <v/>
      </c>
    </row>
    <row r="83" ht="15.75" customHeight="1" s="45">
      <c r="A83" s="61" t="n">
        <v>46119</v>
      </c>
      <c r="B83" s="62" t="inlineStr">
        <is>
          <t>Antes-Projeto</t>
        </is>
      </c>
      <c r="C83" s="63" t="inlineStr">
        <is>
          <t>Acolhimento c/ Classif. de Risco</t>
        </is>
      </c>
      <c r="D83" s="64" t="n">
        <v>241</v>
      </c>
      <c r="E83" s="64" t="n">
        <v>183</v>
      </c>
      <c r="F83" s="64" t="n">
        <v>162</v>
      </c>
      <c r="G83" s="64" t="n">
        <v>143</v>
      </c>
      <c r="H83" s="64" t="n">
        <v>155</v>
      </c>
      <c r="I83" s="64" t="n">
        <v>220</v>
      </c>
      <c r="J83" s="64" t="n">
        <v>123</v>
      </c>
      <c r="K83" s="64" t="n">
        <v>389</v>
      </c>
      <c r="L83" s="64" t="n">
        <v>154</v>
      </c>
      <c r="M83" s="64" t="n">
        <v>277</v>
      </c>
      <c r="N83" s="64" t="n">
        <v>222</v>
      </c>
      <c r="O83" s="64" t="n">
        <v>310</v>
      </c>
      <c r="P83" s="64" t="n">
        <v>279</v>
      </c>
    </row>
    <row r="84" ht="15.75" customHeight="1" s="45">
      <c r="A84" s="61" t="n">
        <v>46119</v>
      </c>
      <c r="B84" s="62" t="inlineStr">
        <is>
          <t>Antes-Projeto</t>
        </is>
      </c>
      <c r="C84" s="65" t="inlineStr">
        <is>
          <t>Atend. Urgência Obs. ≤ 24h</t>
        </is>
      </c>
      <c r="D84" s="66" t="n">
        <v>25</v>
      </c>
      <c r="E84" s="66" t="n">
        <v>32</v>
      </c>
      <c r="F84" s="66" t="n">
        <v>18</v>
      </c>
      <c r="G84" s="66" t="n">
        <v>119</v>
      </c>
      <c r="H84" s="66" t="n">
        <v>12</v>
      </c>
      <c r="I84" s="66" t="n">
        <v>15</v>
      </c>
      <c r="J84" s="66" t="n">
        <v>174</v>
      </c>
      <c r="K84" s="66" t="n">
        <v>74</v>
      </c>
      <c r="L84" s="66" t="n">
        <v>56</v>
      </c>
      <c r="M84" s="66" t="n">
        <v>51</v>
      </c>
      <c r="N84" s="66" t="n">
        <v>25</v>
      </c>
      <c r="O84" s="66" t="n">
        <v>11</v>
      </c>
      <c r="P84" s="66" t="n">
        <v>32</v>
      </c>
    </row>
    <row r="85" ht="15.75" customHeight="1" s="45">
      <c r="A85" s="61" t="n">
        <v>46119</v>
      </c>
      <c r="B85" s="62" t="inlineStr">
        <is>
          <t>Antes-Projeto</t>
        </is>
      </c>
      <c r="C85" s="63" t="inlineStr">
        <is>
          <t>Atend. Médico em UPA</t>
        </is>
      </c>
      <c r="D85" s="64" t="n">
        <v>115</v>
      </c>
      <c r="E85" s="64" t="n">
        <v>156</v>
      </c>
      <c r="F85" s="64" t="n">
        <v>135</v>
      </c>
      <c r="G85" s="64" t="n">
        <v>89</v>
      </c>
      <c r="H85" s="64" t="n">
        <v>82</v>
      </c>
      <c r="I85" s="64" t="n">
        <v>136</v>
      </c>
      <c r="J85" s="64" t="n">
        <v>98</v>
      </c>
      <c r="K85" s="64" t="n">
        <v>306</v>
      </c>
      <c r="L85" s="64" t="n">
        <v>76</v>
      </c>
      <c r="M85" s="64" t="n">
        <v>171</v>
      </c>
      <c r="N85" s="64" t="n">
        <v>203</v>
      </c>
      <c r="O85" s="64" t="n">
        <v>221</v>
      </c>
      <c r="P85" s="64" t="n">
        <v>154</v>
      </c>
    </row>
    <row r="86" ht="15.75" customHeight="1" s="45">
      <c r="A86" s="61" t="n">
        <v>46119</v>
      </c>
      <c r="B86" s="62" t="inlineStr">
        <is>
          <t>Antes-Projeto</t>
        </is>
      </c>
      <c r="C86" s="65" t="inlineStr">
        <is>
          <t>Exames Laboratoriais</t>
        </is>
      </c>
      <c r="D86" s="66" t="n">
        <v>412</v>
      </c>
      <c r="E86" s="66" t="n">
        <v>279</v>
      </c>
      <c r="F86" s="66" t="n">
        <v>222</v>
      </c>
      <c r="G86" s="66" t="n">
        <v>411</v>
      </c>
      <c r="H86" s="66" t="n">
        <v>451</v>
      </c>
      <c r="I86" s="66" t="n">
        <v>482</v>
      </c>
      <c r="J86" s="66" t="n">
        <v>240</v>
      </c>
      <c r="K86" s="66" t="n">
        <v>1136</v>
      </c>
      <c r="L86" s="66" t="n">
        <v>594</v>
      </c>
      <c r="M86" s="66" t="n">
        <v>676</v>
      </c>
      <c r="N86" s="66" t="n">
        <v>387</v>
      </c>
      <c r="O86" s="66" t="n">
        <v>591</v>
      </c>
      <c r="P86" s="66" t="n">
        <v>449</v>
      </c>
    </row>
    <row r="87" ht="15.75" customHeight="1" s="45">
      <c r="A87" s="61" t="n">
        <v>46119</v>
      </c>
      <c r="B87" s="62" t="inlineStr">
        <is>
          <t>Antes-Projeto</t>
        </is>
      </c>
      <c r="C87" s="63" t="inlineStr">
        <is>
          <t>Radiografias</t>
        </is>
      </c>
      <c r="D87" s="64" t="n">
        <v>20</v>
      </c>
      <c r="E87" s="64" t="n">
        <v>42</v>
      </c>
      <c r="F87" s="64" t="n">
        <v>31</v>
      </c>
      <c r="G87" s="64" t="n">
        <v>17</v>
      </c>
      <c r="H87" s="64" t="n">
        <v>17</v>
      </c>
      <c r="I87" s="64" t="n">
        <v>33</v>
      </c>
      <c r="J87" s="64" t="n">
        <v>20</v>
      </c>
      <c r="K87" s="64" t="n">
        <v>98</v>
      </c>
      <c r="L87" s="64" t="n">
        <v>26</v>
      </c>
      <c r="M87" s="64" t="n">
        <v>61</v>
      </c>
      <c r="N87" s="64" t="n">
        <v>24</v>
      </c>
      <c r="O87" s="64" t="n">
        <v>55</v>
      </c>
      <c r="P87" s="64" t="n">
        <v>56</v>
      </c>
    </row>
    <row r="88" ht="15.75" customHeight="1" s="45">
      <c r="A88" s="61" t="n">
        <v>46119</v>
      </c>
      <c r="B88" s="62" t="inlineStr">
        <is>
          <t>Antes-Projeto</t>
        </is>
      </c>
      <c r="C88" s="65" t="inlineStr">
        <is>
          <t>Eletrocardiogramas</t>
        </is>
      </c>
      <c r="D88" s="66" t="n">
        <v>16</v>
      </c>
      <c r="E88" s="66" t="n">
        <v>4</v>
      </c>
      <c r="F88" s="66" t="n">
        <v>21</v>
      </c>
      <c r="G88" s="66" t="n">
        <v>18</v>
      </c>
      <c r="H88" s="66" t="n">
        <v>9</v>
      </c>
      <c r="I88" s="66" t="n">
        <v>5</v>
      </c>
      <c r="J88" s="66" t="n">
        <v>11</v>
      </c>
      <c r="K88" s="66" t="n">
        <v>27</v>
      </c>
      <c r="L88" s="66" t="n">
        <v>14</v>
      </c>
      <c r="M88" s="66" t="n">
        <v>13</v>
      </c>
      <c r="N88" s="66" t="n">
        <v>16</v>
      </c>
      <c r="O88" s="66" t="n">
        <v>14</v>
      </c>
      <c r="P88" s="66" t="n">
        <v>15</v>
      </c>
    </row>
    <row r="89" ht="15.75" customHeight="1" s="45">
      <c r="A89" s="61" t="n">
        <v>46119</v>
      </c>
      <c r="B89" s="62" t="inlineStr">
        <is>
          <t>Antes-Projeto</t>
        </is>
      </c>
      <c r="C89" s="68" t="inlineStr">
        <is>
          <t>GAEs Abertas</t>
        </is>
      </c>
      <c r="D89" s="69" t="n">
        <v>256</v>
      </c>
      <c r="E89" s="69" t="n">
        <v>192</v>
      </c>
      <c r="F89" s="69" t="n">
        <v>183</v>
      </c>
      <c r="G89" s="69" t="n">
        <v>147</v>
      </c>
      <c r="H89" s="69" t="n">
        <v>163</v>
      </c>
      <c r="I89" s="69" t="n">
        <v>243</v>
      </c>
      <c r="J89" s="69" t="n">
        <v>122</v>
      </c>
      <c r="K89" s="69" t="n">
        <v>401</v>
      </c>
      <c r="L89" s="69" t="n">
        <v>157</v>
      </c>
      <c r="M89" s="69" t="n">
        <v>298</v>
      </c>
      <c r="N89" s="69" t="n">
        <v>223</v>
      </c>
      <c r="O89" s="69" t="n">
        <v>321</v>
      </c>
      <c r="P89" s="69" t="n">
        <v>282</v>
      </c>
    </row>
    <row r="90" ht="15.75" customHeight="1" s="45">
      <c r="A90" s="61" t="n">
        <v>46119</v>
      </c>
      <c r="B90" s="62" t="inlineStr">
        <is>
          <t>Antes-Projeto</t>
        </is>
      </c>
      <c r="C90" s="68" t="inlineStr">
        <is>
          <t>GAEs Classificadas</t>
        </is>
      </c>
      <c r="D90" s="69" t="n">
        <v>241</v>
      </c>
      <c r="E90" s="69" t="n">
        <v>183</v>
      </c>
      <c r="F90" s="69" t="n">
        <v>166</v>
      </c>
      <c r="G90" s="69" t="n">
        <v>145</v>
      </c>
      <c r="H90" s="69" t="n">
        <v>154</v>
      </c>
      <c r="I90" s="69" t="n">
        <v>221</v>
      </c>
      <c r="J90" s="69" t="n">
        <v>122</v>
      </c>
      <c r="K90" s="69" t="n">
        <v>386</v>
      </c>
      <c r="L90" s="69" t="n">
        <v>154</v>
      </c>
      <c r="M90" s="69" t="n">
        <v>277</v>
      </c>
      <c r="N90" s="69" t="n">
        <v>202</v>
      </c>
      <c r="O90" s="69" t="n">
        <v>308</v>
      </c>
      <c r="P90" s="69" t="n">
        <v>275</v>
      </c>
    </row>
    <row r="91" ht="15.75" customHeight="1" s="45">
      <c r="A91" s="61" t="n">
        <v>46119</v>
      </c>
      <c r="B91" s="62" t="inlineStr">
        <is>
          <t>Antes-Projeto</t>
        </is>
      </c>
      <c r="C91" s="70" t="inlineStr">
        <is>
          <t>Percentual de GAEs abertas classificadas</t>
        </is>
      </c>
      <c r="D91" s="71">
        <f>IFERROR(D90/D89,"-")</f>
        <v/>
      </c>
      <c r="E91" s="71">
        <f>IFERROR(E90/E89,"-")</f>
        <v/>
      </c>
      <c r="F91" s="71">
        <f>IFERROR(F90/F89,"-")</f>
        <v/>
      </c>
      <c r="G91" s="71">
        <f>IFERROR(G90/G89,"-")</f>
        <v/>
      </c>
      <c r="H91" s="71">
        <f>IFERROR(H90/H89,"-")</f>
        <v/>
      </c>
      <c r="I91" s="71">
        <f>IFERROR(I90/I89,"-")</f>
        <v/>
      </c>
      <c r="J91" s="71">
        <f>IFERROR(J90/J89,"-")</f>
        <v/>
      </c>
      <c r="K91" s="71">
        <f>IFERROR(K90/K89,"-")</f>
        <v/>
      </c>
      <c r="L91" s="71">
        <f>IFERROR(L90/L89,"-")</f>
        <v/>
      </c>
      <c r="M91" s="71">
        <f>IFERROR(M90/M89,"-")</f>
        <v/>
      </c>
      <c r="N91" s="71">
        <f>IFERROR(N90/N89,"-")</f>
        <v/>
      </c>
      <c r="O91" s="71">
        <f>IFERROR(O90/O89,"-")</f>
        <v/>
      </c>
      <c r="P91" s="71">
        <f>IFERROR(P90/P89,"-")</f>
        <v/>
      </c>
    </row>
    <row r="92" ht="15.75" customHeight="1" s="45">
      <c r="A92" s="61" t="n">
        <v>46119</v>
      </c>
      <c r="B92" s="62" t="inlineStr">
        <is>
          <t>Antes-Projeto</t>
        </is>
      </c>
      <c r="C92" s="72" t="inlineStr">
        <is>
          <t>Tempo Médio — 🟡 Amarelo (hh:mm)</t>
        </is>
      </c>
      <c r="D92" s="73" t="n">
        <v>0.06052083333333334</v>
      </c>
      <c r="E92" s="73" t="n">
        <v>0.03604166666666667</v>
      </c>
      <c r="F92" s="73" t="n">
        <v>0.09563657407407407</v>
      </c>
      <c r="G92" s="73" t="n">
        <v>0.189212962962963</v>
      </c>
      <c r="H92" s="73" t="n">
        <v>0.07163194444444444</v>
      </c>
      <c r="I92" s="73" t="n">
        <v>0.07171296296296296</v>
      </c>
      <c r="J92" s="73" t="n">
        <v>0.03009259259259259</v>
      </c>
      <c r="K92" s="73" t="n">
        <v>0.07508101851851852</v>
      </c>
      <c r="L92" s="73" t="n">
        <v>0.1453009259259259</v>
      </c>
      <c r="M92" s="73" t="n">
        <v>0.07408564814814815</v>
      </c>
      <c r="N92" s="73" t="n">
        <v>0.1767476851851852</v>
      </c>
      <c r="O92" s="73" t="n">
        <v>0.05155092592592592</v>
      </c>
      <c r="P92" s="73" t="n">
        <v>0.06298611111111112</v>
      </c>
    </row>
    <row r="93" ht="15.75" customHeight="1" s="45">
      <c r="A93" s="61" t="n">
        <v>46119</v>
      </c>
      <c r="B93" s="62" t="inlineStr">
        <is>
          <t>Antes-Projeto</t>
        </is>
      </c>
      <c r="C93" s="74" t="inlineStr">
        <is>
          <t>Tempo Médio — 🟠 Laranja (hh:mm)</t>
        </is>
      </c>
      <c r="D93" s="75" t="n">
        <v>0.00962962962962963</v>
      </c>
      <c r="E93" s="75" t="n">
        <v>0.006203703703703703</v>
      </c>
      <c r="F93" s="75" t="n">
        <v>0.01563657407407407</v>
      </c>
      <c r="G93" s="75" t="n">
        <v>0.02497685185185185</v>
      </c>
      <c r="H93" s="75" t="n">
        <v>0.006747685185185186</v>
      </c>
      <c r="I93" s="75" t="n">
        <v>0.00619212962962963</v>
      </c>
      <c r="J93" s="75" t="n">
        <v>0.009050925925925926</v>
      </c>
      <c r="K93" s="75" t="n">
        <v>0.01155092592592593</v>
      </c>
      <c r="L93" s="75" t="n">
        <v>0.1152199074074074</v>
      </c>
      <c r="M93" s="75" t="n">
        <v>0.01188657407407407</v>
      </c>
      <c r="N93" s="75" t="n">
        <v>0.05700231481481482</v>
      </c>
      <c r="O93" s="75" t="n">
        <v>0.0115162037037037</v>
      </c>
      <c r="P93" s="75" t="n">
        <v>0.01699074074074074</v>
      </c>
    </row>
    <row r="94" ht="15.75" customHeight="1" s="45">
      <c r="A94" s="76" t="n">
        <v>46119</v>
      </c>
      <c r="B94" s="77" t="inlineStr">
        <is>
          <t>Antes-Projeto</t>
        </is>
      </c>
      <c r="C94" s="78" t="inlineStr">
        <is>
          <t>Tempo Médio — 🟢 Verde   (hh:mm)</t>
        </is>
      </c>
      <c r="D94" s="79" t="n">
        <v>0.0824074074074074</v>
      </c>
      <c r="E94" s="79" t="n">
        <v>0.0652662037037037</v>
      </c>
      <c r="F94" s="79" t="n">
        <v>0.07989583333333333</v>
      </c>
      <c r="G94" s="79" t="n">
        <v>0.1090625</v>
      </c>
      <c r="H94" s="79" t="n">
        <v>0.1282638888888889</v>
      </c>
      <c r="I94" s="79" t="n">
        <v>0.1610069444444444</v>
      </c>
      <c r="J94" s="79" t="n">
        <v>0.06334490740740741</v>
      </c>
      <c r="K94" s="79" t="n">
        <v>0.1179513888888889</v>
      </c>
      <c r="L94" s="79" t="n">
        <v>0.130150462962963</v>
      </c>
      <c r="M94" s="79" t="n">
        <v>0.1388888888888889</v>
      </c>
      <c r="N94" s="79" t="n">
        <v>0.06804398148148148</v>
      </c>
      <c r="O94" s="79" t="n">
        <v>0.2024768518518519</v>
      </c>
      <c r="P94" s="79" t="n">
        <v>0.1597453703703704</v>
      </c>
    </row>
    <row r="95" ht="15.75" customHeight="1" s="45">
      <c r="A95" s="57" t="n">
        <v>46120</v>
      </c>
      <c r="B95" s="58" t="inlineStr">
        <is>
          <t>Antes-Projeto</t>
        </is>
      </c>
      <c r="C95" s="59" t="inlineStr">
        <is>
          <t>Acolhim. + Atend. Urgência + Atend. UPA</t>
        </is>
      </c>
      <c r="D95" s="60">
        <f>SUM(D96:D98)</f>
        <v/>
      </c>
      <c r="E95" s="60">
        <f>SUM(E96:E98)</f>
        <v/>
      </c>
      <c r="F95" s="60">
        <f>SUM(F96:F98)</f>
        <v/>
      </c>
      <c r="G95" s="60">
        <f>SUM(G96:G98)</f>
        <v/>
      </c>
      <c r="H95" s="60">
        <f>SUM(H96:H98)</f>
        <v/>
      </c>
      <c r="I95" s="60">
        <f>SUM(I96:I98)</f>
        <v/>
      </c>
      <c r="J95" s="60">
        <f>SUM(J96:J98)</f>
        <v/>
      </c>
      <c r="K95" s="60">
        <f>SUM(K96:K98)</f>
        <v/>
      </c>
      <c r="L95" s="60">
        <f>SUM(L96:L98)</f>
        <v/>
      </c>
      <c r="M95" s="60">
        <f>SUM(M96:M98)</f>
        <v/>
      </c>
      <c r="N95" s="60">
        <f>SUM(N96:N98)</f>
        <v/>
      </c>
      <c r="O95" s="60">
        <f>SUM(O96:O98)</f>
        <v/>
      </c>
      <c r="P95" s="60">
        <f>SUM(P96:P98)</f>
        <v/>
      </c>
    </row>
    <row r="96" ht="15.75" customHeight="1" s="45">
      <c r="A96" s="61" t="n">
        <v>46120</v>
      </c>
      <c r="B96" s="62" t="inlineStr">
        <is>
          <t>Antes-Projeto</t>
        </is>
      </c>
      <c r="C96" s="65" t="inlineStr">
        <is>
          <t>Acolhimento c/ Classif. de Risco</t>
        </is>
      </c>
      <c r="D96" s="66" t="n">
        <v>219</v>
      </c>
      <c r="E96" s="66" t="n">
        <v>193</v>
      </c>
      <c r="F96" s="66" t="n">
        <v>169</v>
      </c>
      <c r="G96" s="66" t="n">
        <v>129</v>
      </c>
      <c r="H96" s="66" t="n">
        <v>160</v>
      </c>
      <c r="I96" s="66" t="n">
        <v>205</v>
      </c>
      <c r="J96" s="66" t="n">
        <v>98</v>
      </c>
      <c r="K96" s="66" t="n">
        <v>331</v>
      </c>
      <c r="L96" s="66" t="n">
        <v>115</v>
      </c>
      <c r="M96" s="66" t="n">
        <v>279</v>
      </c>
      <c r="N96" s="66" t="n">
        <v>196</v>
      </c>
      <c r="O96" s="66" t="n">
        <v>313</v>
      </c>
      <c r="P96" s="66" t="n">
        <v>246</v>
      </c>
    </row>
    <row r="97" ht="15.75" customHeight="1" s="45">
      <c r="A97" s="61" t="n">
        <v>46120</v>
      </c>
      <c r="B97" s="62" t="inlineStr">
        <is>
          <t>Antes-Projeto</t>
        </is>
      </c>
      <c r="C97" s="63" t="inlineStr">
        <is>
          <t>Atend. Urgência Obs. ≤ 24h</t>
        </is>
      </c>
      <c r="D97" s="64" t="n">
        <v>37</v>
      </c>
      <c r="E97" s="64" t="n">
        <v>21</v>
      </c>
      <c r="F97" s="64" t="n">
        <v>24</v>
      </c>
      <c r="G97" s="64" t="n">
        <v>57</v>
      </c>
      <c r="H97" s="64" t="n">
        <v>28</v>
      </c>
      <c r="I97" s="64" t="n">
        <v>13</v>
      </c>
      <c r="J97" s="64" t="n">
        <v>94</v>
      </c>
      <c r="K97" s="64" t="n">
        <v>52</v>
      </c>
      <c r="L97" s="64" t="n">
        <v>61</v>
      </c>
      <c r="M97" s="64" t="n">
        <v>53</v>
      </c>
      <c r="N97" s="64" t="n">
        <v>55</v>
      </c>
      <c r="O97" s="64" t="n">
        <v>18</v>
      </c>
      <c r="P97" s="64" t="n">
        <v>30</v>
      </c>
    </row>
    <row r="98" ht="15.75" customHeight="1" s="45">
      <c r="A98" s="61" t="n">
        <v>46120</v>
      </c>
      <c r="B98" s="62" t="inlineStr">
        <is>
          <t>Antes-Projeto</t>
        </is>
      </c>
      <c r="C98" s="65" t="inlineStr">
        <is>
          <t>Atend. Médico em UPA</t>
        </is>
      </c>
      <c r="D98" s="66" t="n">
        <v>144</v>
      </c>
      <c r="E98" s="66" t="n">
        <v>78</v>
      </c>
      <c r="F98" s="66" t="n">
        <v>109</v>
      </c>
      <c r="G98" s="66" t="n">
        <v>65</v>
      </c>
      <c r="H98" s="66" t="n">
        <v>93</v>
      </c>
      <c r="I98" s="66" t="n">
        <v>143</v>
      </c>
      <c r="J98" s="66" t="n">
        <v>66</v>
      </c>
      <c r="K98" s="66" t="n">
        <v>275</v>
      </c>
      <c r="L98" s="66" t="n">
        <v>77</v>
      </c>
      <c r="M98" s="66" t="n">
        <v>167</v>
      </c>
      <c r="N98" s="66" t="n">
        <v>195</v>
      </c>
      <c r="O98" s="66" t="n">
        <v>210</v>
      </c>
      <c r="P98" s="66" t="n">
        <v>137</v>
      </c>
    </row>
    <row r="99" ht="15.75" customHeight="1" s="45">
      <c r="A99" s="61" t="n">
        <v>46120</v>
      </c>
      <c r="B99" s="62" t="inlineStr">
        <is>
          <t>Antes-Projeto</t>
        </is>
      </c>
      <c r="C99" s="63" t="inlineStr">
        <is>
          <t>Exames Laboratoriais</t>
        </is>
      </c>
      <c r="D99" s="64" t="n">
        <v>834</v>
      </c>
      <c r="E99" s="64" t="n">
        <v>371</v>
      </c>
      <c r="F99" s="64" t="n">
        <v>658</v>
      </c>
      <c r="G99" s="64" t="n">
        <v>286</v>
      </c>
      <c r="H99" s="64" t="n">
        <v>497</v>
      </c>
      <c r="I99" s="64" t="n">
        <v>487</v>
      </c>
      <c r="J99" s="64" t="n">
        <v>200</v>
      </c>
      <c r="K99" s="64" t="n">
        <v>754</v>
      </c>
      <c r="L99" s="64" t="n">
        <v>406</v>
      </c>
      <c r="M99" s="64" t="n">
        <v>515</v>
      </c>
      <c r="N99" s="64" t="n">
        <v>569</v>
      </c>
      <c r="O99" s="64" t="n">
        <v>625</v>
      </c>
      <c r="P99" s="64" t="n">
        <v>729</v>
      </c>
    </row>
    <row r="100" ht="15.75" customHeight="1" s="45">
      <c r="A100" s="61" t="n">
        <v>46120</v>
      </c>
      <c r="B100" s="62" t="inlineStr">
        <is>
          <t>Antes-Projeto</t>
        </is>
      </c>
      <c r="C100" s="65" t="inlineStr">
        <is>
          <t>Radiografias</t>
        </is>
      </c>
      <c r="D100" s="66" t="n">
        <v>32</v>
      </c>
      <c r="E100" s="66" t="n">
        <v>10</v>
      </c>
      <c r="F100" s="66" t="n">
        <v>39</v>
      </c>
      <c r="G100" s="66" t="n">
        <v>23</v>
      </c>
      <c r="H100" s="66" t="n">
        <v>25</v>
      </c>
      <c r="I100" s="66" t="n">
        <v>33</v>
      </c>
      <c r="J100" s="66" t="n">
        <v>14</v>
      </c>
      <c r="K100" s="66" t="n">
        <v>68</v>
      </c>
      <c r="L100" s="66" t="n">
        <v>17</v>
      </c>
      <c r="M100" s="66" t="n">
        <v>46</v>
      </c>
      <c r="N100" s="66" t="n">
        <v>44</v>
      </c>
      <c r="O100" s="66" t="n">
        <v>53</v>
      </c>
      <c r="P100" s="66" t="n">
        <v>40</v>
      </c>
    </row>
    <row r="101" ht="15.75" customHeight="1" s="45">
      <c r="A101" s="61" t="n">
        <v>46120</v>
      </c>
      <c r="B101" s="62" t="inlineStr">
        <is>
          <t>Antes-Projeto</t>
        </is>
      </c>
      <c r="C101" s="63" t="inlineStr">
        <is>
          <t>Eletrocardiogramas</t>
        </is>
      </c>
      <c r="D101" s="64" t="n">
        <v>20</v>
      </c>
      <c r="E101" s="64" t="n">
        <v>17</v>
      </c>
      <c r="F101" s="64" t="n">
        <v>27</v>
      </c>
      <c r="G101" s="64" t="n">
        <v>7</v>
      </c>
      <c r="H101" s="64" t="n">
        <v>8</v>
      </c>
      <c r="I101" s="64" t="n">
        <v>9</v>
      </c>
      <c r="J101" s="64" t="n">
        <v>1</v>
      </c>
      <c r="K101" s="64" t="n">
        <v>13</v>
      </c>
      <c r="L101" s="64" t="n">
        <v>10</v>
      </c>
      <c r="M101" s="64" t="n">
        <v>13</v>
      </c>
      <c r="N101" s="64" t="n">
        <v>33</v>
      </c>
      <c r="O101" s="64" t="n">
        <v>21</v>
      </c>
      <c r="P101" s="64" t="n">
        <v>25</v>
      </c>
    </row>
    <row r="102" ht="15.75" customHeight="1" s="45">
      <c r="A102" s="61" t="n">
        <v>46120</v>
      </c>
      <c r="B102" s="62" t="inlineStr">
        <is>
          <t>Antes-Projeto</t>
        </is>
      </c>
      <c r="C102" s="68" t="inlineStr">
        <is>
          <t>GAEs Abertas</t>
        </is>
      </c>
      <c r="D102" s="69" t="n">
        <v>229</v>
      </c>
      <c r="E102" s="69" t="n">
        <v>198</v>
      </c>
      <c r="F102" s="69" t="n">
        <v>182</v>
      </c>
      <c r="G102" s="69" t="n">
        <v>144</v>
      </c>
      <c r="H102" s="69" t="n">
        <v>167</v>
      </c>
      <c r="I102" s="69" t="n">
        <v>223</v>
      </c>
      <c r="J102" s="69" t="n">
        <v>103</v>
      </c>
      <c r="K102" s="69" t="n">
        <v>353</v>
      </c>
      <c r="L102" s="69" t="n">
        <v>123</v>
      </c>
      <c r="M102" s="69" t="n">
        <v>294</v>
      </c>
      <c r="N102" s="69" t="n">
        <v>202</v>
      </c>
      <c r="O102" s="69" t="n">
        <v>342</v>
      </c>
      <c r="P102" s="69" t="n">
        <v>256</v>
      </c>
    </row>
    <row r="103" ht="15.75" customHeight="1" s="45">
      <c r="A103" s="61" t="n">
        <v>46120</v>
      </c>
      <c r="B103" s="62" t="inlineStr">
        <is>
          <t>Antes-Projeto</t>
        </is>
      </c>
      <c r="C103" s="68" t="inlineStr">
        <is>
          <t>GAEs Classificadas</t>
        </is>
      </c>
      <c r="D103" s="69" t="n">
        <v>220</v>
      </c>
      <c r="E103" s="69" t="n">
        <v>193</v>
      </c>
      <c r="F103" s="69" t="n">
        <v>165</v>
      </c>
      <c r="G103" s="69" t="n">
        <v>128</v>
      </c>
      <c r="H103" s="69" t="n">
        <v>160</v>
      </c>
      <c r="I103" s="69" t="n">
        <v>201</v>
      </c>
      <c r="J103" s="69" t="n">
        <v>100</v>
      </c>
      <c r="K103" s="69" t="n">
        <v>324</v>
      </c>
      <c r="L103" s="69" t="n">
        <v>112</v>
      </c>
      <c r="M103" s="69" t="n">
        <v>279</v>
      </c>
      <c r="N103" s="69" t="n">
        <v>185</v>
      </c>
      <c r="O103" s="69" t="n">
        <v>314</v>
      </c>
      <c r="P103" s="69" t="n">
        <v>250</v>
      </c>
    </row>
    <row r="104" ht="15.75" customHeight="1" s="45">
      <c r="A104" s="61" t="n">
        <v>46120</v>
      </c>
      <c r="B104" s="62" t="inlineStr">
        <is>
          <t>Antes-Projeto</t>
        </is>
      </c>
      <c r="C104" s="70" t="inlineStr">
        <is>
          <t>Percentual de GAEs abertas classificadas</t>
        </is>
      </c>
      <c r="D104" s="71">
        <f>IFERROR(D103/D102,"-")</f>
        <v/>
      </c>
      <c r="E104" s="71">
        <f>IFERROR(E103/E102,"-")</f>
        <v/>
      </c>
      <c r="F104" s="71">
        <f>IFERROR(F103/F102,"-")</f>
        <v/>
      </c>
      <c r="G104" s="71">
        <f>IFERROR(G103/G102,"-")</f>
        <v/>
      </c>
      <c r="H104" s="71">
        <f>IFERROR(H103/H102,"-")</f>
        <v/>
      </c>
      <c r="I104" s="71">
        <f>IFERROR(I103/I102,"-")</f>
        <v/>
      </c>
      <c r="J104" s="71">
        <f>IFERROR(J103/J102,"-")</f>
        <v/>
      </c>
      <c r="K104" s="71">
        <f>IFERROR(K103/K102,"-")</f>
        <v/>
      </c>
      <c r="L104" s="71">
        <f>IFERROR(L103/L102,"-")</f>
        <v/>
      </c>
      <c r="M104" s="71">
        <f>IFERROR(M103/M102,"-")</f>
        <v/>
      </c>
      <c r="N104" s="71">
        <f>IFERROR(N103/N102,"-")</f>
        <v/>
      </c>
      <c r="O104" s="71">
        <f>IFERROR(O103/O102,"-")</f>
        <v/>
      </c>
      <c r="P104" s="71">
        <f>IFERROR(P103/P102,"-")</f>
        <v/>
      </c>
    </row>
    <row r="105" ht="15.75" customHeight="1" s="45">
      <c r="A105" s="61" t="n">
        <v>46120</v>
      </c>
      <c r="B105" s="62" t="inlineStr">
        <is>
          <t>Antes-Projeto</t>
        </is>
      </c>
      <c r="C105" s="72" t="inlineStr">
        <is>
          <t>Tempo Médio — 🟡 Amarelo (hh:mm)</t>
        </is>
      </c>
      <c r="D105" s="73" t="n">
        <v>0.03637731481481481</v>
      </c>
      <c r="E105" s="73" t="n">
        <v>0.06447916666666667</v>
      </c>
      <c r="F105" s="73" t="n">
        <v>0.09851851851851852</v>
      </c>
      <c r="G105" s="73" t="n">
        <v>0.1051736111111111</v>
      </c>
      <c r="H105" s="73" t="n">
        <v>0.06385416666666667</v>
      </c>
      <c r="I105" s="73" t="n">
        <v>0.05868055555555556</v>
      </c>
      <c r="J105" s="73" t="n">
        <v>0.03446759259259259</v>
      </c>
      <c r="K105" s="73" t="n">
        <v>0.05005787037037037</v>
      </c>
      <c r="L105" s="73" t="n">
        <v>0.1070717592592593</v>
      </c>
      <c r="M105" s="73" t="n">
        <v>0.03980324074074074</v>
      </c>
      <c r="N105" s="73" t="n">
        <v>0.06670138888888889</v>
      </c>
      <c r="O105" s="73" t="n">
        <v>0.05715277777777777</v>
      </c>
      <c r="P105" s="73" t="n">
        <v>0.05861111111111111</v>
      </c>
    </row>
    <row r="106" ht="15.75" customHeight="1" s="45">
      <c r="A106" s="61" t="n">
        <v>46120</v>
      </c>
      <c r="B106" s="62" t="inlineStr">
        <is>
          <t>Antes-Projeto</t>
        </is>
      </c>
      <c r="C106" s="74" t="inlineStr">
        <is>
          <t>Tempo Médio — 🟠 Laranja (hh:mm)</t>
        </is>
      </c>
      <c r="D106" s="75" t="n">
        <v>0.003726851851851852</v>
      </c>
      <c r="E106" s="75" t="n">
        <v>0.01111111111111111</v>
      </c>
      <c r="F106" s="75" t="n">
        <v>0.008969907407407407</v>
      </c>
      <c r="G106" s="75" t="n">
        <v>0.01430555555555556</v>
      </c>
      <c r="H106" s="75" t="n">
        <v>0.007152777777777778</v>
      </c>
      <c r="I106" s="75" t="n">
        <v>0.008379629629629629</v>
      </c>
      <c r="J106" s="75" t="n">
        <v>0.006990740740740741</v>
      </c>
      <c r="K106" s="75" t="n">
        <v>0.01178240740740741</v>
      </c>
      <c r="L106" s="75" t="n">
        <v>0.01811342592592593</v>
      </c>
      <c r="M106" s="75" t="n">
        <v>0.02070601851851852</v>
      </c>
      <c r="N106" s="75" t="n">
        <v>0.009953703703703704</v>
      </c>
      <c r="O106" s="75" t="n">
        <v>0.01017361111111111</v>
      </c>
      <c r="P106" s="75" t="n">
        <v>0.01287037037037037</v>
      </c>
    </row>
    <row r="107" ht="15.75" customHeight="1" s="45">
      <c r="A107" s="76" t="n">
        <v>46120</v>
      </c>
      <c r="B107" s="77" t="inlineStr">
        <is>
          <t>Antes-Projeto</t>
        </is>
      </c>
      <c r="C107" s="78" t="inlineStr">
        <is>
          <t>Tempo Médio — 🟢 Verde   (hh:mm)</t>
        </is>
      </c>
      <c r="D107" s="79" t="n">
        <v>0.05717592592592593</v>
      </c>
      <c r="E107" s="79" t="n">
        <v>0.1511689814814815</v>
      </c>
      <c r="F107" s="79" t="n">
        <v>0.1341203703703704</v>
      </c>
      <c r="G107" s="79" t="n">
        <v>0.2384722222222222</v>
      </c>
      <c r="H107" s="79" t="n">
        <v>0.1311921296296296</v>
      </c>
      <c r="I107" s="79" t="n">
        <v>0.1105208333333333</v>
      </c>
      <c r="J107" s="79" t="n">
        <v>0.2987847222222222</v>
      </c>
      <c r="K107" s="79" t="n">
        <v>0.1002083333333333</v>
      </c>
      <c r="L107" s="79" t="n">
        <v>0.1820138888888889</v>
      </c>
      <c r="M107" s="79" t="n">
        <v>0.1080671296296296</v>
      </c>
      <c r="N107" s="79" t="n">
        <v>0.1124652777777778</v>
      </c>
      <c r="O107" s="79" t="n">
        <v>0.0897337962962963</v>
      </c>
      <c r="P107" s="79" t="n">
        <v>0.1258217592592593</v>
      </c>
    </row>
    <row r="108" ht="15.75" customHeight="1" s="45">
      <c r="A108" s="57" t="n">
        <v>46121</v>
      </c>
      <c r="B108" s="58" t="inlineStr">
        <is>
          <t>Antes-Projeto</t>
        </is>
      </c>
      <c r="C108" s="59" t="inlineStr">
        <is>
          <t>Acolhim. + Atend. Urgência + Atend. UPA</t>
        </is>
      </c>
      <c r="D108" s="60">
        <f>SUM(D109:D111)</f>
        <v/>
      </c>
      <c r="E108" s="60">
        <f>SUM(E109:E111)</f>
        <v/>
      </c>
      <c r="F108" s="60">
        <f>SUM(F109:F111)</f>
        <v/>
      </c>
      <c r="G108" s="60">
        <f>SUM(G109:G111)</f>
        <v/>
      </c>
      <c r="H108" s="60">
        <f>SUM(H109:H111)</f>
        <v/>
      </c>
      <c r="I108" s="60">
        <f>SUM(I109:I111)</f>
        <v/>
      </c>
      <c r="J108" s="60">
        <f>SUM(J109:J111)</f>
        <v/>
      </c>
      <c r="K108" s="60">
        <f>SUM(K109:K111)</f>
        <v/>
      </c>
      <c r="L108" s="60">
        <f>SUM(L109:L111)</f>
        <v/>
      </c>
      <c r="M108" s="60">
        <f>SUM(M109:M111)</f>
        <v/>
      </c>
      <c r="N108" s="60">
        <f>SUM(N109:N111)</f>
        <v/>
      </c>
      <c r="O108" s="60">
        <f>SUM(O109:O111)</f>
        <v/>
      </c>
      <c r="P108" s="60">
        <f>SUM(P109:P111)</f>
        <v/>
      </c>
    </row>
    <row r="109" ht="15.75" customHeight="1" s="45">
      <c r="A109" s="61" t="n">
        <v>46121</v>
      </c>
      <c r="B109" s="62" t="inlineStr">
        <is>
          <t>Antes-Projeto</t>
        </is>
      </c>
      <c r="C109" s="63" t="inlineStr">
        <is>
          <t>Acolhimento c/ Classif. de Risco</t>
        </is>
      </c>
      <c r="D109" s="64" t="n">
        <v>234</v>
      </c>
      <c r="E109" s="64" t="n">
        <v>176</v>
      </c>
      <c r="F109" s="64" t="n">
        <v>179</v>
      </c>
      <c r="G109" s="64" t="n">
        <v>141</v>
      </c>
      <c r="H109" s="64" t="n">
        <v>126</v>
      </c>
      <c r="I109" s="64" t="n">
        <v>212</v>
      </c>
      <c r="J109" s="64" t="n">
        <v>133</v>
      </c>
      <c r="K109" s="64" t="n">
        <v>309</v>
      </c>
      <c r="L109" s="64" t="n">
        <v>138</v>
      </c>
      <c r="M109" s="64" t="n">
        <v>273</v>
      </c>
      <c r="N109" s="64" t="n">
        <v>210</v>
      </c>
      <c r="O109" s="64" t="n">
        <v>294</v>
      </c>
      <c r="P109" s="64" t="n">
        <v>267</v>
      </c>
    </row>
    <row r="110" ht="15.75" customHeight="1" s="45">
      <c r="A110" s="61" t="n">
        <v>46121</v>
      </c>
      <c r="B110" s="62" t="inlineStr">
        <is>
          <t>Antes-Projeto</t>
        </is>
      </c>
      <c r="C110" s="65" t="inlineStr">
        <is>
          <t>Atend. Urgência Obs. ≤ 24h</t>
        </is>
      </c>
      <c r="D110" s="66" t="n">
        <v>41</v>
      </c>
      <c r="E110" s="66" t="n">
        <v>45</v>
      </c>
      <c r="F110" s="66" t="n">
        <v>23</v>
      </c>
      <c r="G110" s="66" t="n">
        <v>22</v>
      </c>
      <c r="H110" s="66" t="n">
        <v>11</v>
      </c>
      <c r="I110" s="66" t="n">
        <v>12</v>
      </c>
      <c r="J110" s="66" t="n">
        <v>117</v>
      </c>
      <c r="K110" s="66" t="n">
        <v>124</v>
      </c>
      <c r="L110" s="66" t="n">
        <v>40</v>
      </c>
      <c r="M110" s="66" t="n">
        <v>42</v>
      </c>
      <c r="N110" s="66" t="n">
        <v>45</v>
      </c>
      <c r="O110" s="66" t="n">
        <v>17</v>
      </c>
      <c r="P110" s="66" t="n">
        <v>31</v>
      </c>
    </row>
    <row r="111" ht="15.75" customHeight="1" s="45">
      <c r="A111" s="61" t="n">
        <v>46121</v>
      </c>
      <c r="B111" s="62" t="inlineStr">
        <is>
          <t>Antes-Projeto</t>
        </is>
      </c>
      <c r="C111" s="63" t="inlineStr">
        <is>
          <t>Atend. Médico em UPA</t>
        </is>
      </c>
      <c r="D111" s="64" t="n">
        <v>169</v>
      </c>
      <c r="E111" s="64" t="n">
        <v>109</v>
      </c>
      <c r="F111" s="64" t="n">
        <v>110</v>
      </c>
      <c r="G111" s="64" t="n">
        <v>95</v>
      </c>
      <c r="H111" s="64" t="n">
        <v>95</v>
      </c>
      <c r="I111" s="64" t="n">
        <v>164</v>
      </c>
      <c r="J111" s="64" t="n">
        <v>73</v>
      </c>
      <c r="K111" s="64" t="n">
        <v>233</v>
      </c>
      <c r="L111" s="64" t="n">
        <v>99</v>
      </c>
      <c r="M111" s="64" t="n">
        <v>182</v>
      </c>
      <c r="N111" s="64" t="n">
        <v>189</v>
      </c>
      <c r="O111" s="64" t="n">
        <v>185</v>
      </c>
      <c r="P111" s="64" t="n">
        <v>143</v>
      </c>
    </row>
    <row r="112" ht="15.75" customHeight="1" s="45">
      <c r="A112" s="61" t="n">
        <v>46121</v>
      </c>
      <c r="B112" s="62" t="inlineStr">
        <is>
          <t>Antes-Projeto</t>
        </is>
      </c>
      <c r="C112" s="65" t="inlineStr">
        <is>
          <t>Exames Laboratoriais</t>
        </is>
      </c>
      <c r="D112" s="66" t="n">
        <v>646</v>
      </c>
      <c r="E112" s="66" t="n">
        <v>235</v>
      </c>
      <c r="F112" s="66" t="n">
        <v>434</v>
      </c>
      <c r="G112" s="66" t="n">
        <v>335</v>
      </c>
      <c r="H112" s="66" t="n">
        <v>253</v>
      </c>
      <c r="I112" s="66" t="n">
        <v>472</v>
      </c>
      <c r="J112" s="66" t="n">
        <v>297</v>
      </c>
      <c r="K112" s="66" t="n">
        <v>969</v>
      </c>
      <c r="L112" s="66" t="n">
        <v>769</v>
      </c>
      <c r="M112" s="66" t="n">
        <v>706</v>
      </c>
      <c r="N112" s="66" t="n">
        <v>716</v>
      </c>
      <c r="O112" s="66" t="n">
        <v>431</v>
      </c>
      <c r="P112" s="66" t="n">
        <v>484</v>
      </c>
    </row>
    <row r="113" ht="15.75" customHeight="1" s="45">
      <c r="A113" s="61" t="n">
        <v>46121</v>
      </c>
      <c r="B113" s="62" t="inlineStr">
        <is>
          <t>Antes-Projeto</t>
        </is>
      </c>
      <c r="C113" s="63" t="inlineStr">
        <is>
          <t>Radiografias</t>
        </is>
      </c>
      <c r="D113" s="64" t="n">
        <v>20</v>
      </c>
      <c r="E113" s="64" t="n">
        <v>28</v>
      </c>
      <c r="F113" s="64" t="n">
        <v>30</v>
      </c>
      <c r="G113" s="64" t="n">
        <v>20</v>
      </c>
      <c r="H113" s="64" t="n">
        <v>6</v>
      </c>
      <c r="I113" s="64" t="n">
        <v>23</v>
      </c>
      <c r="J113" s="64" t="n">
        <v>15</v>
      </c>
      <c r="K113" s="64" t="n">
        <v>45</v>
      </c>
      <c r="L113" s="64" t="n">
        <v>35</v>
      </c>
      <c r="M113" s="64" t="n">
        <v>81</v>
      </c>
      <c r="N113" s="64" t="n">
        <v>31</v>
      </c>
      <c r="O113" s="64" t="n">
        <v>55</v>
      </c>
      <c r="P113" s="64" t="n">
        <v>57</v>
      </c>
    </row>
    <row r="114" ht="15.75" customHeight="1" s="45">
      <c r="A114" s="61" t="n">
        <v>46121</v>
      </c>
      <c r="B114" s="62" t="inlineStr">
        <is>
          <t>Antes-Projeto</t>
        </is>
      </c>
      <c r="C114" s="65" t="inlineStr">
        <is>
          <t>Eletrocardiogramas</t>
        </is>
      </c>
      <c r="D114" s="66" t="n">
        <v>23</v>
      </c>
      <c r="E114" s="66" t="n">
        <v>17</v>
      </c>
      <c r="F114" s="66" t="n">
        <v>28</v>
      </c>
      <c r="G114" s="66" t="n">
        <v>17</v>
      </c>
      <c r="H114" s="66" t="n">
        <v>1</v>
      </c>
      <c r="I114" s="66" t="n">
        <v>7</v>
      </c>
      <c r="J114" s="66" t="n">
        <v>4</v>
      </c>
      <c r="K114" s="66" t="n">
        <v>20</v>
      </c>
      <c r="L114" s="66" t="n">
        <v>20</v>
      </c>
      <c r="M114" s="66" t="n">
        <v>12</v>
      </c>
      <c r="N114" s="66" t="n">
        <v>25</v>
      </c>
      <c r="O114" s="66" t="n">
        <v>17</v>
      </c>
      <c r="P114" s="66" t="n">
        <v>23</v>
      </c>
    </row>
    <row r="115" ht="15.75" customHeight="1" s="45">
      <c r="A115" s="61" t="n">
        <v>46121</v>
      </c>
      <c r="B115" s="62" t="inlineStr">
        <is>
          <t>Antes-Projeto</t>
        </is>
      </c>
      <c r="C115" s="68" t="inlineStr">
        <is>
          <t>GAEs Abertas</t>
        </is>
      </c>
      <c r="D115" s="69" t="n">
        <v>244</v>
      </c>
      <c r="E115" s="69" t="n">
        <v>195</v>
      </c>
      <c r="F115" s="69" t="n">
        <v>187</v>
      </c>
      <c r="G115" s="69" t="n">
        <v>142</v>
      </c>
      <c r="H115" s="69" t="n">
        <v>130</v>
      </c>
      <c r="I115" s="69" t="n">
        <v>234</v>
      </c>
      <c r="J115" s="69" t="n">
        <v>142</v>
      </c>
      <c r="K115" s="69" t="n">
        <v>365</v>
      </c>
      <c r="L115" s="69" t="n">
        <v>148</v>
      </c>
      <c r="M115" s="69" t="n">
        <v>287</v>
      </c>
      <c r="N115" s="69" t="n">
        <v>210</v>
      </c>
      <c r="O115" s="69" t="n">
        <v>310</v>
      </c>
      <c r="P115" s="69" t="n">
        <v>276</v>
      </c>
    </row>
    <row r="116" ht="15.75" customHeight="1" s="45">
      <c r="A116" s="61" t="n">
        <v>46121</v>
      </c>
      <c r="B116" s="62" t="inlineStr">
        <is>
          <t>Antes-Projeto</t>
        </is>
      </c>
      <c r="C116" s="68" t="inlineStr">
        <is>
          <t>GAEs Classificadas</t>
        </is>
      </c>
      <c r="D116" s="69" t="n">
        <v>236</v>
      </c>
      <c r="E116" s="69" t="n">
        <v>178</v>
      </c>
      <c r="F116" s="69" t="n">
        <v>182</v>
      </c>
      <c r="G116" s="69" t="n">
        <v>140</v>
      </c>
      <c r="H116" s="69" t="n">
        <v>128</v>
      </c>
      <c r="I116" s="69" t="n">
        <v>214</v>
      </c>
      <c r="J116" s="69" t="n">
        <v>133</v>
      </c>
      <c r="K116" s="69" t="n">
        <v>316</v>
      </c>
      <c r="L116" s="69" t="n">
        <v>138</v>
      </c>
      <c r="M116" s="69" t="n">
        <v>269</v>
      </c>
      <c r="N116" s="69" t="n">
        <v>196</v>
      </c>
      <c r="O116" s="69" t="n">
        <v>292</v>
      </c>
      <c r="P116" s="69" t="n">
        <v>261</v>
      </c>
    </row>
    <row r="117" ht="15.75" customHeight="1" s="45">
      <c r="A117" s="61" t="n">
        <v>46121</v>
      </c>
      <c r="B117" s="62" t="inlineStr">
        <is>
          <t>Antes-Projeto</t>
        </is>
      </c>
      <c r="C117" s="70" t="inlineStr">
        <is>
          <t>Percentual de GAEs abertas classificadas</t>
        </is>
      </c>
      <c r="D117" s="71">
        <f>IFERROR(D116/D115,"-")</f>
        <v/>
      </c>
      <c r="E117" s="71">
        <f>IFERROR(E116/E115,"-")</f>
        <v/>
      </c>
      <c r="F117" s="71">
        <f>IFERROR(F116/F115,"-")</f>
        <v/>
      </c>
      <c r="G117" s="71">
        <f>IFERROR(G116/G115,"-")</f>
        <v/>
      </c>
      <c r="H117" s="71">
        <f>IFERROR(H116/H115,"-")</f>
        <v/>
      </c>
      <c r="I117" s="71">
        <f>IFERROR(I116/I115,"-")</f>
        <v/>
      </c>
      <c r="J117" s="71">
        <f>IFERROR(J116/J115,"-")</f>
        <v/>
      </c>
      <c r="K117" s="71">
        <f>IFERROR(K116/K115,"-")</f>
        <v/>
      </c>
      <c r="L117" s="71">
        <f>IFERROR(L116/L115,"-")</f>
        <v/>
      </c>
      <c r="M117" s="71">
        <f>IFERROR(M116/M115,"-")</f>
        <v/>
      </c>
      <c r="N117" s="71">
        <f>IFERROR(N116/N115,"-")</f>
        <v/>
      </c>
      <c r="O117" s="71">
        <f>IFERROR(O116/O115,"-")</f>
        <v/>
      </c>
      <c r="P117" s="71">
        <f>IFERROR(P116/P115,"-")</f>
        <v/>
      </c>
    </row>
    <row r="118" ht="15.75" customHeight="1" s="45">
      <c r="A118" s="61" t="n">
        <v>46121</v>
      </c>
      <c r="B118" s="62" t="inlineStr">
        <is>
          <t>Antes-Projeto</t>
        </is>
      </c>
      <c r="C118" s="72" t="inlineStr">
        <is>
          <t>Tempo Médio — 🟡 Amarelo (hh:mm)</t>
        </is>
      </c>
      <c r="D118" s="73" t="n">
        <v>0.02805555555555556</v>
      </c>
      <c r="E118" s="73" t="n">
        <v>0.08541666666666667</v>
      </c>
      <c r="F118" s="73" t="n">
        <v>0.0759837962962963</v>
      </c>
      <c r="G118" s="73" t="n">
        <v>0.04446759259259259</v>
      </c>
      <c r="H118" s="73" t="n">
        <v>0.05121527777777778</v>
      </c>
      <c r="I118" s="73" t="n">
        <v>0.04563657407407407</v>
      </c>
      <c r="J118" s="73" t="n">
        <v>0.04</v>
      </c>
      <c r="K118" s="73" t="n">
        <v>0.1301388888888889</v>
      </c>
      <c r="L118" s="73" t="n">
        <v>0.09001157407407408</v>
      </c>
      <c r="M118" s="73" t="n">
        <v>0.0391550925925926</v>
      </c>
      <c r="N118" s="73" t="n">
        <v>0.2540856481481482</v>
      </c>
      <c r="O118" s="73" t="n">
        <v>0.07530092592592592</v>
      </c>
      <c r="P118" s="73" t="n">
        <v>0.06668981481481481</v>
      </c>
    </row>
    <row r="119" ht="15.75" customHeight="1" s="45">
      <c r="A119" s="61" t="n">
        <v>46121</v>
      </c>
      <c r="B119" s="62" t="inlineStr">
        <is>
          <t>Antes-Projeto</t>
        </is>
      </c>
      <c r="C119" s="74" t="inlineStr">
        <is>
          <t>Tempo Médio — 🟠 Laranja (hh:mm)</t>
        </is>
      </c>
      <c r="D119" s="75" t="n">
        <v>0.009201388888888889</v>
      </c>
      <c r="E119" s="75" t="n">
        <v>0.008981481481481481</v>
      </c>
      <c r="F119" s="75" t="n">
        <v>0.006550925925925926</v>
      </c>
      <c r="G119" s="75" t="n">
        <v>0.009050925925925926</v>
      </c>
      <c r="H119" s="75" t="n">
        <v>0.002048611111111111</v>
      </c>
      <c r="I119" s="75" t="n">
        <v>0.01266203703703704</v>
      </c>
      <c r="J119" s="75" t="n">
        <v>0.006458333333333333</v>
      </c>
      <c r="K119" s="75" t="n">
        <v>0.01748842592592592</v>
      </c>
      <c r="L119" s="75" t="n">
        <v>0.01243055555555556</v>
      </c>
      <c r="M119" s="75" t="n">
        <v>0.008437500000000001</v>
      </c>
      <c r="N119" s="75" t="n">
        <v>0.04028935185185185</v>
      </c>
      <c r="O119" s="75" t="n">
        <v>0.0109837962962963</v>
      </c>
      <c r="P119" s="75" t="n">
        <v>0.01952546296296296</v>
      </c>
    </row>
    <row r="120" ht="15.75" customHeight="1" s="45">
      <c r="A120" s="76" t="n">
        <v>46121</v>
      </c>
      <c r="B120" s="77" t="inlineStr">
        <is>
          <t>Antes-Projeto</t>
        </is>
      </c>
      <c r="C120" s="78" t="inlineStr">
        <is>
          <t>Tempo Médio — 🟢 Verde   (hh:mm)</t>
        </is>
      </c>
      <c r="D120" s="79" t="n">
        <v>0.0566087962962963</v>
      </c>
      <c r="E120" s="79" t="n">
        <v>0.1971875</v>
      </c>
      <c r="F120" s="79" t="n">
        <v>0.09119212962962962</v>
      </c>
      <c r="G120" s="79" t="n">
        <v>0.1081481481481481</v>
      </c>
      <c r="H120" s="79" t="n">
        <v>0.1544328703703704</v>
      </c>
      <c r="I120" s="79" t="n">
        <v>0.1184722222222222</v>
      </c>
      <c r="J120" s="79" t="n">
        <v>0.06521990740740741</v>
      </c>
      <c r="K120" s="79" t="n">
        <v>0.1462037037037037</v>
      </c>
      <c r="L120" s="79" t="n">
        <v>0.1860763888888889</v>
      </c>
      <c r="M120" s="79" t="n">
        <v>0.08017361111111111</v>
      </c>
      <c r="N120" s="79" t="n">
        <v>0.1536689814814815</v>
      </c>
      <c r="O120" s="79" t="n">
        <v>0.1548263888888889</v>
      </c>
      <c r="P120" s="79" t="n">
        <v>0.1377893518518518</v>
      </c>
    </row>
    <row r="121" ht="15.75" customHeight="1" s="45">
      <c r="A121" s="57" t="n">
        <v>46122</v>
      </c>
      <c r="B121" s="58" t="inlineStr">
        <is>
          <t>Antes-Projeto</t>
        </is>
      </c>
      <c r="C121" s="59" t="inlineStr">
        <is>
          <t>Acolhim. + Atend. Urgência + Atend. UPA</t>
        </is>
      </c>
      <c r="D121" s="60">
        <f>SUM(D122:D124)</f>
        <v/>
      </c>
      <c r="E121" s="60">
        <f>SUM(E122:E124)</f>
        <v/>
      </c>
      <c r="F121" s="60">
        <f>SUM(F122:F124)</f>
        <v/>
      </c>
      <c r="G121" s="60">
        <f>SUM(G122:G124)</f>
        <v/>
      </c>
      <c r="H121" s="60">
        <f>SUM(H122:H124)</f>
        <v/>
      </c>
      <c r="I121" s="60">
        <f>SUM(I122:I124)</f>
        <v/>
      </c>
      <c r="J121" s="60">
        <f>SUM(J122:J124)</f>
        <v/>
      </c>
      <c r="K121" s="60">
        <f>SUM(K122:K124)</f>
        <v/>
      </c>
      <c r="L121" s="60">
        <f>SUM(L122:L124)</f>
        <v/>
      </c>
      <c r="M121" s="60">
        <f>SUM(M122:M124)</f>
        <v/>
      </c>
      <c r="N121" s="60">
        <f>SUM(N122:N124)</f>
        <v/>
      </c>
      <c r="O121" s="60">
        <f>SUM(O122:O124)</f>
        <v/>
      </c>
      <c r="P121" s="60">
        <f>SUM(P122:P124)</f>
        <v/>
      </c>
    </row>
    <row r="122" ht="15.75" customHeight="1" s="45">
      <c r="A122" s="61" t="n">
        <v>46122</v>
      </c>
      <c r="B122" s="62" t="inlineStr">
        <is>
          <t>Antes-Projeto</t>
        </is>
      </c>
      <c r="C122" s="65" t="inlineStr">
        <is>
          <t>Acolhimento c/ Classif. de Risco</t>
        </is>
      </c>
      <c r="D122" s="66" t="n">
        <v>240</v>
      </c>
      <c r="E122" s="66" t="n">
        <v>159</v>
      </c>
      <c r="F122" s="66" t="n">
        <v>148</v>
      </c>
      <c r="G122" s="66" t="n">
        <v>147</v>
      </c>
      <c r="H122" s="66" t="n">
        <v>144</v>
      </c>
      <c r="I122" s="66" t="n">
        <v>198</v>
      </c>
      <c r="J122" s="66" t="n">
        <v>125</v>
      </c>
      <c r="K122" s="66" t="n">
        <v>370</v>
      </c>
      <c r="L122" s="66" t="n">
        <v>152</v>
      </c>
      <c r="M122" s="66" t="n">
        <v>230</v>
      </c>
      <c r="N122" s="66" t="n">
        <v>202</v>
      </c>
      <c r="O122" s="66" t="n">
        <v>295</v>
      </c>
      <c r="P122" s="66" t="n">
        <v>240</v>
      </c>
    </row>
    <row r="123" ht="15.75" customHeight="1" s="45">
      <c r="A123" s="61" t="n">
        <v>46122</v>
      </c>
      <c r="B123" s="62" t="inlineStr">
        <is>
          <t>Antes-Projeto</t>
        </is>
      </c>
      <c r="C123" s="63" t="inlineStr">
        <is>
          <t>Atend. Urgência Obs. ≤ 24h</t>
        </is>
      </c>
      <c r="D123" s="64" t="n">
        <v>23</v>
      </c>
      <c r="E123" s="64" t="n">
        <v>69</v>
      </c>
      <c r="F123" s="64" t="n">
        <v>30</v>
      </c>
      <c r="G123" s="64" t="n">
        <v>30</v>
      </c>
      <c r="H123" s="64" t="n">
        <v>16</v>
      </c>
      <c r="I123" s="64" t="n">
        <v>28</v>
      </c>
      <c r="J123" s="64" t="n">
        <v>232</v>
      </c>
      <c r="K123" s="64" t="n">
        <v>117</v>
      </c>
      <c r="L123" s="64" t="n">
        <v>37</v>
      </c>
      <c r="M123" s="64" t="n">
        <v>39</v>
      </c>
      <c r="N123" s="64" t="n">
        <v>29</v>
      </c>
      <c r="O123" s="64" t="n">
        <v>17</v>
      </c>
      <c r="P123" s="64" t="n">
        <v>62</v>
      </c>
    </row>
    <row r="124" ht="15.75" customHeight="1" s="45">
      <c r="A124" s="61" t="n">
        <v>46122</v>
      </c>
      <c r="B124" s="62" t="inlineStr">
        <is>
          <t>Antes-Projeto</t>
        </is>
      </c>
      <c r="C124" s="65" t="inlineStr">
        <is>
          <t>Atend. Médico em UPA</t>
        </is>
      </c>
      <c r="D124" s="66" t="n">
        <v>101</v>
      </c>
      <c r="E124" s="66" t="n">
        <v>86</v>
      </c>
      <c r="F124" s="66" t="n">
        <v>63</v>
      </c>
      <c r="G124" s="66" t="n">
        <v>67</v>
      </c>
      <c r="H124" s="66" t="n">
        <v>92</v>
      </c>
      <c r="I124" s="66" t="n">
        <v>151</v>
      </c>
      <c r="J124" s="66" t="n">
        <v>45</v>
      </c>
      <c r="K124" s="66" t="n">
        <v>236</v>
      </c>
      <c r="L124" s="66" t="n">
        <v>99</v>
      </c>
      <c r="M124" s="66" t="n">
        <v>156</v>
      </c>
      <c r="N124" s="66" t="n">
        <v>192</v>
      </c>
      <c r="O124" s="66" t="n">
        <v>237</v>
      </c>
      <c r="P124" s="66" t="n">
        <v>132</v>
      </c>
    </row>
    <row r="125" ht="15.75" customHeight="1" s="45">
      <c r="A125" s="61" t="n">
        <v>46122</v>
      </c>
      <c r="B125" s="62" t="inlineStr">
        <is>
          <t>Antes-Projeto</t>
        </is>
      </c>
      <c r="C125" s="63" t="inlineStr">
        <is>
          <t>Exames Laboratoriais</t>
        </is>
      </c>
      <c r="D125" s="64" t="n">
        <v>414</v>
      </c>
      <c r="E125" s="64" t="n">
        <v>431</v>
      </c>
      <c r="F125" s="64" t="n">
        <v>443</v>
      </c>
      <c r="G125" s="64" t="n">
        <v>327</v>
      </c>
      <c r="H125" s="64" t="n">
        <v>353</v>
      </c>
      <c r="I125" s="64" t="n">
        <v>413</v>
      </c>
      <c r="J125" s="64" t="n">
        <v>266</v>
      </c>
      <c r="K125" s="64" t="n">
        <v>935</v>
      </c>
      <c r="L125" s="64" t="n">
        <v>831</v>
      </c>
      <c r="M125" s="64" t="n">
        <v>462</v>
      </c>
      <c r="N125" s="64" t="n">
        <v>534</v>
      </c>
      <c r="O125" s="64" t="n">
        <v>548</v>
      </c>
      <c r="P125" s="64" t="n">
        <v>598</v>
      </c>
    </row>
    <row r="126" ht="15.75" customHeight="1" s="45">
      <c r="A126" s="61" t="n">
        <v>46122</v>
      </c>
      <c r="B126" s="62" t="inlineStr">
        <is>
          <t>Antes-Projeto</t>
        </is>
      </c>
      <c r="C126" s="65" t="inlineStr">
        <is>
          <t>Radiografias</t>
        </is>
      </c>
      <c r="D126" s="66" t="n">
        <v>21</v>
      </c>
      <c r="E126" s="66" t="n">
        <v>17</v>
      </c>
      <c r="F126" s="66" t="n">
        <v>30</v>
      </c>
      <c r="G126" s="66" t="n">
        <v>27</v>
      </c>
      <c r="H126" s="66" t="n">
        <v>11</v>
      </c>
      <c r="I126" s="66" t="n">
        <v>27</v>
      </c>
      <c r="J126" s="66" t="n">
        <v>14</v>
      </c>
      <c r="K126" s="66" t="n">
        <v>51</v>
      </c>
      <c r="L126" s="66" t="n">
        <v>25</v>
      </c>
      <c r="M126" s="66" t="n">
        <v>46</v>
      </c>
      <c r="N126" s="66" t="n">
        <v>37</v>
      </c>
      <c r="O126" s="66" t="n">
        <v>43</v>
      </c>
      <c r="P126" s="66" t="n">
        <v>48</v>
      </c>
    </row>
    <row r="127" ht="15.75" customHeight="1" s="45">
      <c r="A127" s="61" t="n">
        <v>46122</v>
      </c>
      <c r="B127" s="62" t="inlineStr">
        <is>
          <t>Antes-Projeto</t>
        </is>
      </c>
      <c r="C127" s="63" t="inlineStr">
        <is>
          <t>Eletrocardiogramas</t>
        </is>
      </c>
      <c r="D127" s="64" t="n">
        <v>16</v>
      </c>
      <c r="E127" s="64" t="n">
        <v>15</v>
      </c>
      <c r="F127" s="64" t="n">
        <v>18</v>
      </c>
      <c r="G127" s="64" t="n">
        <v>16</v>
      </c>
      <c r="H127" s="64" t="n">
        <v>9</v>
      </c>
      <c r="I127" s="64" t="n">
        <v>7</v>
      </c>
      <c r="J127" s="64" t="n">
        <v>7</v>
      </c>
      <c r="K127" s="64" t="n">
        <v>22</v>
      </c>
      <c r="L127" s="64" t="n">
        <v>22</v>
      </c>
      <c r="M127" s="64" t="n">
        <v>14</v>
      </c>
      <c r="N127" s="64" t="n">
        <v>22</v>
      </c>
      <c r="O127" s="64" t="n">
        <v>15</v>
      </c>
      <c r="P127" s="64" t="n">
        <v>26</v>
      </c>
    </row>
    <row r="128" ht="15.75" customHeight="1" s="45">
      <c r="A128" s="61" t="n">
        <v>46122</v>
      </c>
      <c r="B128" s="62" t="inlineStr">
        <is>
          <t>Antes-Projeto</t>
        </is>
      </c>
      <c r="C128" s="68" t="inlineStr">
        <is>
          <t>GAEs Abertas</t>
        </is>
      </c>
      <c r="D128" s="69" t="n">
        <v>262</v>
      </c>
      <c r="E128" s="69" t="n">
        <v>163</v>
      </c>
      <c r="F128" s="69" t="n">
        <v>157</v>
      </c>
      <c r="G128" s="69" t="n">
        <v>150</v>
      </c>
      <c r="H128" s="69" t="n">
        <v>149</v>
      </c>
      <c r="I128" s="69" t="n">
        <v>210</v>
      </c>
      <c r="J128" s="69" t="n">
        <v>127</v>
      </c>
      <c r="K128" s="69" t="n">
        <v>390</v>
      </c>
      <c r="L128" s="69" t="n">
        <v>162</v>
      </c>
      <c r="M128" s="69" t="n">
        <v>262</v>
      </c>
      <c r="N128" s="69" t="n">
        <v>201</v>
      </c>
      <c r="O128" s="69" t="n">
        <v>300</v>
      </c>
      <c r="P128" s="69" t="n">
        <v>247</v>
      </c>
    </row>
    <row r="129" ht="15.75" customHeight="1" s="45">
      <c r="A129" s="61" t="n">
        <v>46122</v>
      </c>
      <c r="B129" s="62" t="inlineStr">
        <is>
          <t>Antes-Projeto</t>
        </is>
      </c>
      <c r="C129" s="68" t="inlineStr">
        <is>
          <t>GAEs Classificadas</t>
        </is>
      </c>
      <c r="D129" s="69" t="n">
        <v>239</v>
      </c>
      <c r="E129" s="69" t="n">
        <v>157</v>
      </c>
      <c r="F129" s="69" t="n">
        <v>147</v>
      </c>
      <c r="G129" s="69" t="n">
        <v>147</v>
      </c>
      <c r="H129" s="69" t="n">
        <v>143</v>
      </c>
      <c r="I129" s="69" t="n">
        <v>198</v>
      </c>
      <c r="J129" s="69" t="n">
        <v>123</v>
      </c>
      <c r="K129" s="69" t="n">
        <v>359</v>
      </c>
      <c r="L129" s="69" t="n">
        <v>151</v>
      </c>
      <c r="M129" s="69" t="n">
        <v>240</v>
      </c>
      <c r="N129" s="69" t="n">
        <v>195</v>
      </c>
      <c r="O129" s="69" t="n">
        <v>295</v>
      </c>
      <c r="P129" s="69" t="n">
        <v>240</v>
      </c>
    </row>
    <row r="130" ht="15.75" customHeight="1" s="45">
      <c r="A130" s="61" t="n">
        <v>46122</v>
      </c>
      <c r="B130" s="62" t="inlineStr">
        <is>
          <t>Antes-Projeto</t>
        </is>
      </c>
      <c r="C130" s="70" t="inlineStr">
        <is>
          <t>Percentual de GAEs abertas classificadas</t>
        </is>
      </c>
      <c r="D130" s="71">
        <f>IFERROR(D129/D128,"-")</f>
        <v/>
      </c>
      <c r="E130" s="71">
        <f>IFERROR(E129/E128,"-")</f>
        <v/>
      </c>
      <c r="F130" s="71">
        <f>IFERROR(F129/F128,"-")</f>
        <v/>
      </c>
      <c r="G130" s="71">
        <f>IFERROR(G129/G128,"-")</f>
        <v/>
      </c>
      <c r="H130" s="71">
        <f>IFERROR(H129/H128,"-")</f>
        <v/>
      </c>
      <c r="I130" s="71">
        <f>IFERROR(I129/I128,"-")</f>
        <v/>
      </c>
      <c r="J130" s="71">
        <f>IFERROR(J129/J128,"-")</f>
        <v/>
      </c>
      <c r="K130" s="71">
        <f>IFERROR(K129/K128,"-")</f>
        <v/>
      </c>
      <c r="L130" s="71">
        <f>IFERROR(L129/L128,"-")</f>
        <v/>
      </c>
      <c r="M130" s="71">
        <f>IFERROR(M129/M128,"-")</f>
        <v/>
      </c>
      <c r="N130" s="71">
        <f>IFERROR(N129/N128,"-")</f>
        <v/>
      </c>
      <c r="O130" s="71">
        <f>IFERROR(O129/O128,"-")</f>
        <v/>
      </c>
      <c r="P130" s="71">
        <f>IFERROR(P129/P128,"-")</f>
        <v/>
      </c>
    </row>
    <row r="131" ht="15.75" customHeight="1" s="45">
      <c r="A131" s="61" t="n">
        <v>46122</v>
      </c>
      <c r="B131" s="62" t="inlineStr">
        <is>
          <t>Antes-Projeto</t>
        </is>
      </c>
      <c r="C131" s="72" t="inlineStr">
        <is>
          <t>Tempo Médio — 🟡 Amarelo (hh:mm)</t>
        </is>
      </c>
      <c r="D131" s="73" t="n">
        <v>0.04658564814814815</v>
      </c>
      <c r="E131" s="73" t="n">
        <v>0.1161921296296296</v>
      </c>
      <c r="F131" s="73" t="n">
        <v>0.1166898148148148</v>
      </c>
      <c r="G131" s="73" t="n">
        <v>0.05435185185185185</v>
      </c>
      <c r="H131" s="73" t="n">
        <v>0.0753587962962963</v>
      </c>
      <c r="I131" s="73" t="n">
        <v>0.04207175925925926</v>
      </c>
      <c r="J131" s="73" t="n">
        <v>0.06949074074074074</v>
      </c>
      <c r="K131" s="73" t="n">
        <v>0.1084027777777778</v>
      </c>
      <c r="L131" s="73" t="n">
        <v>0.0496875</v>
      </c>
      <c r="M131" s="73" t="n">
        <v>0.05693287037037037</v>
      </c>
      <c r="N131" s="73" t="n">
        <v>0.06275462962962963</v>
      </c>
      <c r="O131" s="73" t="n">
        <v>0.04857638888888889</v>
      </c>
      <c r="P131" s="73" t="n">
        <v>0.1041203703703704</v>
      </c>
    </row>
    <row r="132" ht="15.75" customHeight="1" s="45">
      <c r="A132" s="61" t="n">
        <v>46122</v>
      </c>
      <c r="B132" s="62" t="inlineStr">
        <is>
          <t>Antes-Projeto</t>
        </is>
      </c>
      <c r="C132" s="74" t="inlineStr">
        <is>
          <t>Tempo Médio — 🟠 Laranja (hh:mm)</t>
        </is>
      </c>
      <c r="D132" s="75" t="n">
        <v>0.02527777777777778</v>
      </c>
      <c r="E132" s="75" t="n">
        <v>0.01491898148148148</v>
      </c>
      <c r="F132" s="75" t="n">
        <v>0.01034722222222222</v>
      </c>
      <c r="G132" s="75" t="n">
        <v>0.005046296296296296</v>
      </c>
      <c r="H132" s="75" t="n">
        <v>0.01248842592592593</v>
      </c>
      <c r="I132" s="75" t="n">
        <v>0.005289351851851852</v>
      </c>
      <c r="J132" s="75" t="n">
        <v>0.009293981481481481</v>
      </c>
      <c r="K132" s="75" t="n">
        <v>0.0231712962962963</v>
      </c>
      <c r="L132" s="75" t="n">
        <v>0.01395833333333333</v>
      </c>
      <c r="M132" s="75" t="n">
        <v>0.01105324074074074</v>
      </c>
      <c r="N132" s="75" t="n">
        <v>0.01084490740740741</v>
      </c>
      <c r="O132" s="75" t="n">
        <v>0.009872685185185186</v>
      </c>
      <c r="P132" s="75" t="n">
        <v>0.01144675925925926</v>
      </c>
    </row>
    <row r="133" ht="15.75" customHeight="1" s="45">
      <c r="A133" s="76" t="n">
        <v>46122</v>
      </c>
      <c r="B133" s="77" t="inlineStr">
        <is>
          <t>Antes-Projeto</t>
        </is>
      </c>
      <c r="C133" s="78" t="inlineStr">
        <is>
          <t>Tempo Médio — 🟢 Verde   (hh:mm)</t>
        </is>
      </c>
      <c r="D133" s="79" t="n">
        <v>0.03982638888888889</v>
      </c>
      <c r="E133" s="79" t="n">
        <v>0.1992013888888889</v>
      </c>
      <c r="F133" s="79" t="n">
        <v>0.2008680555555556</v>
      </c>
      <c r="G133" s="79" t="n">
        <v>0.1218518518518519</v>
      </c>
      <c r="H133" s="79" t="n">
        <v>0.09989583333333334</v>
      </c>
      <c r="I133" s="79" t="n">
        <v>0.1698958333333333</v>
      </c>
      <c r="J133" s="79" t="n">
        <v>0.1674884259259259</v>
      </c>
      <c r="K133" s="79" t="n">
        <v>0.1486689814814815</v>
      </c>
      <c r="L133" s="79" t="n">
        <v>0.1693055555555555</v>
      </c>
      <c r="M133" s="79" t="n">
        <v>0.09112268518518518</v>
      </c>
      <c r="N133" s="79" t="n">
        <v>0.1254513888888889</v>
      </c>
      <c r="O133" s="79" t="n">
        <v>0.1106712962962963</v>
      </c>
      <c r="P133" s="79" t="n">
        <v>0.07189814814814814</v>
      </c>
    </row>
    <row r="134" ht="15.75" customHeight="1" s="45">
      <c r="A134" s="57" t="n">
        <v>46123</v>
      </c>
      <c r="B134" s="58" t="inlineStr">
        <is>
          <t>Antes-Projeto</t>
        </is>
      </c>
      <c r="C134" s="59" t="inlineStr">
        <is>
          <t>Acolhim. + Atend. Urgência + Atend. UPA</t>
        </is>
      </c>
      <c r="D134" s="60">
        <f>SUM(D135:D137)</f>
        <v/>
      </c>
      <c r="E134" s="60">
        <f>SUM(E135:E137)</f>
        <v/>
      </c>
      <c r="F134" s="60">
        <f>SUM(F135:F137)</f>
        <v/>
      </c>
      <c r="G134" s="60">
        <f>SUM(G135:G137)</f>
        <v/>
      </c>
      <c r="H134" s="60">
        <f>SUM(H135:H137)</f>
        <v/>
      </c>
      <c r="I134" s="60">
        <f>SUM(I135:I137)</f>
        <v/>
      </c>
      <c r="J134" s="60">
        <f>SUM(J135:J137)</f>
        <v/>
      </c>
      <c r="K134" s="60">
        <f>SUM(K135:K137)</f>
        <v/>
      </c>
      <c r="L134" s="60">
        <f>SUM(L135:L137)</f>
        <v/>
      </c>
      <c r="M134" s="60">
        <f>SUM(M135:M137)</f>
        <v/>
      </c>
      <c r="N134" s="60">
        <f>SUM(N135:N137)</f>
        <v/>
      </c>
      <c r="O134" s="60">
        <f>SUM(O135:O137)</f>
        <v/>
      </c>
      <c r="P134" s="60">
        <f>SUM(P135:P137)</f>
        <v/>
      </c>
    </row>
    <row r="135" ht="15.75" customHeight="1" s="45">
      <c r="A135" s="61" t="n">
        <v>46123</v>
      </c>
      <c r="B135" s="62" t="inlineStr">
        <is>
          <t>Antes-Projeto</t>
        </is>
      </c>
      <c r="C135" s="63" t="inlineStr">
        <is>
          <t>Acolhimento c/ Classif. de Risco</t>
        </is>
      </c>
      <c r="D135" s="64" t="n">
        <v>187</v>
      </c>
      <c r="E135" s="64" t="n">
        <v>132</v>
      </c>
      <c r="F135" s="64" t="n">
        <v>163</v>
      </c>
      <c r="G135" s="64" t="n">
        <v>139</v>
      </c>
      <c r="H135" s="64" t="n">
        <v>112</v>
      </c>
      <c r="I135" s="64" t="n">
        <v>190</v>
      </c>
      <c r="J135" s="64" t="n">
        <v>86</v>
      </c>
      <c r="K135" s="64" t="n">
        <v>280</v>
      </c>
      <c r="L135" s="64" t="n">
        <v>124</v>
      </c>
      <c r="M135" s="64" t="n">
        <v>207</v>
      </c>
      <c r="N135" s="64" t="n">
        <v>185</v>
      </c>
      <c r="O135" s="64" t="n">
        <v>239</v>
      </c>
      <c r="P135" s="64" t="n">
        <v>224</v>
      </c>
    </row>
    <row r="136" ht="15.75" customHeight="1" s="45">
      <c r="A136" s="61" t="n">
        <v>46123</v>
      </c>
      <c r="B136" s="62" t="inlineStr">
        <is>
          <t>Antes-Projeto</t>
        </is>
      </c>
      <c r="C136" s="65" t="inlineStr">
        <is>
          <t>Atend. Urgência Obs. ≤ 24h</t>
        </is>
      </c>
      <c r="D136" s="66" t="n">
        <v>38</v>
      </c>
      <c r="E136" s="66" t="n">
        <v>51</v>
      </c>
      <c r="F136" s="66" t="n">
        <v>23</v>
      </c>
      <c r="G136" s="66" t="n">
        <v>81</v>
      </c>
      <c r="H136" s="66" t="n">
        <v>19</v>
      </c>
      <c r="I136" s="66" t="n">
        <v>51</v>
      </c>
      <c r="J136" s="66" t="n">
        <v>171</v>
      </c>
      <c r="K136" s="66" t="n">
        <v>134</v>
      </c>
      <c r="L136" s="66" t="n">
        <v>59</v>
      </c>
      <c r="M136" s="66" t="n">
        <v>20</v>
      </c>
      <c r="N136" s="66" t="n">
        <v>29</v>
      </c>
      <c r="O136" s="66" t="n">
        <v>12</v>
      </c>
      <c r="P136" s="66" t="n">
        <v>63</v>
      </c>
    </row>
    <row r="137" ht="15.75" customHeight="1" s="45">
      <c r="A137" s="61" t="n">
        <v>46123</v>
      </c>
      <c r="B137" s="62" t="inlineStr">
        <is>
          <t>Antes-Projeto</t>
        </is>
      </c>
      <c r="C137" s="63" t="inlineStr">
        <is>
          <t>Atend. Médico em UPA</t>
        </is>
      </c>
      <c r="D137" s="64" t="n">
        <v>128</v>
      </c>
      <c r="E137" s="64" t="n">
        <v>66</v>
      </c>
      <c r="F137" s="64" t="n">
        <v>92</v>
      </c>
      <c r="G137" s="64" t="n">
        <v>61</v>
      </c>
      <c r="H137" s="64" t="n">
        <v>100</v>
      </c>
      <c r="I137" s="64" t="n">
        <v>130</v>
      </c>
      <c r="J137" s="64" t="n">
        <v>46</v>
      </c>
      <c r="K137" s="64" t="n">
        <v>160</v>
      </c>
      <c r="L137" s="64" t="n">
        <v>72</v>
      </c>
      <c r="M137" s="64" t="n">
        <v>148</v>
      </c>
      <c r="N137" s="64" t="n">
        <v>186</v>
      </c>
      <c r="O137" s="64" t="n">
        <v>194</v>
      </c>
      <c r="P137" s="64" t="n">
        <v>150</v>
      </c>
    </row>
    <row r="138" ht="15.75" customHeight="1" s="45">
      <c r="A138" s="61" t="n">
        <v>46123</v>
      </c>
      <c r="B138" s="62" t="inlineStr">
        <is>
          <t>Antes-Projeto</t>
        </is>
      </c>
      <c r="C138" s="65" t="inlineStr">
        <is>
          <t>Exames Laboratoriais</t>
        </is>
      </c>
      <c r="D138" s="66" t="n">
        <v>366</v>
      </c>
      <c r="E138" s="66" t="n">
        <v>309</v>
      </c>
      <c r="F138" s="66" t="n">
        <v>220</v>
      </c>
      <c r="G138" s="66" t="n">
        <v>291</v>
      </c>
      <c r="H138" s="66" t="n">
        <v>289</v>
      </c>
      <c r="I138" s="66" t="n">
        <v>570</v>
      </c>
      <c r="J138" s="66" t="n">
        <v>191</v>
      </c>
      <c r="K138" s="66" t="n">
        <v>662</v>
      </c>
      <c r="L138" s="66" t="n">
        <v>573</v>
      </c>
      <c r="M138" s="66" t="n">
        <v>702</v>
      </c>
      <c r="N138" s="66" t="n">
        <v>521</v>
      </c>
      <c r="O138" s="66" t="n">
        <v>404</v>
      </c>
      <c r="P138" s="66" t="n">
        <v>539</v>
      </c>
    </row>
    <row r="139" ht="15.75" customHeight="1" s="45">
      <c r="A139" s="61" t="n">
        <v>46123</v>
      </c>
      <c r="B139" s="62" t="inlineStr">
        <is>
          <t>Antes-Projeto</t>
        </is>
      </c>
      <c r="C139" s="63" t="inlineStr">
        <is>
          <t>Radiografias</t>
        </is>
      </c>
      <c r="D139" s="64" t="n">
        <v>18</v>
      </c>
      <c r="E139" s="64" t="n">
        <v>23</v>
      </c>
      <c r="F139" s="64" t="n">
        <v>20</v>
      </c>
      <c r="G139" s="64" t="n">
        <v>25</v>
      </c>
      <c r="H139" s="64" t="n">
        <v>21</v>
      </c>
      <c r="I139" s="64" t="n">
        <v>20</v>
      </c>
      <c r="J139" s="64" t="n">
        <v>12</v>
      </c>
      <c r="K139" s="64" t="n">
        <v>32</v>
      </c>
      <c r="L139" s="64" t="n">
        <v>23</v>
      </c>
      <c r="M139" s="64" t="n">
        <v>56</v>
      </c>
      <c r="N139" s="64" t="n">
        <v>35</v>
      </c>
      <c r="O139" s="64" t="n">
        <v>42</v>
      </c>
      <c r="P139" s="64" t="n">
        <v>43</v>
      </c>
    </row>
    <row r="140" ht="15.75" customHeight="1" s="45">
      <c r="A140" s="61" t="n">
        <v>46123</v>
      </c>
      <c r="B140" s="62" t="inlineStr">
        <is>
          <t>Antes-Projeto</t>
        </is>
      </c>
      <c r="C140" s="65" t="inlineStr">
        <is>
          <t>Eletrocardiogramas</t>
        </is>
      </c>
      <c r="D140" s="66" t="n">
        <v>19</v>
      </c>
      <c r="E140" s="66" t="n">
        <v>20</v>
      </c>
      <c r="F140" s="66" t="n">
        <v>12</v>
      </c>
      <c r="G140" s="66" t="n">
        <v>13</v>
      </c>
      <c r="H140" s="66" t="n">
        <v>7</v>
      </c>
      <c r="I140" s="66" t="n">
        <v>8</v>
      </c>
      <c r="J140" s="66" t="n">
        <v>8</v>
      </c>
      <c r="K140" s="66" t="n">
        <v>8</v>
      </c>
      <c r="L140" s="66" t="n">
        <v>17</v>
      </c>
      <c r="M140" s="66" t="n">
        <v>17</v>
      </c>
      <c r="N140" s="66" t="n">
        <v>16</v>
      </c>
      <c r="O140" s="66" t="n">
        <v>8</v>
      </c>
      <c r="P140" s="66" t="n">
        <v>22</v>
      </c>
    </row>
    <row r="141" ht="15.75" customHeight="1" s="45">
      <c r="A141" s="61" t="n">
        <v>46123</v>
      </c>
      <c r="B141" s="62" t="inlineStr">
        <is>
          <t>Antes-Projeto</t>
        </is>
      </c>
      <c r="C141" s="68" t="inlineStr">
        <is>
          <t>GAEs Abertas</t>
        </is>
      </c>
      <c r="D141" s="69" t="n">
        <v>214</v>
      </c>
      <c r="E141" s="69" t="n">
        <v>142</v>
      </c>
      <c r="F141" s="69" t="n">
        <v>167</v>
      </c>
      <c r="G141" s="69" t="n">
        <v>146</v>
      </c>
      <c r="H141" s="69" t="n">
        <v>119</v>
      </c>
      <c r="I141" s="69" t="n">
        <v>196</v>
      </c>
      <c r="J141" s="69" t="n">
        <v>92</v>
      </c>
      <c r="K141" s="69" t="n">
        <v>317</v>
      </c>
      <c r="L141" s="69" t="n">
        <v>130</v>
      </c>
      <c r="M141" s="69" t="n">
        <v>209</v>
      </c>
      <c r="N141" s="69" t="n">
        <v>186</v>
      </c>
      <c r="O141" s="69" t="n">
        <v>255</v>
      </c>
      <c r="P141" s="69" t="n">
        <v>237</v>
      </c>
    </row>
    <row r="142" ht="15.75" customHeight="1" s="45">
      <c r="A142" s="61" t="n">
        <v>46123</v>
      </c>
      <c r="B142" s="62" t="inlineStr">
        <is>
          <t>Antes-Projeto</t>
        </is>
      </c>
      <c r="C142" s="68" t="inlineStr">
        <is>
          <t>GAEs Classificadas</t>
        </is>
      </c>
      <c r="D142" s="69" t="n">
        <v>185</v>
      </c>
      <c r="E142" s="69" t="n">
        <v>132</v>
      </c>
      <c r="F142" s="69" t="n">
        <v>163</v>
      </c>
      <c r="G142" s="69" t="n">
        <v>140</v>
      </c>
      <c r="H142" s="69" t="n">
        <v>112</v>
      </c>
      <c r="I142" s="69" t="n">
        <v>185</v>
      </c>
      <c r="J142" s="69" t="n">
        <v>85</v>
      </c>
      <c r="K142" s="69" t="n">
        <v>287</v>
      </c>
      <c r="L142" s="69" t="n">
        <v>126</v>
      </c>
      <c r="M142" s="69" t="n">
        <v>200</v>
      </c>
      <c r="N142" s="69" t="n">
        <v>180</v>
      </c>
      <c r="O142" s="69" t="n">
        <v>241</v>
      </c>
      <c r="P142" s="69" t="n">
        <v>225</v>
      </c>
    </row>
    <row r="143" ht="15.75" customHeight="1" s="45">
      <c r="A143" s="61" t="n">
        <v>46123</v>
      </c>
      <c r="B143" s="62" t="inlineStr">
        <is>
          <t>Antes-Projeto</t>
        </is>
      </c>
      <c r="C143" s="70" t="inlineStr">
        <is>
          <t>Percentual de GAEs abertas classificadas</t>
        </is>
      </c>
      <c r="D143" s="71">
        <f>IFERROR(D142/D141,"-")</f>
        <v/>
      </c>
      <c r="E143" s="71">
        <f>IFERROR(E142/E141,"-")</f>
        <v/>
      </c>
      <c r="F143" s="71">
        <f>IFERROR(F142/F141,"-")</f>
        <v/>
      </c>
      <c r="G143" s="71">
        <f>IFERROR(G142/G141,"-")</f>
        <v/>
      </c>
      <c r="H143" s="71">
        <f>IFERROR(H142/H141,"-")</f>
        <v/>
      </c>
      <c r="I143" s="71">
        <f>IFERROR(I142/I141,"-")</f>
        <v/>
      </c>
      <c r="J143" s="71">
        <f>IFERROR(J142/J141,"-")</f>
        <v/>
      </c>
      <c r="K143" s="71">
        <f>IFERROR(K142/K141,"-")</f>
        <v/>
      </c>
      <c r="L143" s="71">
        <f>IFERROR(L142/L141,"-")</f>
        <v/>
      </c>
      <c r="M143" s="71">
        <f>IFERROR(M142/M141,"-")</f>
        <v/>
      </c>
      <c r="N143" s="71">
        <f>IFERROR(N142/N141,"-")</f>
        <v/>
      </c>
      <c r="O143" s="71">
        <f>IFERROR(O142/O141,"-")</f>
        <v/>
      </c>
      <c r="P143" s="71">
        <f>IFERROR(P142/P141,"-")</f>
        <v/>
      </c>
    </row>
    <row r="144" ht="15.75" customHeight="1" s="45">
      <c r="A144" s="61" t="n">
        <v>46123</v>
      </c>
      <c r="B144" s="62" t="inlineStr">
        <is>
          <t>Antes-Projeto</t>
        </is>
      </c>
      <c r="C144" s="72" t="inlineStr">
        <is>
          <t>Tempo Médio — 🟡 Amarelo (hh:mm)</t>
        </is>
      </c>
      <c r="D144" s="73" t="n">
        <v>0.1032291666666667</v>
      </c>
      <c r="E144" s="73" t="n">
        <v>0.1459027777777778</v>
      </c>
      <c r="F144" s="73" t="n">
        <v>0.04638888888888889</v>
      </c>
      <c r="G144" s="73" t="n">
        <v>0.1396412037037037</v>
      </c>
      <c r="H144" s="73" t="n">
        <v>0.03754629629629629</v>
      </c>
      <c r="I144" s="73" t="n">
        <v>0.1310763888888889</v>
      </c>
      <c r="J144" s="73" t="n">
        <v>0.04835648148148148</v>
      </c>
      <c r="K144" s="73" t="n">
        <v>0.1734143518518519</v>
      </c>
      <c r="L144" s="73" t="n">
        <v>0.177349537037037</v>
      </c>
      <c r="M144" s="73" t="n">
        <v>0.03597222222222222</v>
      </c>
      <c r="N144" s="73" t="n">
        <v>0.09070601851851852</v>
      </c>
      <c r="O144" s="73" t="n">
        <v>0.04243055555555555</v>
      </c>
      <c r="P144" s="73" t="n">
        <v>0.08627314814814815</v>
      </c>
    </row>
    <row r="145" ht="15.75" customHeight="1" s="45">
      <c r="A145" s="61" t="n">
        <v>46123</v>
      </c>
      <c r="B145" s="62" t="inlineStr">
        <is>
          <t>Antes-Projeto</t>
        </is>
      </c>
      <c r="C145" s="74" t="inlineStr">
        <is>
          <t>Tempo Médio — 🟠 Laranja (hh:mm)</t>
        </is>
      </c>
      <c r="D145" s="75" t="n">
        <v>0.01771990740740741</v>
      </c>
      <c r="E145" s="75" t="n">
        <v>0.01030092592592593</v>
      </c>
      <c r="F145" s="75" t="n">
        <v>0.008599537037037037</v>
      </c>
      <c r="G145" s="75" t="n">
        <v>0.0109375</v>
      </c>
      <c r="H145" s="75" t="n">
        <v>0.03152777777777778</v>
      </c>
      <c r="I145" s="75" t="n">
        <v>0.005150462962962963</v>
      </c>
      <c r="J145" s="75" t="n">
        <v>0.01149305555555555</v>
      </c>
      <c r="K145" s="75" t="n">
        <v>0.02009259259259259</v>
      </c>
      <c r="L145" s="75" t="n">
        <v>0.02112268518518519</v>
      </c>
      <c r="M145" s="75" t="n">
        <v>0.01283564814814815</v>
      </c>
      <c r="N145" s="75" t="n">
        <v>0.01559027777777778</v>
      </c>
      <c r="O145" s="75" t="n">
        <v>0.01184027777777778</v>
      </c>
      <c r="P145" s="75" t="n">
        <v>0.01447916666666667</v>
      </c>
    </row>
    <row r="146" ht="15.75" customHeight="1" s="45">
      <c r="A146" s="76" t="n">
        <v>46123</v>
      </c>
      <c r="B146" s="77" t="inlineStr">
        <is>
          <t>Antes-Projeto</t>
        </is>
      </c>
      <c r="C146" s="78" t="inlineStr">
        <is>
          <t>Tempo Médio — 🟢 Verde   (hh:mm)</t>
        </is>
      </c>
      <c r="D146" s="79" t="n">
        <v>0.1648726851851852</v>
      </c>
      <c r="E146" s="79" t="n">
        <v>0.2054861111111111</v>
      </c>
      <c r="F146" s="79" t="n">
        <v>0.1351736111111111</v>
      </c>
      <c r="G146" s="79" t="n">
        <v>0.2310300925925926</v>
      </c>
      <c r="H146" s="79" t="n">
        <v>0.1213541666666667</v>
      </c>
      <c r="I146" s="79" t="n">
        <v>0.1415046296296296</v>
      </c>
      <c r="J146" s="79" t="n">
        <v>0.1242939814814815</v>
      </c>
      <c r="K146" s="79" t="n">
        <v>0.2066319444444444</v>
      </c>
      <c r="L146" s="79" t="n">
        <v>0.1895949074074074</v>
      </c>
      <c r="M146" s="79" t="n">
        <v>0.0721875</v>
      </c>
      <c r="N146" s="79" t="n">
        <v>0.1631828703703704</v>
      </c>
      <c r="O146" s="79" t="n">
        <v>0.1028356481481481</v>
      </c>
      <c r="P146" s="79" t="n">
        <v>0.1089583333333333</v>
      </c>
    </row>
    <row r="147" ht="15.75" customHeight="1" s="45">
      <c r="A147" s="57" t="n">
        <v>46124</v>
      </c>
      <c r="B147" s="58" t="inlineStr">
        <is>
          <t>Antes-Projeto</t>
        </is>
      </c>
      <c r="C147" s="59" t="inlineStr">
        <is>
          <t>Acolhim. + Atend. Urgência + Atend. UPA</t>
        </is>
      </c>
      <c r="D147" s="60">
        <f>SUM(D148:D150)</f>
        <v/>
      </c>
      <c r="E147" s="60">
        <f>SUM(E148:E150)</f>
        <v/>
      </c>
      <c r="F147" s="60">
        <f>SUM(F148:F150)</f>
        <v/>
      </c>
      <c r="G147" s="60">
        <f>SUM(G148:G150)</f>
        <v/>
      </c>
      <c r="H147" s="60">
        <f>SUM(H148:H150)</f>
        <v/>
      </c>
      <c r="I147" s="60">
        <f>SUM(I148:I150)</f>
        <v/>
      </c>
      <c r="J147" s="60">
        <f>SUM(J148:J150)</f>
        <v/>
      </c>
      <c r="K147" s="60">
        <f>SUM(K148:K150)</f>
        <v/>
      </c>
      <c r="L147" s="60">
        <f>SUM(L148:L150)</f>
        <v/>
      </c>
      <c r="M147" s="60">
        <f>SUM(M148:M150)</f>
        <v/>
      </c>
      <c r="N147" s="60">
        <f>SUM(N148:N150)</f>
        <v/>
      </c>
      <c r="O147" s="60">
        <f>SUM(O148:O150)</f>
        <v/>
      </c>
      <c r="P147" s="60">
        <f>SUM(P148:P150)</f>
        <v/>
      </c>
    </row>
    <row r="148" ht="15.75" customHeight="1" s="45">
      <c r="A148" s="61" t="n">
        <v>46124</v>
      </c>
      <c r="B148" s="62" t="inlineStr">
        <is>
          <t>Antes-Projeto</t>
        </is>
      </c>
      <c r="C148" s="65" t="inlineStr">
        <is>
          <t>Acolhimento c/ Classif. de Risco</t>
        </is>
      </c>
      <c r="D148" s="66" t="n">
        <v>171</v>
      </c>
      <c r="E148" s="66" t="n">
        <v>117</v>
      </c>
      <c r="F148" s="66" t="n">
        <v>141</v>
      </c>
      <c r="G148" s="66" t="n">
        <v>93</v>
      </c>
      <c r="H148" s="66" t="n">
        <v>93</v>
      </c>
      <c r="I148" s="66" t="n">
        <v>166</v>
      </c>
      <c r="J148" s="66" t="n">
        <v>99</v>
      </c>
      <c r="K148" s="66" t="n">
        <v>283</v>
      </c>
      <c r="L148" s="66" t="n">
        <v>134</v>
      </c>
      <c r="M148" s="66" t="n">
        <v>261</v>
      </c>
      <c r="N148" s="66" t="n">
        <v>176</v>
      </c>
      <c r="O148" s="66" t="n">
        <v>244</v>
      </c>
      <c r="P148" s="66" t="n">
        <v>225</v>
      </c>
    </row>
    <row r="149" ht="15.75" customHeight="1" s="45">
      <c r="A149" s="61" t="n">
        <v>46124</v>
      </c>
      <c r="B149" s="62" t="inlineStr">
        <is>
          <t>Antes-Projeto</t>
        </is>
      </c>
      <c r="C149" s="63" t="inlineStr">
        <is>
          <t>Atend. Urgência Obs. ≤ 24h</t>
        </is>
      </c>
      <c r="D149" s="64" t="n">
        <v>24</v>
      </c>
      <c r="E149" s="64" t="n">
        <v>22</v>
      </c>
      <c r="F149" s="64" t="n">
        <v>23</v>
      </c>
      <c r="G149" s="64" t="n">
        <v>38</v>
      </c>
      <c r="H149" s="64" t="n">
        <v>10</v>
      </c>
      <c r="I149" s="64" t="n">
        <v>66</v>
      </c>
      <c r="J149" s="64" t="n">
        <v>89</v>
      </c>
      <c r="K149" s="64" t="n">
        <v>27</v>
      </c>
      <c r="L149" s="64" t="n">
        <v>64</v>
      </c>
      <c r="M149" s="64" t="n">
        <v>52</v>
      </c>
      <c r="N149" s="64" t="n">
        <v>65</v>
      </c>
      <c r="O149" s="64" t="n">
        <v>18</v>
      </c>
      <c r="P149" s="64" t="n">
        <v>62</v>
      </c>
    </row>
    <row r="150" ht="15.75" customHeight="1" s="45">
      <c r="A150" s="61" t="n">
        <v>46124</v>
      </c>
      <c r="B150" s="62" t="inlineStr">
        <is>
          <t>Antes-Projeto</t>
        </is>
      </c>
      <c r="C150" s="65" t="inlineStr">
        <is>
          <t>Atend. Médico em UPA</t>
        </is>
      </c>
      <c r="D150" s="66" t="n">
        <v>66</v>
      </c>
      <c r="E150" s="66" t="n">
        <v>53</v>
      </c>
      <c r="F150" s="66" t="n">
        <v>106</v>
      </c>
      <c r="G150" s="66" t="n">
        <v>43</v>
      </c>
      <c r="H150" s="66" t="n">
        <v>48</v>
      </c>
      <c r="I150" s="66" t="n">
        <v>140</v>
      </c>
      <c r="J150" s="66" t="n">
        <v>95</v>
      </c>
      <c r="K150" s="66" t="n">
        <v>90</v>
      </c>
      <c r="L150" s="66" t="n">
        <v>68</v>
      </c>
      <c r="M150" s="66" t="n">
        <v>117</v>
      </c>
      <c r="N150" s="66" t="n">
        <v>156</v>
      </c>
      <c r="O150" s="66" t="n">
        <v>152</v>
      </c>
      <c r="P150" s="66" t="n">
        <v>104</v>
      </c>
    </row>
    <row r="151" ht="15.75" customHeight="1" s="45">
      <c r="A151" s="61" t="n">
        <v>46124</v>
      </c>
      <c r="B151" s="62" t="inlineStr">
        <is>
          <t>Antes-Projeto</t>
        </is>
      </c>
      <c r="C151" s="63" t="inlineStr">
        <is>
          <t>Exames Laboratoriais</t>
        </is>
      </c>
      <c r="D151" s="64" t="n">
        <v>656</v>
      </c>
      <c r="E151" s="64" t="n">
        <v>226</v>
      </c>
      <c r="F151" s="64" t="n">
        <v>378</v>
      </c>
      <c r="G151" s="64" t="n">
        <v>357</v>
      </c>
      <c r="H151" s="64" t="n">
        <v>204</v>
      </c>
      <c r="I151" s="64" t="n">
        <v>448</v>
      </c>
      <c r="J151" s="64" t="n">
        <v>247</v>
      </c>
      <c r="K151" s="64" t="n">
        <v>672</v>
      </c>
      <c r="L151" s="64" t="n">
        <v>487</v>
      </c>
      <c r="M151" s="64" t="n">
        <v>571</v>
      </c>
      <c r="N151" s="64" t="n">
        <v>399</v>
      </c>
      <c r="O151" s="64" t="n">
        <v>432</v>
      </c>
      <c r="P151" s="64" t="n">
        <v>185</v>
      </c>
    </row>
    <row r="152" ht="15.75" customHeight="1" s="45">
      <c r="A152" s="61" t="n">
        <v>46124</v>
      </c>
      <c r="B152" s="62" t="inlineStr">
        <is>
          <t>Antes-Projeto</t>
        </is>
      </c>
      <c r="C152" s="65" t="inlineStr">
        <is>
          <t>Radiografias</t>
        </is>
      </c>
      <c r="D152" s="66" t="n">
        <v>19</v>
      </c>
      <c r="E152" s="66" t="n">
        <v>18</v>
      </c>
      <c r="F152" s="66" t="n">
        <v>28</v>
      </c>
      <c r="G152" s="66" t="n">
        <v>5</v>
      </c>
      <c r="H152" s="66" t="n">
        <v>4</v>
      </c>
      <c r="I152" s="66" t="n">
        <v>29</v>
      </c>
      <c r="J152" s="66" t="n">
        <v>8</v>
      </c>
      <c r="K152" s="66" t="n">
        <v>30</v>
      </c>
      <c r="L152" s="66" t="n">
        <v>20</v>
      </c>
      <c r="M152" s="66" t="n">
        <v>41</v>
      </c>
      <c r="N152" s="66" t="n">
        <v>14</v>
      </c>
      <c r="O152" s="66" t="n">
        <v>30</v>
      </c>
      <c r="P152" s="66" t="n">
        <v>34</v>
      </c>
    </row>
    <row r="153" ht="15.75" customHeight="1" s="45">
      <c r="A153" s="61" t="n">
        <v>46124</v>
      </c>
      <c r="B153" s="62" t="inlineStr">
        <is>
          <t>Antes-Projeto</t>
        </is>
      </c>
      <c r="C153" s="63" t="inlineStr">
        <is>
          <t>Eletrocardiogramas</t>
        </is>
      </c>
      <c r="D153" s="64" t="n">
        <v>14</v>
      </c>
      <c r="E153" s="64" t="n">
        <v>8</v>
      </c>
      <c r="F153" s="64" t="n">
        <v>22</v>
      </c>
      <c r="G153" s="64" t="n">
        <v>6</v>
      </c>
      <c r="H153" s="64" t="n">
        <v>1</v>
      </c>
      <c r="I153" s="64" t="n">
        <v>12</v>
      </c>
      <c r="J153" s="64" t="n">
        <v>16</v>
      </c>
      <c r="K153" s="64" t="n">
        <v>8</v>
      </c>
      <c r="L153" s="64" t="n">
        <v>27</v>
      </c>
      <c r="M153" s="64" t="n">
        <v>28</v>
      </c>
      <c r="N153" s="64" t="n">
        <v>14</v>
      </c>
      <c r="O153" s="64" t="n">
        <v>7</v>
      </c>
      <c r="P153" s="64" t="n">
        <v>17</v>
      </c>
    </row>
    <row r="154" ht="15.75" customHeight="1" s="45">
      <c r="A154" s="61" t="n">
        <v>46124</v>
      </c>
      <c r="B154" s="62" t="inlineStr">
        <is>
          <t>Antes-Projeto</t>
        </is>
      </c>
      <c r="C154" s="68" t="inlineStr">
        <is>
          <t>GAEs Abertas</t>
        </is>
      </c>
      <c r="D154" s="69" t="n">
        <v>181</v>
      </c>
      <c r="E154" s="69" t="n">
        <v>124</v>
      </c>
      <c r="F154" s="69" t="n">
        <v>147</v>
      </c>
      <c r="G154" s="69" t="n">
        <v>95</v>
      </c>
      <c r="H154" s="69" t="n">
        <v>96</v>
      </c>
      <c r="I154" s="69" t="n">
        <v>172</v>
      </c>
      <c r="J154" s="69" t="n">
        <v>105</v>
      </c>
      <c r="K154" s="69" t="n">
        <v>304</v>
      </c>
      <c r="L154" s="69" t="n">
        <v>145</v>
      </c>
      <c r="M154" s="69" t="n">
        <v>277</v>
      </c>
      <c r="N154" s="69" t="n">
        <v>178</v>
      </c>
      <c r="O154" s="69" t="n">
        <v>261</v>
      </c>
      <c r="P154" s="69" t="n">
        <v>231</v>
      </c>
    </row>
    <row r="155" ht="15.75" customHeight="1" s="45">
      <c r="A155" s="61" t="n">
        <v>46124</v>
      </c>
      <c r="B155" s="62" t="inlineStr">
        <is>
          <t>Antes-Projeto</t>
        </is>
      </c>
      <c r="C155" s="68" t="inlineStr">
        <is>
          <t>GAEs Classificadas</t>
        </is>
      </c>
      <c r="D155" s="69" t="n">
        <v>170</v>
      </c>
      <c r="E155" s="69" t="n">
        <v>119</v>
      </c>
      <c r="F155" s="69" t="n">
        <v>144</v>
      </c>
      <c r="G155" s="69" t="n">
        <v>93</v>
      </c>
      <c r="H155" s="69" t="n">
        <v>92</v>
      </c>
      <c r="I155" s="69" t="n">
        <v>166</v>
      </c>
      <c r="J155" s="69" t="n">
        <v>100</v>
      </c>
      <c r="K155" s="69" t="n">
        <v>281</v>
      </c>
      <c r="L155" s="69" t="n">
        <v>132</v>
      </c>
      <c r="M155" s="69" t="n">
        <v>258</v>
      </c>
      <c r="N155" s="69" t="n">
        <v>172</v>
      </c>
      <c r="O155" s="69" t="n">
        <v>245</v>
      </c>
      <c r="P155" s="69" t="n">
        <v>225</v>
      </c>
    </row>
    <row r="156" ht="15.75" customHeight="1" s="45">
      <c r="A156" s="61" t="n">
        <v>46124</v>
      </c>
      <c r="B156" s="62" t="inlineStr">
        <is>
          <t>Antes-Projeto</t>
        </is>
      </c>
      <c r="C156" s="70" t="inlineStr">
        <is>
          <t>Percentual de GAEs abertas classificadas</t>
        </is>
      </c>
      <c r="D156" s="71">
        <f>IFERROR(D155/D154,"-")</f>
        <v/>
      </c>
      <c r="E156" s="71">
        <f>IFERROR(E155/E154,"-")</f>
        <v/>
      </c>
      <c r="F156" s="71">
        <f>IFERROR(F155/F154,"-")</f>
        <v/>
      </c>
      <c r="G156" s="71">
        <f>IFERROR(G155/G154,"-")</f>
        <v/>
      </c>
      <c r="H156" s="71">
        <f>IFERROR(H155/H154,"-")</f>
        <v/>
      </c>
      <c r="I156" s="71">
        <f>IFERROR(I155/I154,"-")</f>
        <v/>
      </c>
      <c r="J156" s="71">
        <f>IFERROR(J155/J154,"-")</f>
        <v/>
      </c>
      <c r="K156" s="71">
        <f>IFERROR(K155/K154,"-")</f>
        <v/>
      </c>
      <c r="L156" s="71">
        <f>IFERROR(L155/L154,"-")</f>
        <v/>
      </c>
      <c r="M156" s="71">
        <f>IFERROR(M155/M154,"-")</f>
        <v/>
      </c>
      <c r="N156" s="71">
        <f>IFERROR(N155/N154,"-")</f>
        <v/>
      </c>
      <c r="O156" s="71">
        <f>IFERROR(O155/O154,"-")</f>
        <v/>
      </c>
      <c r="P156" s="71">
        <f>IFERROR(P155/P154,"-")</f>
        <v/>
      </c>
    </row>
    <row r="157" ht="15.75" customHeight="1" s="45">
      <c r="A157" s="61" t="n">
        <v>46124</v>
      </c>
      <c r="B157" s="62" t="inlineStr">
        <is>
          <t>Antes-Projeto</t>
        </is>
      </c>
      <c r="C157" s="72" t="inlineStr">
        <is>
          <t>Tempo Médio — 🟡 Amarelo (hh:mm)</t>
        </is>
      </c>
      <c r="D157" s="73" t="n">
        <v>0.08334490740740741</v>
      </c>
      <c r="E157" s="73" t="n">
        <v>0.07561342592592593</v>
      </c>
      <c r="F157" s="73" t="n">
        <v>0.0397800925925926</v>
      </c>
      <c r="G157" s="73" t="n">
        <v>0.1506134259259259</v>
      </c>
      <c r="H157" s="73" t="n">
        <v>0.06795138888888889</v>
      </c>
      <c r="I157" s="73" t="n">
        <v>0.0299537037037037</v>
      </c>
      <c r="J157" s="73" t="n">
        <v>0.03538194444444445</v>
      </c>
      <c r="K157" s="73" t="n">
        <v>0.1264351851851852</v>
      </c>
      <c r="L157" s="73" t="n">
        <v>0.1122916666666667</v>
      </c>
      <c r="M157" s="73" t="n">
        <v>0.02782407407407407</v>
      </c>
      <c r="N157" s="73" t="n">
        <v>0.0464699074074074</v>
      </c>
      <c r="O157" s="73" t="n">
        <v>0.0440162037037037</v>
      </c>
      <c r="P157" s="73" t="n">
        <v>0.1161805555555556</v>
      </c>
    </row>
    <row r="158" ht="15.75" customHeight="1" s="45">
      <c r="A158" s="61" t="n">
        <v>46124</v>
      </c>
      <c r="B158" s="62" t="inlineStr">
        <is>
          <t>Antes-Projeto</t>
        </is>
      </c>
      <c r="C158" s="74" t="inlineStr">
        <is>
          <t>Tempo Médio — 🟠 Laranja (hh:mm)</t>
        </is>
      </c>
      <c r="D158" s="75" t="n">
        <v>0.02038194444444445</v>
      </c>
      <c r="E158" s="75" t="n">
        <v>0.01180555555555556</v>
      </c>
      <c r="F158" s="75" t="n">
        <v>0.006585648148148148</v>
      </c>
      <c r="G158" s="75" t="n">
        <v>0.08690972222222222</v>
      </c>
      <c r="H158" s="75" t="n">
        <v>0.0053125</v>
      </c>
      <c r="I158" s="75" t="n">
        <v>0.004120370370370371</v>
      </c>
      <c r="J158" s="75" t="n">
        <v>0.01189814814814815</v>
      </c>
      <c r="K158" s="75" t="n">
        <v>0.02162037037037037</v>
      </c>
      <c r="L158" s="75" t="n">
        <v>0.01927083333333333</v>
      </c>
      <c r="M158" s="75" t="n">
        <v>0.01023148148148148</v>
      </c>
      <c r="N158" s="75" t="n">
        <v>0.01824074074074074</v>
      </c>
      <c r="O158" s="75" t="n">
        <v>0.01849537037037037</v>
      </c>
      <c r="P158" s="75" t="n">
        <v>0.01487268518518518</v>
      </c>
    </row>
    <row r="159" ht="15.75" customHeight="1" s="45">
      <c r="A159" s="76" t="n">
        <v>46124</v>
      </c>
      <c r="B159" s="77" t="inlineStr">
        <is>
          <t>Antes-Projeto</t>
        </is>
      </c>
      <c r="C159" s="78" t="inlineStr">
        <is>
          <t>Tempo Médio — 🟢 Verde   (hh:mm)</t>
        </is>
      </c>
      <c r="D159" s="79" t="n">
        <v>0.08552083333333334</v>
      </c>
      <c r="E159" s="79" t="n">
        <v>0.2240509259259259</v>
      </c>
      <c r="F159" s="79" t="n">
        <v>0.1140162037037037</v>
      </c>
      <c r="G159" s="79" t="n">
        <v>0.2295486111111111</v>
      </c>
      <c r="H159" s="79" t="n">
        <v>0.05166666666666667</v>
      </c>
      <c r="I159" s="79" t="n">
        <v>0.08515046296296297</v>
      </c>
      <c r="J159" s="79" t="n">
        <v>0.07212962962962963</v>
      </c>
      <c r="K159" s="79" t="n">
        <v>0.1939351851851852</v>
      </c>
      <c r="L159" s="79" t="n">
        <v>0.1583912037037037</v>
      </c>
      <c r="M159" s="79" t="n">
        <v>0.07664351851851851</v>
      </c>
      <c r="N159" s="79" t="n">
        <v>0.1395023148148148</v>
      </c>
      <c r="O159" s="79" t="n">
        <v>0.1398726851851852</v>
      </c>
      <c r="P159" s="79" t="n">
        <v>0.09627314814814815</v>
      </c>
    </row>
    <row r="160" ht="15.75" customHeight="1" s="45">
      <c r="A160" s="57" t="n">
        <v>46125</v>
      </c>
      <c r="B160" s="58" t="inlineStr">
        <is>
          <t>Antes-Projeto</t>
        </is>
      </c>
      <c r="C160" s="59" t="inlineStr">
        <is>
          <t>Acolhim. + Atend. Urgência + Atend. UPA</t>
        </is>
      </c>
      <c r="D160" s="60">
        <f>SUM(D161:D163)</f>
        <v/>
      </c>
      <c r="E160" s="60">
        <f>SUM(E161:E163)</f>
        <v/>
      </c>
      <c r="F160" s="60">
        <f>SUM(F161:F163)</f>
        <v/>
      </c>
      <c r="G160" s="60">
        <f>SUM(G161:G163)</f>
        <v/>
      </c>
      <c r="H160" s="60">
        <f>SUM(H161:H163)</f>
        <v/>
      </c>
      <c r="I160" s="60">
        <f>SUM(I161:I163)</f>
        <v/>
      </c>
      <c r="J160" s="60">
        <f>SUM(J161:J163)</f>
        <v/>
      </c>
      <c r="K160" s="60">
        <f>SUM(K161:K163)</f>
        <v/>
      </c>
      <c r="L160" s="60">
        <f>SUM(L161:L163)</f>
        <v/>
      </c>
      <c r="M160" s="60">
        <f>SUM(M161:M163)</f>
        <v/>
      </c>
      <c r="N160" s="60">
        <f>SUM(N161:N163)</f>
        <v/>
      </c>
      <c r="O160" s="60">
        <f>SUM(O161:O163)</f>
        <v/>
      </c>
      <c r="P160" s="60">
        <f>SUM(P161:P163)</f>
        <v/>
      </c>
    </row>
    <row r="161" ht="15.75" customHeight="1" s="45">
      <c r="A161" s="61" t="n">
        <v>46125</v>
      </c>
      <c r="B161" s="62" t="inlineStr">
        <is>
          <t>Antes-Projeto</t>
        </is>
      </c>
      <c r="C161" s="63" t="inlineStr">
        <is>
          <t>Acolhimento c/ Classif. de Risco</t>
        </is>
      </c>
      <c r="D161" s="64" t="n">
        <v>244</v>
      </c>
      <c r="E161" s="64" t="n">
        <v>186</v>
      </c>
      <c r="F161" s="64" t="n">
        <v>198</v>
      </c>
      <c r="G161" s="64" t="n">
        <v>169</v>
      </c>
      <c r="H161" s="64" t="n">
        <v>150</v>
      </c>
      <c r="I161" s="64" t="n">
        <v>211</v>
      </c>
      <c r="J161" s="64" t="n">
        <v>140</v>
      </c>
      <c r="K161" s="64" t="n">
        <v>390</v>
      </c>
      <c r="L161" s="64" t="n">
        <v>178</v>
      </c>
      <c r="M161" s="64" t="n">
        <v>297</v>
      </c>
      <c r="N161" s="64" t="n">
        <v>223</v>
      </c>
      <c r="O161" s="64" t="n">
        <v>302</v>
      </c>
      <c r="P161" s="64" t="n">
        <v>272</v>
      </c>
    </row>
    <row r="162" ht="15.75" customHeight="1" s="45">
      <c r="A162" s="61" t="n">
        <v>46125</v>
      </c>
      <c r="B162" s="62" t="inlineStr">
        <is>
          <t>Antes-Projeto</t>
        </is>
      </c>
      <c r="C162" s="65" t="inlineStr">
        <is>
          <t>Atend. Urgência Obs. ≤ 24h</t>
        </is>
      </c>
      <c r="D162" s="66" t="n">
        <v>20</v>
      </c>
      <c r="E162" s="66" t="n">
        <v>49</v>
      </c>
      <c r="F162" s="66" t="n">
        <v>24</v>
      </c>
      <c r="G162" s="66" t="n">
        <v>55</v>
      </c>
      <c r="H162" s="66" t="n">
        <v>3</v>
      </c>
      <c r="I162" s="66" t="n">
        <v>19</v>
      </c>
      <c r="J162" s="66" t="n">
        <v>111</v>
      </c>
      <c r="K162" s="66" t="n">
        <v>45</v>
      </c>
      <c r="L162" s="66" t="n">
        <v>55</v>
      </c>
      <c r="M162" s="66" t="n">
        <v>97</v>
      </c>
      <c r="N162" s="66" t="n">
        <v>27</v>
      </c>
      <c r="O162" s="66" t="n">
        <v>11</v>
      </c>
      <c r="P162" s="66" t="n">
        <v>30</v>
      </c>
    </row>
    <row r="163" ht="15.75" customHeight="1" s="45">
      <c r="A163" s="61" t="n">
        <v>46125</v>
      </c>
      <c r="B163" s="62" t="inlineStr">
        <is>
          <t>Antes-Projeto</t>
        </is>
      </c>
      <c r="C163" s="63" t="inlineStr">
        <is>
          <t>Atend. Médico em UPA</t>
        </is>
      </c>
      <c r="D163" s="64" t="n">
        <v>130</v>
      </c>
      <c r="E163" s="64" t="n">
        <v>105</v>
      </c>
      <c r="F163" s="64" t="n">
        <v>120</v>
      </c>
      <c r="G163" s="64" t="n">
        <v>104</v>
      </c>
      <c r="H163" s="64" t="n">
        <v>96</v>
      </c>
      <c r="I163" s="64" t="n">
        <v>186</v>
      </c>
      <c r="J163" s="64" t="n">
        <v>84</v>
      </c>
      <c r="K163" s="64" t="n">
        <v>235</v>
      </c>
      <c r="L163" s="64" t="n">
        <v>104</v>
      </c>
      <c r="M163" s="64" t="n">
        <v>145</v>
      </c>
      <c r="N163" s="64" t="n">
        <v>214</v>
      </c>
      <c r="O163" s="64" t="n">
        <v>182</v>
      </c>
      <c r="P163" s="64" t="n">
        <v>123</v>
      </c>
    </row>
    <row r="164" ht="15.75" customHeight="1" s="45">
      <c r="A164" s="61" t="n">
        <v>46125</v>
      </c>
      <c r="B164" s="62" t="inlineStr">
        <is>
          <t>Antes-Projeto</t>
        </is>
      </c>
      <c r="C164" s="65" t="inlineStr">
        <is>
          <t>Exames Laboratoriais</t>
        </is>
      </c>
      <c r="D164" s="66" t="n">
        <v>361</v>
      </c>
      <c r="E164" s="66" t="n">
        <v>326</v>
      </c>
      <c r="F164" s="66" t="n">
        <v>96</v>
      </c>
      <c r="G164" s="66" t="n">
        <v>309</v>
      </c>
      <c r="H164" s="66" t="n">
        <v>291</v>
      </c>
      <c r="I164" s="66" t="n">
        <v>577</v>
      </c>
      <c r="J164" s="66" t="n">
        <v>309</v>
      </c>
      <c r="K164" s="66" t="n">
        <v>1012</v>
      </c>
      <c r="L164" s="66" t="n">
        <v>550</v>
      </c>
      <c r="M164" s="66" t="n">
        <v>590</v>
      </c>
      <c r="N164" s="66" t="n">
        <v>634</v>
      </c>
      <c r="O164" s="66" t="n">
        <v>277</v>
      </c>
      <c r="P164" s="66" t="n">
        <v>358</v>
      </c>
    </row>
    <row r="165" ht="15.75" customHeight="1" s="45">
      <c r="A165" s="61" t="n">
        <v>46125</v>
      </c>
      <c r="B165" s="62" t="inlineStr">
        <is>
          <t>Antes-Projeto</t>
        </is>
      </c>
      <c r="C165" s="63" t="inlineStr">
        <is>
          <t>Radiografias</t>
        </is>
      </c>
      <c r="D165" s="64" t="n">
        <v>12</v>
      </c>
      <c r="E165" s="64" t="n">
        <v>29</v>
      </c>
      <c r="F165" s="64" t="n">
        <v>32</v>
      </c>
      <c r="G165" s="64" t="n">
        <v>3</v>
      </c>
      <c r="H165" s="64" t="n">
        <v>9</v>
      </c>
      <c r="I165" s="64" t="n">
        <v>37</v>
      </c>
      <c r="J165" s="64" t="n">
        <v>20</v>
      </c>
      <c r="K165" s="64" t="n">
        <v>47</v>
      </c>
      <c r="L165" s="64" t="n">
        <v>40</v>
      </c>
      <c r="M165" s="64" t="n">
        <v>48</v>
      </c>
      <c r="N165" s="64" t="n">
        <v>8</v>
      </c>
      <c r="O165" s="64" t="n">
        <v>39</v>
      </c>
      <c r="P165" s="64" t="n">
        <v>51</v>
      </c>
    </row>
    <row r="166" ht="15.75" customHeight="1" s="45">
      <c r="A166" s="61" t="n">
        <v>46125</v>
      </c>
      <c r="B166" s="62" t="inlineStr">
        <is>
          <t>Antes-Projeto</t>
        </is>
      </c>
      <c r="C166" s="65" t="inlineStr">
        <is>
          <t>Eletrocardiogramas</t>
        </is>
      </c>
      <c r="D166" s="66" t="n">
        <v>11</v>
      </c>
      <c r="E166" s="66" t="n">
        <v>10</v>
      </c>
      <c r="F166" s="66" t="n">
        <v>20</v>
      </c>
      <c r="G166" s="66" t="n">
        <v>14</v>
      </c>
      <c r="H166" s="66" t="n">
        <v>12</v>
      </c>
      <c r="I166" s="66" t="n">
        <v>19</v>
      </c>
      <c r="J166" s="66" t="n">
        <v>7</v>
      </c>
      <c r="K166" s="66" t="n">
        <v>13</v>
      </c>
      <c r="L166" s="66" t="n">
        <v>10</v>
      </c>
      <c r="M166" s="66" t="n">
        <v>19</v>
      </c>
      <c r="N166" s="66" t="n">
        <v>16</v>
      </c>
      <c r="O166" s="66" t="n">
        <v>9</v>
      </c>
      <c r="P166" s="66" t="n">
        <v>31</v>
      </c>
    </row>
    <row r="167" ht="15.75" customHeight="1" s="45">
      <c r="A167" s="61" t="n">
        <v>46125</v>
      </c>
      <c r="B167" s="62" t="inlineStr">
        <is>
          <t>Antes-Projeto</t>
        </is>
      </c>
      <c r="C167" s="68" t="inlineStr">
        <is>
          <t>GAEs Abertas</t>
        </is>
      </c>
      <c r="D167" s="69" t="n">
        <v>290</v>
      </c>
      <c r="E167" s="69" t="n">
        <v>199</v>
      </c>
      <c r="F167" s="69" t="n">
        <v>205</v>
      </c>
      <c r="G167" s="69" t="n">
        <v>184</v>
      </c>
      <c r="H167" s="69" t="n">
        <v>159</v>
      </c>
      <c r="I167" s="69" t="n">
        <v>248</v>
      </c>
      <c r="J167" s="69" t="n">
        <v>144</v>
      </c>
      <c r="K167" s="69" t="n">
        <v>455</v>
      </c>
      <c r="L167" s="69" t="n">
        <v>187</v>
      </c>
      <c r="M167" s="69" t="n">
        <v>355</v>
      </c>
      <c r="N167" s="69" t="n">
        <v>223</v>
      </c>
      <c r="O167" s="69" t="n">
        <v>351</v>
      </c>
      <c r="P167" s="69" t="n">
        <v>298</v>
      </c>
    </row>
    <row r="168" ht="15.75" customHeight="1" s="45">
      <c r="A168" s="61" t="n">
        <v>46125</v>
      </c>
      <c r="B168" s="62" t="inlineStr">
        <is>
          <t>Antes-Projeto</t>
        </is>
      </c>
      <c r="C168" s="68" t="inlineStr">
        <is>
          <t>GAEs Classificadas</t>
        </is>
      </c>
      <c r="D168" s="69" t="n">
        <v>246</v>
      </c>
      <c r="E168" s="69" t="n">
        <v>185</v>
      </c>
      <c r="F168" s="69" t="n">
        <v>197</v>
      </c>
      <c r="G168" s="69" t="n">
        <v>167</v>
      </c>
      <c r="H168" s="69" t="n">
        <v>150</v>
      </c>
      <c r="I168" s="69" t="n">
        <v>210</v>
      </c>
      <c r="J168" s="69" t="n">
        <v>133</v>
      </c>
      <c r="K168" s="69" t="n">
        <v>389</v>
      </c>
      <c r="L168" s="69" t="n">
        <v>177</v>
      </c>
      <c r="M168" s="69" t="n">
        <v>301</v>
      </c>
      <c r="N168" s="69" t="n">
        <v>198</v>
      </c>
      <c r="O168" s="69" t="n">
        <v>300</v>
      </c>
      <c r="P168" s="69" t="n">
        <v>277</v>
      </c>
    </row>
    <row r="169" ht="15.75" customHeight="1" s="45">
      <c r="A169" s="61" t="n">
        <v>46125</v>
      </c>
      <c r="B169" s="62" t="inlineStr">
        <is>
          <t>Antes-Projeto</t>
        </is>
      </c>
      <c r="C169" s="70" t="inlineStr">
        <is>
          <t>Percentual de GAEs abertas classificadas</t>
        </is>
      </c>
      <c r="D169" s="71">
        <f>IFERROR(D168/D167,"-")</f>
        <v/>
      </c>
      <c r="E169" s="71">
        <f>IFERROR(E168/E167,"-")</f>
        <v/>
      </c>
      <c r="F169" s="71">
        <f>IFERROR(F168/F167,"-")</f>
        <v/>
      </c>
      <c r="G169" s="71">
        <f>IFERROR(G168/G167,"-")</f>
        <v/>
      </c>
      <c r="H169" s="71">
        <f>IFERROR(H168/H167,"-")</f>
        <v/>
      </c>
      <c r="I169" s="71">
        <f>IFERROR(I168/I167,"-")</f>
        <v/>
      </c>
      <c r="J169" s="71">
        <f>IFERROR(J168/J167,"-")</f>
        <v/>
      </c>
      <c r="K169" s="71">
        <f>IFERROR(K168/K167,"-")</f>
        <v/>
      </c>
      <c r="L169" s="71">
        <f>IFERROR(L168/L167,"-")</f>
        <v/>
      </c>
      <c r="M169" s="71">
        <f>IFERROR(M168/M167,"-")</f>
        <v/>
      </c>
      <c r="N169" s="71">
        <f>IFERROR(N168/N167,"-")</f>
        <v/>
      </c>
      <c r="O169" s="71">
        <f>IFERROR(O168/O167,"-")</f>
        <v/>
      </c>
      <c r="P169" s="71">
        <f>IFERROR(P168/P167,"-")</f>
        <v/>
      </c>
    </row>
    <row r="170" ht="15.75" customHeight="1" s="45">
      <c r="A170" s="61" t="n">
        <v>46125</v>
      </c>
      <c r="B170" s="62" t="inlineStr">
        <is>
          <t>Antes-Projeto</t>
        </is>
      </c>
      <c r="C170" s="72" t="inlineStr">
        <is>
          <t>Tempo Médio — 🟡 Amarelo (hh:mm)</t>
        </is>
      </c>
      <c r="D170" s="73" t="n">
        <v>0.0880787037037037</v>
      </c>
      <c r="E170" s="73" t="n">
        <v>0.133125</v>
      </c>
      <c r="F170" s="73" t="n">
        <v>0.07288194444444444</v>
      </c>
      <c r="G170" s="73" t="n">
        <v>0.05407407407407407</v>
      </c>
      <c r="H170" s="73" t="n">
        <v>0.03265046296296296</v>
      </c>
      <c r="I170" s="73" t="n">
        <v>0.03909722222222222</v>
      </c>
      <c r="J170" s="73" t="n">
        <v>0.04453703703703703</v>
      </c>
      <c r="K170" s="73" t="n">
        <v>0.1097222222222222</v>
      </c>
      <c r="L170" s="73" t="n">
        <v>0.124224537037037</v>
      </c>
      <c r="M170" s="73" t="n">
        <v>0.02631944444444444</v>
      </c>
      <c r="N170" s="73" t="n">
        <v>0.1221180555555555</v>
      </c>
      <c r="O170" s="73" t="n">
        <v>0.08162037037037037</v>
      </c>
      <c r="P170" s="73" t="n">
        <v>0.08648148148148148</v>
      </c>
    </row>
    <row r="171" ht="15.75" customHeight="1" s="45">
      <c r="A171" s="61" t="n">
        <v>46125</v>
      </c>
      <c r="B171" s="62" t="inlineStr">
        <is>
          <t>Antes-Projeto</t>
        </is>
      </c>
      <c r="C171" s="74" t="inlineStr">
        <is>
          <t>Tempo Médio — 🟠 Laranja (hh:mm)</t>
        </is>
      </c>
      <c r="D171" s="75" t="n">
        <v>0.01708333333333333</v>
      </c>
      <c r="E171" s="75" t="n">
        <v>0.01043981481481481</v>
      </c>
      <c r="F171" s="75" t="n">
        <v>0.01376157407407407</v>
      </c>
      <c r="G171" s="75" t="n">
        <v>0.007013888888888889</v>
      </c>
      <c r="H171" s="75" t="n">
        <v>0.009756944444444445</v>
      </c>
      <c r="I171" s="75" t="n">
        <v>0.01574074074074074</v>
      </c>
      <c r="J171" s="75" t="n">
        <v>0.0103587962962963</v>
      </c>
      <c r="K171" s="75" t="n">
        <v>0.01540509259259259</v>
      </c>
      <c r="L171" s="75" t="n">
        <v>0.01501157407407407</v>
      </c>
      <c r="M171" s="75" t="n">
        <v>0.02243055555555555</v>
      </c>
      <c r="N171" s="75" t="n">
        <v>0.02200231481481481</v>
      </c>
      <c r="O171" s="75" t="n">
        <v>0.02158564814814815</v>
      </c>
      <c r="P171" s="75" t="n">
        <v>0.01188657407407407</v>
      </c>
    </row>
    <row r="172" ht="15.75" customHeight="1" s="45">
      <c r="A172" s="76" t="n">
        <v>46125</v>
      </c>
      <c r="B172" s="77" t="inlineStr">
        <is>
          <t>Antes-Projeto</t>
        </is>
      </c>
      <c r="C172" s="78" t="inlineStr">
        <is>
          <t>Tempo Médio — 🟢 Verde   (hh:mm)</t>
        </is>
      </c>
      <c r="D172" s="79" t="n">
        <v>0.1402083333333333</v>
      </c>
      <c r="E172" s="79" t="n">
        <v>0.2696759259259259</v>
      </c>
      <c r="F172" s="79" t="n">
        <v>0.1736574074074074</v>
      </c>
      <c r="G172" s="79" t="n">
        <v>0.1121759259259259</v>
      </c>
      <c r="H172" s="79" t="n">
        <v>0.1081365740740741</v>
      </c>
      <c r="I172" s="79" t="n">
        <v>0.1452083333333333</v>
      </c>
      <c r="J172" s="79" t="n">
        <v>0.294675925925926</v>
      </c>
      <c r="K172" s="79" t="n">
        <v>0.1098611111111111</v>
      </c>
      <c r="L172" s="79" t="n">
        <v>0.1537731481481482</v>
      </c>
      <c r="M172" s="79" t="n">
        <v>0.1060416666666667</v>
      </c>
      <c r="N172" s="79" t="n">
        <v>0.1660185185185185</v>
      </c>
      <c r="O172" s="79" t="n">
        <v>0.2022222222222222</v>
      </c>
      <c r="P172" s="79" t="n">
        <v>0.1185069444444444</v>
      </c>
    </row>
    <row r="173" ht="15.75" customHeight="1" s="45">
      <c r="A173" s="57" t="n">
        <v>46126</v>
      </c>
      <c r="B173" s="58" t="inlineStr">
        <is>
          <t>Antes-Projeto</t>
        </is>
      </c>
      <c r="C173" s="59" t="inlineStr">
        <is>
          <t>Acolhim. + Atend. Urgência + Atend. UPA</t>
        </is>
      </c>
      <c r="D173" s="60">
        <f>SUM(D174:D176)</f>
        <v/>
      </c>
      <c r="E173" s="60">
        <f>SUM(E174:E176)</f>
        <v/>
      </c>
      <c r="F173" s="60">
        <f>SUM(F174:F176)</f>
        <v/>
      </c>
      <c r="G173" s="60">
        <f>SUM(G174:G176)</f>
        <v/>
      </c>
      <c r="H173" s="60">
        <f>SUM(H174:H176)</f>
        <v/>
      </c>
      <c r="I173" s="60">
        <f>SUM(I174:I176)</f>
        <v/>
      </c>
      <c r="J173" s="60">
        <f>SUM(J174:J176)</f>
        <v/>
      </c>
      <c r="K173" s="60">
        <f>SUM(K174:K176)</f>
        <v/>
      </c>
      <c r="L173" s="60">
        <f>SUM(L174:L176)</f>
        <v/>
      </c>
      <c r="M173" s="60">
        <f>SUM(M174:M176)</f>
        <v/>
      </c>
      <c r="N173" s="60">
        <f>SUM(N174:N176)</f>
        <v/>
      </c>
      <c r="O173" s="60">
        <f>SUM(O174:O176)</f>
        <v/>
      </c>
      <c r="P173" s="60">
        <f>SUM(P174:P176)</f>
        <v/>
      </c>
    </row>
    <row r="174" ht="15.75" customHeight="1" s="45">
      <c r="A174" s="61" t="n">
        <v>46126</v>
      </c>
      <c r="B174" s="62" t="inlineStr">
        <is>
          <t>Antes-Projeto</t>
        </is>
      </c>
      <c r="C174" s="65" t="inlineStr">
        <is>
          <t>Acolhimento c/ Classif. de Risco</t>
        </is>
      </c>
      <c r="D174" s="66" t="n">
        <v>236</v>
      </c>
      <c r="E174" s="66" t="n">
        <v>181</v>
      </c>
      <c r="F174" s="66" t="n">
        <v>176</v>
      </c>
      <c r="G174" s="66" t="n">
        <v>124</v>
      </c>
      <c r="H174" s="66" t="n">
        <v>145</v>
      </c>
      <c r="I174" s="66" t="n">
        <v>198</v>
      </c>
      <c r="J174" s="66" t="n">
        <v>123</v>
      </c>
      <c r="K174" s="66" t="n">
        <v>351</v>
      </c>
      <c r="L174" s="66" t="n">
        <v>164</v>
      </c>
      <c r="M174" s="66" t="n">
        <v>260</v>
      </c>
      <c r="N174" s="66" t="n">
        <v>211</v>
      </c>
      <c r="O174" s="66" t="n">
        <v>302</v>
      </c>
      <c r="P174" s="66" t="n">
        <v>263</v>
      </c>
    </row>
    <row r="175" ht="15.75" customHeight="1" s="45">
      <c r="A175" s="61" t="n">
        <v>46126</v>
      </c>
      <c r="B175" s="62" t="inlineStr">
        <is>
          <t>Antes-Projeto</t>
        </is>
      </c>
      <c r="C175" s="63" t="inlineStr">
        <is>
          <t>Atend. Urgência Obs. ≤ 24h</t>
        </is>
      </c>
      <c r="D175" s="64" t="n">
        <v>31</v>
      </c>
      <c r="E175" s="64" t="n">
        <v>40</v>
      </c>
      <c r="F175" s="64" t="n">
        <v>24</v>
      </c>
      <c r="G175" s="64" t="n">
        <v>50</v>
      </c>
      <c r="H175" s="64" t="n">
        <v>8</v>
      </c>
      <c r="I175" s="64" t="n">
        <v>14</v>
      </c>
      <c r="J175" s="64" t="n">
        <v>64</v>
      </c>
      <c r="K175" s="64" t="n">
        <v>35</v>
      </c>
      <c r="L175" s="64" t="n">
        <v>30</v>
      </c>
      <c r="M175" s="64" t="n">
        <v>87</v>
      </c>
      <c r="N175" s="64" t="n">
        <v>50</v>
      </c>
      <c r="O175" s="64" t="n">
        <v>21</v>
      </c>
      <c r="P175" s="64" t="n">
        <v>17</v>
      </c>
    </row>
    <row r="176" ht="15.75" customHeight="1" s="45">
      <c r="A176" s="61" t="n">
        <v>46126</v>
      </c>
      <c r="B176" s="62" t="inlineStr">
        <is>
          <t>Antes-Projeto</t>
        </is>
      </c>
      <c r="C176" s="65" t="inlineStr">
        <is>
          <t>Atend. Médico em UPA</t>
        </is>
      </c>
      <c r="D176" s="66" t="n">
        <v>137</v>
      </c>
      <c r="E176" s="66" t="n">
        <v>59</v>
      </c>
      <c r="F176" s="66" t="n">
        <v>103</v>
      </c>
      <c r="G176" s="66" t="n">
        <v>75</v>
      </c>
      <c r="H176" s="66" t="n">
        <v>108</v>
      </c>
      <c r="I176" s="66" t="n">
        <v>134</v>
      </c>
      <c r="J176" s="66" t="n">
        <v>44</v>
      </c>
      <c r="K176" s="66" t="n">
        <v>340</v>
      </c>
      <c r="L176" s="66" t="n">
        <v>88</v>
      </c>
      <c r="M176" s="66" t="n">
        <v>187</v>
      </c>
      <c r="N176" s="66" t="n">
        <v>216</v>
      </c>
      <c r="O176" s="66" t="n">
        <v>209</v>
      </c>
      <c r="P176" s="66" t="n">
        <v>108</v>
      </c>
    </row>
    <row r="177" ht="15.75" customHeight="1" s="45">
      <c r="A177" s="61" t="n">
        <v>46126</v>
      </c>
      <c r="B177" s="62" t="inlineStr">
        <is>
          <t>Antes-Projeto</t>
        </is>
      </c>
      <c r="C177" s="63" t="inlineStr">
        <is>
          <t>Exames Laboratoriais</t>
        </is>
      </c>
      <c r="D177" s="64" t="n">
        <v>760</v>
      </c>
      <c r="E177" s="64" t="n">
        <v>305</v>
      </c>
      <c r="F177" s="64" t="n">
        <v>460</v>
      </c>
      <c r="G177" s="64" t="n">
        <v>348</v>
      </c>
      <c r="H177" s="64" t="n">
        <v>253</v>
      </c>
      <c r="I177" s="64" t="n">
        <v>605</v>
      </c>
      <c r="J177" s="64" t="n">
        <v>263</v>
      </c>
      <c r="K177" s="64" t="n">
        <v>1005</v>
      </c>
      <c r="L177" s="64" t="n">
        <v>686</v>
      </c>
      <c r="M177" s="64" t="n">
        <v>730</v>
      </c>
      <c r="N177" s="64" t="n">
        <v>448</v>
      </c>
      <c r="O177" s="64" t="n">
        <v>525</v>
      </c>
      <c r="P177" s="64" t="n">
        <v>636</v>
      </c>
    </row>
    <row r="178" ht="15.75" customHeight="1" s="45">
      <c r="A178" s="61" t="n">
        <v>46126</v>
      </c>
      <c r="B178" s="62" t="inlineStr">
        <is>
          <t>Antes-Projeto</t>
        </is>
      </c>
      <c r="C178" s="65" t="inlineStr">
        <is>
          <t>Radiografias</t>
        </is>
      </c>
      <c r="D178" s="66" t="n">
        <v>42</v>
      </c>
      <c r="E178" s="66" t="n">
        <v>8</v>
      </c>
      <c r="F178" s="66" t="n">
        <v>41</v>
      </c>
      <c r="G178" s="66" t="n">
        <v>3</v>
      </c>
      <c r="H178" s="66" t="n">
        <v>14</v>
      </c>
      <c r="I178" s="66" t="n">
        <v>23</v>
      </c>
      <c r="J178" s="66" t="n">
        <v>19</v>
      </c>
      <c r="K178" s="66" t="n">
        <v>68</v>
      </c>
      <c r="L178" s="66" t="n">
        <v>37</v>
      </c>
      <c r="M178" s="66" t="n">
        <v>10</v>
      </c>
      <c r="N178" s="66" t="n">
        <v>50</v>
      </c>
      <c r="O178" s="66" t="n">
        <v>71</v>
      </c>
      <c r="P178" s="66" t="n">
        <v>24</v>
      </c>
    </row>
    <row r="179" ht="15.75" customHeight="1" s="45">
      <c r="A179" s="61" t="n">
        <v>46126</v>
      </c>
      <c r="B179" s="62" t="inlineStr">
        <is>
          <t>Antes-Projeto</t>
        </is>
      </c>
      <c r="C179" s="63" t="inlineStr">
        <is>
          <t>Eletrocardiogramas</t>
        </is>
      </c>
      <c r="D179" s="64" t="n">
        <v>19</v>
      </c>
      <c r="E179" s="64" t="n">
        <v>5</v>
      </c>
      <c r="F179" s="64" t="n">
        <v>24</v>
      </c>
      <c r="G179" s="64" t="n">
        <v>13</v>
      </c>
      <c r="H179" s="64" t="n">
        <v>6</v>
      </c>
      <c r="I179" s="64" t="n">
        <v>9</v>
      </c>
      <c r="J179" s="64" t="n">
        <v>11</v>
      </c>
      <c r="K179" s="64" t="n">
        <v>27</v>
      </c>
      <c r="L179" s="64" t="n">
        <v>10</v>
      </c>
      <c r="M179" s="64" t="n">
        <v>15</v>
      </c>
      <c r="N179" s="64" t="n">
        <v>34</v>
      </c>
      <c r="O179" s="64" t="n">
        <v>7</v>
      </c>
      <c r="P179" s="64" t="n">
        <v>15</v>
      </c>
    </row>
    <row r="180" ht="15.75" customHeight="1" s="45">
      <c r="A180" s="61" t="n">
        <v>46126</v>
      </c>
      <c r="B180" s="62" t="inlineStr">
        <is>
          <t>Antes-Projeto</t>
        </is>
      </c>
      <c r="C180" s="68" t="inlineStr">
        <is>
          <t>GAEs Abertas</t>
        </is>
      </c>
      <c r="D180" s="69" t="n">
        <v>256</v>
      </c>
      <c r="E180" s="69" t="n">
        <v>200</v>
      </c>
      <c r="F180" s="69" t="n">
        <v>181</v>
      </c>
      <c r="G180" s="69" t="n">
        <v>152</v>
      </c>
      <c r="H180" s="69" t="n">
        <v>162</v>
      </c>
      <c r="I180" s="69" t="n">
        <v>226</v>
      </c>
      <c r="J180" s="69" t="n">
        <v>132</v>
      </c>
      <c r="K180" s="69" t="n">
        <v>384</v>
      </c>
      <c r="L180" s="69" t="n">
        <v>177</v>
      </c>
      <c r="M180" s="69" t="n">
        <v>300</v>
      </c>
      <c r="N180" s="69" t="n">
        <v>216</v>
      </c>
      <c r="O180" s="69" t="n">
        <v>315</v>
      </c>
      <c r="P180" s="69" t="n">
        <v>271</v>
      </c>
    </row>
    <row r="181" ht="15.75" customHeight="1" s="45">
      <c r="A181" s="61" t="n">
        <v>46126</v>
      </c>
      <c r="B181" s="62" t="inlineStr">
        <is>
          <t>Antes-Projeto</t>
        </is>
      </c>
      <c r="C181" s="68" t="inlineStr">
        <is>
          <t>GAEs Classificadas</t>
        </is>
      </c>
      <c r="D181" s="69" t="n">
        <v>238</v>
      </c>
      <c r="E181" s="69" t="n">
        <v>181</v>
      </c>
      <c r="F181" s="69" t="n">
        <v>175</v>
      </c>
      <c r="G181" s="69" t="n">
        <v>124</v>
      </c>
      <c r="H181" s="69" t="n">
        <v>145</v>
      </c>
      <c r="I181" s="69" t="n">
        <v>197</v>
      </c>
      <c r="J181" s="69" t="n">
        <v>123</v>
      </c>
      <c r="K181" s="69" t="n">
        <v>348</v>
      </c>
      <c r="L181" s="69" t="n">
        <v>165</v>
      </c>
      <c r="M181" s="69" t="n">
        <v>255</v>
      </c>
      <c r="N181" s="69" t="n">
        <v>198</v>
      </c>
      <c r="O181" s="69" t="n">
        <v>300</v>
      </c>
      <c r="P181" s="69" t="n">
        <v>258</v>
      </c>
    </row>
    <row r="182" ht="15.75" customHeight="1" s="45">
      <c r="A182" s="61" t="n">
        <v>46126</v>
      </c>
      <c r="B182" s="62" t="inlineStr">
        <is>
          <t>Antes-Projeto</t>
        </is>
      </c>
      <c r="C182" s="70" t="inlineStr">
        <is>
          <t>Percentual de GAEs abertas classificadas</t>
        </is>
      </c>
      <c r="D182" s="71">
        <f>IFERROR(D181/D180,"-")</f>
        <v/>
      </c>
      <c r="E182" s="71">
        <f>IFERROR(E181/E180,"-")</f>
        <v/>
      </c>
      <c r="F182" s="71">
        <f>IFERROR(F181/F180,"-")</f>
        <v/>
      </c>
      <c r="G182" s="71">
        <f>IFERROR(G181/G180,"-")</f>
        <v/>
      </c>
      <c r="H182" s="71">
        <f>IFERROR(H181/H180,"-")</f>
        <v/>
      </c>
      <c r="I182" s="71">
        <f>IFERROR(I181/I180,"-")</f>
        <v/>
      </c>
      <c r="J182" s="71">
        <f>IFERROR(J181/J180,"-")</f>
        <v/>
      </c>
      <c r="K182" s="71">
        <f>IFERROR(K181/K180,"-")</f>
        <v/>
      </c>
      <c r="L182" s="71">
        <f>IFERROR(L181/L180,"-")</f>
        <v/>
      </c>
      <c r="M182" s="71">
        <f>IFERROR(M181/M180,"-")</f>
        <v/>
      </c>
      <c r="N182" s="71">
        <f>IFERROR(N181/N180,"-")</f>
        <v/>
      </c>
      <c r="O182" s="71">
        <f>IFERROR(O181/O180,"-")</f>
        <v/>
      </c>
      <c r="P182" s="71">
        <f>IFERROR(P181/P180,"-")</f>
        <v/>
      </c>
    </row>
    <row r="183" ht="15.75" customHeight="1" s="45">
      <c r="A183" s="61" t="n">
        <v>46126</v>
      </c>
      <c r="B183" s="62" t="inlineStr">
        <is>
          <t>Antes-Projeto</t>
        </is>
      </c>
      <c r="C183" s="72" t="inlineStr">
        <is>
          <t>Tempo Médio — 🟡 Amarelo (hh:mm)</t>
        </is>
      </c>
      <c r="D183" s="73" t="n">
        <v>0.06584490740740741</v>
      </c>
      <c r="E183" s="73" t="n">
        <v>0.5571064814814815</v>
      </c>
      <c r="F183" s="73" t="n">
        <v>0.03961805555555555</v>
      </c>
      <c r="G183" s="73" t="n">
        <v>0.0662962962962963</v>
      </c>
      <c r="H183" s="73" t="n">
        <v>0.02862268518518519</v>
      </c>
      <c r="I183" s="73" t="n">
        <v>0.08519675925925926</v>
      </c>
      <c r="J183" s="73" t="n">
        <v>0.04907407407407408</v>
      </c>
      <c r="K183" s="73" t="n">
        <v>0.06607638888888889</v>
      </c>
      <c r="L183" s="73" t="n">
        <v>0.1873958333333333</v>
      </c>
      <c r="M183" s="73" t="n">
        <v>0.050625</v>
      </c>
      <c r="N183" s="73" t="n">
        <v>0.08126157407407407</v>
      </c>
      <c r="O183" s="73" t="n">
        <v>0.08972222222222222</v>
      </c>
      <c r="P183" s="73" t="n">
        <v>0.07484953703703703</v>
      </c>
    </row>
    <row r="184" ht="15.75" customHeight="1" s="45">
      <c r="A184" s="61" t="n">
        <v>46126</v>
      </c>
      <c r="B184" s="62" t="inlineStr">
        <is>
          <t>Antes-Projeto</t>
        </is>
      </c>
      <c r="C184" s="74" t="inlineStr">
        <is>
          <t>Tempo Médio — 🟠 Laranja (hh:mm)</t>
        </is>
      </c>
      <c r="D184" s="75" t="n">
        <v>0.008784722222222222</v>
      </c>
      <c r="E184" s="75" t="n">
        <v>0.009525462962962963</v>
      </c>
      <c r="F184" s="75" t="n">
        <v>0.006875</v>
      </c>
      <c r="G184" s="75" t="n">
        <v>0.006666666666666667</v>
      </c>
      <c r="H184" s="75" t="n">
        <v>0.007048611111111111</v>
      </c>
      <c r="I184" s="75" t="n">
        <v>0.01313657407407407</v>
      </c>
      <c r="J184" s="75" t="n">
        <v>0.01001157407407407</v>
      </c>
      <c r="K184" s="75" t="n">
        <v>0.01769675925925926</v>
      </c>
      <c r="L184" s="75" t="n">
        <v>0.01417824074074074</v>
      </c>
      <c r="M184" s="75" t="n">
        <v>0.01119212962962963</v>
      </c>
      <c r="N184" s="75" t="n">
        <v>0.01351851851851852</v>
      </c>
      <c r="O184" s="75" t="n">
        <v>0.01876157407407407</v>
      </c>
      <c r="P184" s="75" t="n">
        <v>0.0121412037037037</v>
      </c>
    </row>
    <row r="185" ht="15.75" customHeight="1" s="45">
      <c r="A185" s="76" t="n">
        <v>46126</v>
      </c>
      <c r="B185" s="77" t="inlineStr">
        <is>
          <t>Antes-Projeto</t>
        </is>
      </c>
      <c r="C185" s="78" t="inlineStr">
        <is>
          <t>Tempo Médio — 🟢 Verde   (hh:mm)</t>
        </is>
      </c>
      <c r="D185" s="79" t="n">
        <v>0.1165972222222222</v>
      </c>
      <c r="E185" s="79" t="n">
        <v>0.04042824074074074</v>
      </c>
      <c r="F185" s="79" t="n">
        <v>0.1164699074074074</v>
      </c>
      <c r="G185" s="79" t="n">
        <v>0.1529166666666667</v>
      </c>
      <c r="H185" s="79" t="n">
        <v>0.1277546296296296</v>
      </c>
      <c r="I185" s="79" t="n">
        <v>0.1273611111111111</v>
      </c>
      <c r="J185" s="79" t="n">
        <v>0.09042824074074074</v>
      </c>
      <c r="K185" s="79" t="n">
        <v>0.1138541666666667</v>
      </c>
      <c r="L185" s="79" t="n">
        <v>0.2078356481481481</v>
      </c>
      <c r="M185" s="79" t="n">
        <v>0.112337962962963</v>
      </c>
      <c r="N185" s="79" t="n">
        <v>0.07025462962962963</v>
      </c>
      <c r="O185" s="79" t="n">
        <v>0.1931828703703704</v>
      </c>
      <c r="P185" s="79" t="n">
        <v>0.183587962962963</v>
      </c>
    </row>
    <row r="186" ht="15.75" customHeight="1" s="45">
      <c r="A186" s="57" t="n">
        <v>46127</v>
      </c>
      <c r="B186" s="58" t="inlineStr">
        <is>
          <t>Antes-Projeto</t>
        </is>
      </c>
      <c r="C186" s="59" t="inlineStr">
        <is>
          <t>Acolhim. + Atend. Urgência + Atend. UPA</t>
        </is>
      </c>
      <c r="D186" s="60">
        <f>SUM(D187:D189)</f>
        <v/>
      </c>
      <c r="E186" s="60">
        <f>SUM(E187:E189)</f>
        <v/>
      </c>
      <c r="F186" s="60">
        <f>SUM(F187:F189)</f>
        <v/>
      </c>
      <c r="G186" s="60">
        <f>SUM(G187:G189)</f>
        <v/>
      </c>
      <c r="H186" s="60">
        <f>SUM(H187:H189)</f>
        <v/>
      </c>
      <c r="I186" s="60">
        <f>SUM(I187:I189)</f>
        <v/>
      </c>
      <c r="J186" s="60">
        <f>SUM(J187:J189)</f>
        <v/>
      </c>
      <c r="K186" s="60">
        <f>SUM(K187:K189)</f>
        <v/>
      </c>
      <c r="L186" s="60">
        <f>SUM(L187:L189)</f>
        <v/>
      </c>
      <c r="M186" s="60">
        <f>SUM(M187:M189)</f>
        <v/>
      </c>
      <c r="N186" s="60">
        <f>SUM(N187:N189)</f>
        <v/>
      </c>
      <c r="O186" s="60">
        <f>SUM(O187:O189)</f>
        <v/>
      </c>
      <c r="P186" s="60">
        <f>SUM(P187:P189)</f>
        <v/>
      </c>
    </row>
    <row r="187" ht="15.75" customHeight="1" s="45">
      <c r="A187" s="61" t="n">
        <v>46127</v>
      </c>
      <c r="B187" s="62" t="inlineStr">
        <is>
          <t>Antes-Projeto</t>
        </is>
      </c>
      <c r="C187" s="63" t="inlineStr">
        <is>
          <t>Acolhimento c/ Classif. de Risco</t>
        </is>
      </c>
      <c r="D187" s="64" t="n">
        <v>250</v>
      </c>
      <c r="E187" s="64" t="n">
        <v>164</v>
      </c>
      <c r="F187" s="64" t="n">
        <v>187</v>
      </c>
      <c r="G187" s="64" t="n">
        <v>131</v>
      </c>
      <c r="H187" s="64" t="n">
        <v>144</v>
      </c>
      <c r="I187" s="64" t="n">
        <v>213</v>
      </c>
      <c r="J187" s="64" t="n">
        <v>108</v>
      </c>
      <c r="K187" s="64" t="n">
        <v>352</v>
      </c>
      <c r="L187" s="64" t="n">
        <v>157</v>
      </c>
      <c r="M187" s="64" t="n">
        <v>263</v>
      </c>
      <c r="N187" s="64" t="n">
        <v>237</v>
      </c>
      <c r="O187" s="64" t="n">
        <v>307</v>
      </c>
      <c r="P187" s="64" t="n">
        <v>242</v>
      </c>
    </row>
    <row r="188" ht="15.75" customHeight="1" s="45">
      <c r="A188" s="61" t="n">
        <v>46127</v>
      </c>
      <c r="B188" s="62" t="inlineStr">
        <is>
          <t>Antes-Projeto</t>
        </is>
      </c>
      <c r="C188" s="65" t="inlineStr">
        <is>
          <t>Atend. Urgência Obs. ≤ 24h</t>
        </is>
      </c>
      <c r="D188" s="66" t="n">
        <v>20</v>
      </c>
      <c r="E188" s="66" t="n">
        <v>27</v>
      </c>
      <c r="F188" s="66" t="n">
        <v>21</v>
      </c>
      <c r="G188" s="66" t="n">
        <v>53</v>
      </c>
      <c r="H188" s="66" t="n">
        <v>7</v>
      </c>
      <c r="I188" s="66" t="n">
        <v>19</v>
      </c>
      <c r="J188" s="66" t="n">
        <v>51</v>
      </c>
      <c r="K188" s="66" t="n">
        <v>45</v>
      </c>
      <c r="L188" s="66" t="n">
        <v>44</v>
      </c>
      <c r="M188" s="66" t="n">
        <v>48</v>
      </c>
      <c r="N188" s="66" t="n">
        <v>74</v>
      </c>
      <c r="O188" s="66" t="n">
        <v>16</v>
      </c>
      <c r="P188" s="66" t="n">
        <v>34</v>
      </c>
    </row>
    <row r="189" ht="15.75" customHeight="1" s="45">
      <c r="A189" s="61" t="n">
        <v>46127</v>
      </c>
      <c r="B189" s="62" t="inlineStr">
        <is>
          <t>Antes-Projeto</t>
        </is>
      </c>
      <c r="C189" s="63" t="inlineStr">
        <is>
          <t>Atend. Médico em UPA</t>
        </is>
      </c>
      <c r="D189" s="64" t="n">
        <v>171</v>
      </c>
      <c r="E189" s="64" t="n">
        <v>62</v>
      </c>
      <c r="F189" s="64" t="n">
        <v>116</v>
      </c>
      <c r="G189" s="64" t="n">
        <v>80</v>
      </c>
      <c r="H189" s="64" t="n">
        <v>91</v>
      </c>
      <c r="I189" s="64" t="n">
        <v>166</v>
      </c>
      <c r="J189" s="64" t="n">
        <v>77</v>
      </c>
      <c r="K189" s="64" t="n">
        <v>264</v>
      </c>
      <c r="L189" s="64" t="n">
        <v>84</v>
      </c>
      <c r="M189" s="64" t="n">
        <v>114</v>
      </c>
      <c r="N189" s="64" t="n">
        <v>227</v>
      </c>
      <c r="O189" s="64" t="n">
        <v>138</v>
      </c>
      <c r="P189" s="64" t="n">
        <v>79</v>
      </c>
    </row>
    <row r="190" ht="15.75" customHeight="1" s="45">
      <c r="A190" s="61" t="n">
        <v>46127</v>
      </c>
      <c r="B190" s="62" t="inlineStr">
        <is>
          <t>Antes-Projeto</t>
        </is>
      </c>
      <c r="C190" s="65" t="inlineStr">
        <is>
          <t>Exames Laboratoriais</t>
        </is>
      </c>
      <c r="D190" s="66" t="n">
        <v>471</v>
      </c>
      <c r="E190" s="66" t="n">
        <v>232</v>
      </c>
      <c r="F190" s="66" t="n">
        <v>398</v>
      </c>
      <c r="G190" s="66" t="n">
        <v>278</v>
      </c>
      <c r="H190" s="66" t="n">
        <v>349</v>
      </c>
      <c r="I190" s="66" t="n">
        <v>683</v>
      </c>
      <c r="J190" s="66" t="n">
        <v>305</v>
      </c>
      <c r="K190" s="66" t="n">
        <v>822</v>
      </c>
      <c r="L190" s="66" t="n">
        <v>582</v>
      </c>
      <c r="M190" s="66" t="n">
        <v>732</v>
      </c>
      <c r="N190" s="66" t="n">
        <v>536</v>
      </c>
      <c r="O190" s="66" t="n">
        <v>401</v>
      </c>
      <c r="P190" s="66" t="n">
        <v>409</v>
      </c>
    </row>
    <row r="191" ht="15.75" customHeight="1" s="45">
      <c r="A191" s="61" t="n">
        <v>46127</v>
      </c>
      <c r="B191" s="62" t="inlineStr">
        <is>
          <t>Antes-Projeto</t>
        </is>
      </c>
      <c r="C191" s="63" t="inlineStr">
        <is>
          <t>Radiografias</t>
        </is>
      </c>
      <c r="D191" s="64" t="n">
        <v>29</v>
      </c>
      <c r="E191" s="64" t="n">
        <v>20</v>
      </c>
      <c r="F191" s="64" t="n">
        <v>31</v>
      </c>
      <c r="G191" s="67" t="n">
        <v>0</v>
      </c>
      <c r="H191" s="64" t="n">
        <v>18</v>
      </c>
      <c r="I191" s="64" t="n">
        <v>31</v>
      </c>
      <c r="J191" s="64" t="n">
        <v>13</v>
      </c>
      <c r="K191" s="64" t="n">
        <v>2</v>
      </c>
      <c r="L191" s="64" t="n">
        <v>22</v>
      </c>
      <c r="M191" s="67" t="n">
        <v>0</v>
      </c>
      <c r="N191" s="64" t="n">
        <v>48</v>
      </c>
      <c r="O191" s="64" t="n">
        <v>44</v>
      </c>
      <c r="P191" s="64" t="n">
        <v>28</v>
      </c>
    </row>
    <row r="192" ht="15.75" customHeight="1" s="45">
      <c r="A192" s="61" t="n">
        <v>46127</v>
      </c>
      <c r="B192" s="62" t="inlineStr">
        <is>
          <t>Antes-Projeto</t>
        </is>
      </c>
      <c r="C192" s="65" t="inlineStr">
        <is>
          <t>Eletrocardiogramas</t>
        </is>
      </c>
      <c r="D192" s="66" t="n">
        <v>11</v>
      </c>
      <c r="E192" s="66" t="n">
        <v>13</v>
      </c>
      <c r="F192" s="66" t="n">
        <v>17</v>
      </c>
      <c r="G192" s="66" t="n">
        <v>12</v>
      </c>
      <c r="H192" s="66" t="n">
        <v>6</v>
      </c>
      <c r="I192" s="66" t="n">
        <v>13</v>
      </c>
      <c r="J192" s="66" t="n">
        <v>9</v>
      </c>
      <c r="K192" s="66" t="n">
        <v>15</v>
      </c>
      <c r="L192" s="66" t="n">
        <v>19</v>
      </c>
      <c r="M192" s="66" t="n">
        <v>18</v>
      </c>
      <c r="N192" s="66" t="n">
        <v>26</v>
      </c>
      <c r="O192" s="66" t="n">
        <v>13</v>
      </c>
      <c r="P192" s="66" t="n">
        <v>17</v>
      </c>
    </row>
    <row r="193" ht="15.75" customHeight="1" s="45">
      <c r="A193" s="61" t="n">
        <v>46127</v>
      </c>
      <c r="B193" s="62" t="inlineStr">
        <is>
          <t>Antes-Projeto</t>
        </is>
      </c>
      <c r="C193" s="68" t="inlineStr">
        <is>
          <t>GAEs Abertas</t>
        </is>
      </c>
      <c r="D193" s="69" t="n">
        <v>254</v>
      </c>
      <c r="E193" s="69" t="n">
        <v>170</v>
      </c>
      <c r="F193" s="69" t="n">
        <v>195</v>
      </c>
      <c r="G193" s="69" t="n">
        <v>148</v>
      </c>
      <c r="H193" s="69" t="n">
        <v>149</v>
      </c>
      <c r="I193" s="69" t="n">
        <v>234</v>
      </c>
      <c r="J193" s="69" t="n">
        <v>109</v>
      </c>
      <c r="K193" s="69" t="n">
        <v>390</v>
      </c>
      <c r="L193" s="69" t="n">
        <v>163</v>
      </c>
      <c r="M193" s="69" t="n">
        <v>276</v>
      </c>
      <c r="N193" s="69" t="n">
        <v>240</v>
      </c>
      <c r="O193" s="69" t="n">
        <v>328</v>
      </c>
      <c r="P193" s="69" t="n">
        <v>245</v>
      </c>
    </row>
    <row r="194" ht="15.75" customHeight="1" s="45">
      <c r="A194" s="61" t="n">
        <v>46127</v>
      </c>
      <c r="B194" s="62" t="inlineStr">
        <is>
          <t>Antes-Projeto</t>
        </is>
      </c>
      <c r="C194" s="68" t="inlineStr">
        <is>
          <t>GAEs Classificadas</t>
        </is>
      </c>
      <c r="D194" s="69" t="n">
        <v>244</v>
      </c>
      <c r="E194" s="69" t="n">
        <v>163</v>
      </c>
      <c r="F194" s="69" t="n">
        <v>187</v>
      </c>
      <c r="G194" s="69" t="n">
        <v>131</v>
      </c>
      <c r="H194" s="69" t="n">
        <v>145</v>
      </c>
      <c r="I194" s="69" t="n">
        <v>213</v>
      </c>
      <c r="J194" s="69" t="n">
        <v>107</v>
      </c>
      <c r="K194" s="69" t="n">
        <v>353</v>
      </c>
      <c r="L194" s="69" t="n">
        <v>157</v>
      </c>
      <c r="M194" s="69" t="n">
        <v>256</v>
      </c>
      <c r="N194" s="69" t="n">
        <v>223</v>
      </c>
      <c r="O194" s="69" t="n">
        <v>306</v>
      </c>
      <c r="P194" s="69" t="n">
        <v>241</v>
      </c>
    </row>
    <row r="195" ht="15.75" customHeight="1" s="45">
      <c r="A195" s="61" t="n">
        <v>46127</v>
      </c>
      <c r="B195" s="62" t="inlineStr">
        <is>
          <t>Antes-Projeto</t>
        </is>
      </c>
      <c r="C195" s="70" t="inlineStr">
        <is>
          <t>Percentual de GAEs abertas classificadas</t>
        </is>
      </c>
      <c r="D195" s="71">
        <f>IFERROR(D194/D193,"-")</f>
        <v/>
      </c>
      <c r="E195" s="71">
        <f>IFERROR(E194/E193,"-")</f>
        <v/>
      </c>
      <c r="F195" s="71">
        <f>IFERROR(F194/F193,"-")</f>
        <v/>
      </c>
      <c r="G195" s="71">
        <f>IFERROR(G194/G193,"-")</f>
        <v/>
      </c>
      <c r="H195" s="71">
        <f>IFERROR(H194/H193,"-")</f>
        <v/>
      </c>
      <c r="I195" s="71">
        <f>IFERROR(I194/I193,"-")</f>
        <v/>
      </c>
      <c r="J195" s="71">
        <f>IFERROR(J194/J193,"-")</f>
        <v/>
      </c>
      <c r="K195" s="71">
        <f>IFERROR(K194/K193,"-")</f>
        <v/>
      </c>
      <c r="L195" s="71">
        <f>IFERROR(L194/L193,"-")</f>
        <v/>
      </c>
      <c r="M195" s="71">
        <f>IFERROR(M194/M193,"-")</f>
        <v/>
      </c>
      <c r="N195" s="71">
        <f>IFERROR(N194/N193,"-")</f>
        <v/>
      </c>
      <c r="O195" s="71">
        <f>IFERROR(O194/O193,"-")</f>
        <v/>
      </c>
      <c r="P195" s="71">
        <f>IFERROR(P194/P193,"-")</f>
        <v/>
      </c>
    </row>
    <row r="196" ht="15.75" customHeight="1" s="45">
      <c r="A196" s="61" t="n">
        <v>46127</v>
      </c>
      <c r="B196" s="62" t="inlineStr">
        <is>
          <t>Antes-Projeto</t>
        </is>
      </c>
      <c r="C196" s="72" t="inlineStr">
        <is>
          <t>Tempo Médio — 🟡 Amarelo (hh:mm)</t>
        </is>
      </c>
      <c r="D196" s="73" t="n">
        <v>0.1188773148148148</v>
      </c>
      <c r="E196" s="73" t="n">
        <v>0.1448726851851852</v>
      </c>
      <c r="F196" s="73" t="n">
        <v>0.09302083333333333</v>
      </c>
      <c r="G196" s="73" t="n">
        <v>0.05380787037037037</v>
      </c>
      <c r="H196" s="73" t="n">
        <v>0.06268518518518519</v>
      </c>
      <c r="I196" s="73" t="n">
        <v>0.07629629629629629</v>
      </c>
      <c r="J196" s="73" t="n">
        <v>0.03291666666666666</v>
      </c>
      <c r="K196" s="73" t="n">
        <v>0.1213773148148148</v>
      </c>
      <c r="L196" s="73" t="n">
        <v>0.1565162037037037</v>
      </c>
      <c r="M196" s="73" t="n">
        <v>0.04457175925925926</v>
      </c>
      <c r="N196" s="73" t="n">
        <v>0.06142361111111111</v>
      </c>
      <c r="O196" s="73" t="n">
        <v>0.1109606481481481</v>
      </c>
      <c r="P196" s="73" t="n">
        <v>0.1320717592592593</v>
      </c>
    </row>
    <row r="197" ht="15.75" customHeight="1" s="45">
      <c r="A197" s="61" t="n">
        <v>46127</v>
      </c>
      <c r="B197" s="62" t="inlineStr">
        <is>
          <t>Antes-Projeto</t>
        </is>
      </c>
      <c r="C197" s="74" t="inlineStr">
        <is>
          <t>Tempo Médio — 🟠 Laranja (hh:mm)</t>
        </is>
      </c>
      <c r="D197" s="75" t="n">
        <v>0.01413194444444445</v>
      </c>
      <c r="E197" s="75" t="n">
        <v>0.01443287037037037</v>
      </c>
      <c r="F197" s="75" t="n">
        <v>0.006226851851851851</v>
      </c>
      <c r="G197" s="75" t="n">
        <v>0.01194444444444445</v>
      </c>
      <c r="H197" s="75" t="n">
        <v>0.006041666666666667</v>
      </c>
      <c r="I197" s="75" t="n">
        <v>0.004270833333333333</v>
      </c>
      <c r="J197" s="75" t="n">
        <v>0.009212962962962963</v>
      </c>
      <c r="K197" s="75" t="n">
        <v>0.01377314814814815</v>
      </c>
      <c r="L197" s="75" t="n">
        <v>0.01715277777777778</v>
      </c>
      <c r="M197" s="75" t="n">
        <v>0.01258101851851852</v>
      </c>
      <c r="N197" s="75" t="n">
        <v>0.009548611111111112</v>
      </c>
      <c r="O197" s="75" t="n">
        <v>0.01934027777777778</v>
      </c>
      <c r="P197" s="75" t="n">
        <v>0.02086805555555556</v>
      </c>
    </row>
    <row r="198" ht="15.75" customHeight="1" s="45">
      <c r="A198" s="76" t="n">
        <v>46127</v>
      </c>
      <c r="B198" s="77" t="inlineStr">
        <is>
          <t>Antes-Projeto</t>
        </is>
      </c>
      <c r="C198" s="78" t="inlineStr">
        <is>
          <t>Tempo Médio — 🟢 Verde   (hh:mm)</t>
        </is>
      </c>
      <c r="D198" s="79" t="n">
        <v>0.06569444444444444</v>
      </c>
      <c r="E198" s="79" t="n">
        <v>0.2441087962962963</v>
      </c>
      <c r="F198" s="79" t="n">
        <v>0.1518055555555556</v>
      </c>
      <c r="G198" s="79" t="n">
        <v>0.06972222222222223</v>
      </c>
      <c r="H198" s="79" t="n">
        <v>0.1244444444444444</v>
      </c>
      <c r="I198" s="79" t="n">
        <v>0.2180208333333333</v>
      </c>
      <c r="J198" s="79" t="n">
        <v>0.2871412037037037</v>
      </c>
      <c r="K198" s="79" t="n">
        <v>0.1084143518518518</v>
      </c>
      <c r="L198" s="79" t="n">
        <v>0.1605902777777778</v>
      </c>
      <c r="M198" s="79" t="n">
        <v>0.07954861111111111</v>
      </c>
      <c r="N198" s="79" t="n">
        <v>0.1241203703703704</v>
      </c>
      <c r="O198" s="79" t="n">
        <v>0.1380671296296296</v>
      </c>
      <c r="P198" s="79" t="n">
        <v>0.07347222222222222</v>
      </c>
    </row>
    <row r="199" ht="15.75" customHeight="1" s="45">
      <c r="A199" s="57" t="n">
        <v>46128</v>
      </c>
      <c r="B199" s="58" t="inlineStr">
        <is>
          <t>Antes-Projeto</t>
        </is>
      </c>
      <c r="C199" s="59" t="inlineStr">
        <is>
          <t>Acolhim. + Atend. Urgência + Atend. UPA</t>
        </is>
      </c>
      <c r="D199" s="60">
        <f>SUM(D200:D202)</f>
        <v/>
      </c>
      <c r="E199" s="60">
        <f>SUM(E200:E202)</f>
        <v/>
      </c>
      <c r="F199" s="60">
        <f>SUM(F200:F202)</f>
        <v/>
      </c>
      <c r="G199" s="60">
        <f>SUM(G200:G202)</f>
        <v/>
      </c>
      <c r="H199" s="60">
        <f>SUM(H200:H202)</f>
        <v/>
      </c>
      <c r="I199" s="60">
        <f>SUM(I200:I202)</f>
        <v/>
      </c>
      <c r="J199" s="60">
        <f>SUM(J200:J202)</f>
        <v/>
      </c>
      <c r="K199" s="60">
        <f>SUM(K200:K202)</f>
        <v/>
      </c>
      <c r="L199" s="60">
        <f>SUM(L200:L202)</f>
        <v/>
      </c>
      <c r="M199" s="60">
        <f>SUM(M200:M202)</f>
        <v/>
      </c>
      <c r="N199" s="60">
        <f>SUM(N200:N202)</f>
        <v/>
      </c>
      <c r="O199" s="60">
        <f>SUM(O200:O202)</f>
        <v/>
      </c>
      <c r="P199" s="60">
        <f>SUM(P200:P202)</f>
        <v/>
      </c>
    </row>
    <row r="200" ht="15.75" customHeight="1" s="45">
      <c r="A200" s="61" t="n">
        <v>46128</v>
      </c>
      <c r="B200" s="62" t="inlineStr">
        <is>
          <t>Antes-Projeto</t>
        </is>
      </c>
      <c r="C200" s="65" t="inlineStr">
        <is>
          <t>Acolhimento c/ Classif. de Risco</t>
        </is>
      </c>
      <c r="D200" s="66" t="n">
        <v>236</v>
      </c>
      <c r="E200" s="66" t="n">
        <v>148</v>
      </c>
      <c r="F200" s="66" t="n">
        <v>181</v>
      </c>
      <c r="G200" s="66" t="n">
        <v>160</v>
      </c>
      <c r="H200" s="66" t="n">
        <v>140</v>
      </c>
      <c r="I200" s="66" t="n">
        <v>216</v>
      </c>
      <c r="J200" s="66" t="n">
        <v>111</v>
      </c>
      <c r="K200" s="66" t="n">
        <v>291</v>
      </c>
      <c r="L200" s="66" t="n">
        <v>151</v>
      </c>
      <c r="M200" s="66" t="n">
        <v>270</v>
      </c>
      <c r="N200" s="66" t="n">
        <v>193</v>
      </c>
      <c r="O200" s="66" t="n">
        <v>305</v>
      </c>
      <c r="P200" s="66" t="n">
        <v>206</v>
      </c>
    </row>
    <row r="201" ht="15.75" customHeight="1" s="45">
      <c r="A201" s="61" t="n">
        <v>46128</v>
      </c>
      <c r="B201" s="62" t="inlineStr">
        <is>
          <t>Antes-Projeto</t>
        </is>
      </c>
      <c r="C201" s="63" t="inlineStr">
        <is>
          <t>Atend. Urgência Obs. ≤ 24h</t>
        </is>
      </c>
      <c r="D201" s="64" t="n">
        <v>27</v>
      </c>
      <c r="E201" s="64" t="n">
        <v>41</v>
      </c>
      <c r="F201" s="64" t="n">
        <v>15</v>
      </c>
      <c r="G201" s="64" t="n">
        <v>201</v>
      </c>
      <c r="H201" s="64" t="n">
        <v>12</v>
      </c>
      <c r="I201" s="64" t="n">
        <v>34</v>
      </c>
      <c r="J201" s="64" t="n">
        <v>188</v>
      </c>
      <c r="K201" s="64" t="n">
        <v>37</v>
      </c>
      <c r="L201" s="64" t="n">
        <v>48</v>
      </c>
      <c r="M201" s="64" t="n">
        <v>64</v>
      </c>
      <c r="N201" s="64" t="n">
        <v>39</v>
      </c>
      <c r="O201" s="64" t="n">
        <v>26</v>
      </c>
      <c r="P201" s="64" t="n">
        <v>26</v>
      </c>
    </row>
    <row r="202" ht="15.75" customHeight="1" s="45">
      <c r="A202" s="61" t="n">
        <v>46128</v>
      </c>
      <c r="B202" s="62" t="inlineStr">
        <is>
          <t>Antes-Projeto</t>
        </is>
      </c>
      <c r="C202" s="65" t="inlineStr">
        <is>
          <t>Atend. Médico em UPA</t>
        </is>
      </c>
      <c r="D202" s="66" t="n">
        <v>233</v>
      </c>
      <c r="E202" s="66" t="n">
        <v>77</v>
      </c>
      <c r="F202" s="66" t="n">
        <v>126</v>
      </c>
      <c r="G202" s="66" t="n">
        <v>60</v>
      </c>
      <c r="H202" s="66" t="n">
        <v>75</v>
      </c>
      <c r="I202" s="66" t="n">
        <v>174</v>
      </c>
      <c r="J202" s="66" t="n">
        <v>65</v>
      </c>
      <c r="K202" s="66" t="n">
        <v>248</v>
      </c>
      <c r="L202" s="66" t="n">
        <v>105</v>
      </c>
      <c r="M202" s="66" t="n">
        <v>152</v>
      </c>
      <c r="N202" s="66" t="n">
        <v>181</v>
      </c>
      <c r="O202" s="66" t="n">
        <v>235</v>
      </c>
      <c r="P202" s="66" t="n">
        <v>54</v>
      </c>
    </row>
    <row r="203" ht="15.75" customHeight="1" s="45">
      <c r="A203" s="61" t="n">
        <v>46128</v>
      </c>
      <c r="B203" s="62" t="inlineStr">
        <is>
          <t>Antes-Projeto</t>
        </is>
      </c>
      <c r="C203" s="63" t="inlineStr">
        <is>
          <t>Exames Laboratoriais</t>
        </is>
      </c>
      <c r="D203" s="64" t="n">
        <v>737</v>
      </c>
      <c r="E203" s="64" t="n">
        <v>286</v>
      </c>
      <c r="F203" s="64" t="n">
        <v>479</v>
      </c>
      <c r="G203" s="64" t="n">
        <v>261</v>
      </c>
      <c r="H203" s="64" t="n">
        <v>301</v>
      </c>
      <c r="I203" s="64" t="n">
        <v>641</v>
      </c>
      <c r="J203" s="64" t="n">
        <v>225</v>
      </c>
      <c r="K203" s="64" t="n">
        <v>907</v>
      </c>
      <c r="L203" s="64" t="n">
        <v>706</v>
      </c>
      <c r="M203" s="64" t="n">
        <v>699</v>
      </c>
      <c r="N203" s="64" t="n">
        <v>898</v>
      </c>
      <c r="O203" s="64" t="n">
        <v>439</v>
      </c>
      <c r="P203" s="64" t="n">
        <v>411</v>
      </c>
    </row>
    <row r="204" ht="15.75" customHeight="1" s="45">
      <c r="A204" s="61" t="n">
        <v>46128</v>
      </c>
      <c r="B204" s="62" t="inlineStr">
        <is>
          <t>Antes-Projeto</t>
        </is>
      </c>
      <c r="C204" s="65" t="inlineStr">
        <is>
          <t>Radiografias</t>
        </is>
      </c>
      <c r="D204" s="66" t="n">
        <v>34</v>
      </c>
      <c r="E204" s="66" t="n">
        <v>17</v>
      </c>
      <c r="F204" s="66" t="n">
        <v>34</v>
      </c>
      <c r="G204" s="66" t="n">
        <v>4</v>
      </c>
      <c r="H204" s="66" t="n">
        <v>14</v>
      </c>
      <c r="I204" s="66" t="n">
        <v>28</v>
      </c>
      <c r="J204" s="66" t="n">
        <v>23</v>
      </c>
      <c r="K204" s="66" t="n">
        <v>8</v>
      </c>
      <c r="L204" s="66" t="n">
        <v>7</v>
      </c>
      <c r="M204" s="67" t="n">
        <v>0</v>
      </c>
      <c r="N204" s="67" t="n">
        <v>0</v>
      </c>
      <c r="O204" s="66" t="n">
        <v>47</v>
      </c>
      <c r="P204" s="66" t="n">
        <v>25</v>
      </c>
    </row>
    <row r="205" ht="15.75" customHeight="1" s="45">
      <c r="A205" s="61" t="n">
        <v>46128</v>
      </c>
      <c r="B205" s="62" t="inlineStr">
        <is>
          <t>Antes-Projeto</t>
        </is>
      </c>
      <c r="C205" s="63" t="inlineStr">
        <is>
          <t>Eletrocardiogramas</t>
        </is>
      </c>
      <c r="D205" s="64" t="n">
        <v>17</v>
      </c>
      <c r="E205" s="64" t="n">
        <v>9</v>
      </c>
      <c r="F205" s="64" t="n">
        <v>19</v>
      </c>
      <c r="G205" s="64" t="n">
        <v>14</v>
      </c>
      <c r="H205" s="64" t="n">
        <v>4</v>
      </c>
      <c r="I205" s="64" t="n">
        <v>9</v>
      </c>
      <c r="J205" s="64" t="n">
        <v>2</v>
      </c>
      <c r="K205" s="64" t="n">
        <v>13</v>
      </c>
      <c r="L205" s="64" t="n">
        <v>14</v>
      </c>
      <c r="M205" s="64" t="n">
        <v>21</v>
      </c>
      <c r="N205" s="64" t="n">
        <v>28</v>
      </c>
      <c r="O205" s="64" t="n">
        <v>10</v>
      </c>
      <c r="P205" s="64" t="n">
        <v>9</v>
      </c>
    </row>
    <row r="206" ht="15.75" customHeight="1" s="45">
      <c r="A206" s="61" t="n">
        <v>46128</v>
      </c>
      <c r="B206" s="62" t="inlineStr">
        <is>
          <t>Antes-Projeto</t>
        </is>
      </c>
      <c r="C206" s="68" t="inlineStr">
        <is>
          <t>GAEs Abertas</t>
        </is>
      </c>
      <c r="D206" s="69" t="n">
        <v>247</v>
      </c>
      <c r="E206" s="69" t="n">
        <v>156</v>
      </c>
      <c r="F206" s="69" t="n">
        <v>184</v>
      </c>
      <c r="G206" s="69" t="n">
        <v>165</v>
      </c>
      <c r="H206" s="69" t="n">
        <v>141</v>
      </c>
      <c r="I206" s="69" t="n">
        <v>228</v>
      </c>
      <c r="J206" s="69" t="n">
        <v>114</v>
      </c>
      <c r="K206" s="69" t="n">
        <v>334</v>
      </c>
      <c r="L206" s="69" t="n">
        <v>166</v>
      </c>
      <c r="M206" s="69" t="n">
        <v>300</v>
      </c>
      <c r="N206" s="69" t="n">
        <v>186</v>
      </c>
      <c r="O206" s="69" t="n">
        <v>329</v>
      </c>
      <c r="P206" s="69" t="n">
        <v>231</v>
      </c>
    </row>
    <row r="207" ht="15.75" customHeight="1" s="45">
      <c r="A207" s="61" t="n">
        <v>46128</v>
      </c>
      <c r="B207" s="62" t="inlineStr">
        <is>
          <t>Antes-Projeto</t>
        </is>
      </c>
      <c r="C207" s="68" t="inlineStr">
        <is>
          <t>GAEs Classificadas</t>
        </is>
      </c>
      <c r="D207" s="69" t="n">
        <v>238</v>
      </c>
      <c r="E207" s="69" t="n">
        <v>151</v>
      </c>
      <c r="F207" s="69" t="n">
        <v>180</v>
      </c>
      <c r="G207" s="69" t="n">
        <v>160</v>
      </c>
      <c r="H207" s="69" t="n">
        <v>139</v>
      </c>
      <c r="I207" s="69" t="n">
        <v>214</v>
      </c>
      <c r="J207" s="69" t="n">
        <v>111</v>
      </c>
      <c r="K207" s="69" t="n">
        <v>291</v>
      </c>
      <c r="L207" s="69" t="n">
        <v>150</v>
      </c>
      <c r="M207" s="69" t="n">
        <v>272</v>
      </c>
      <c r="N207" s="69" t="n">
        <v>180</v>
      </c>
      <c r="O207" s="69" t="n">
        <v>309</v>
      </c>
      <c r="P207" s="69" t="n">
        <v>216</v>
      </c>
    </row>
    <row r="208" ht="15.75" customHeight="1" s="45">
      <c r="A208" s="61" t="n">
        <v>46128</v>
      </c>
      <c r="B208" s="62" t="inlineStr">
        <is>
          <t>Antes-Projeto</t>
        </is>
      </c>
      <c r="C208" s="70" t="inlineStr">
        <is>
          <t>Percentual de GAEs abertas classificadas</t>
        </is>
      </c>
      <c r="D208" s="71">
        <f>IFERROR(D207/D206,"-")</f>
        <v/>
      </c>
      <c r="E208" s="71">
        <f>IFERROR(E207/E206,"-")</f>
        <v/>
      </c>
      <c r="F208" s="71">
        <f>IFERROR(F207/F206,"-")</f>
        <v/>
      </c>
      <c r="G208" s="71">
        <f>IFERROR(G207/G206,"-")</f>
        <v/>
      </c>
      <c r="H208" s="71">
        <f>IFERROR(H207/H206,"-")</f>
        <v/>
      </c>
      <c r="I208" s="71">
        <f>IFERROR(I207/I206,"-")</f>
        <v/>
      </c>
      <c r="J208" s="71">
        <f>IFERROR(J207/J206,"-")</f>
        <v/>
      </c>
      <c r="K208" s="71">
        <f>IFERROR(K207/K206,"-")</f>
        <v/>
      </c>
      <c r="L208" s="71">
        <f>IFERROR(L207/L206,"-")</f>
        <v/>
      </c>
      <c r="M208" s="71">
        <f>IFERROR(M207/M206,"-")</f>
        <v/>
      </c>
      <c r="N208" s="71">
        <f>IFERROR(N207/N206,"-")</f>
        <v/>
      </c>
      <c r="O208" s="71">
        <f>IFERROR(O207/O206,"-")</f>
        <v/>
      </c>
      <c r="P208" s="71">
        <f>IFERROR(P207/P206,"-")</f>
        <v/>
      </c>
    </row>
    <row r="209" ht="15.75" customHeight="1" s="45">
      <c r="A209" s="61" t="n">
        <v>46128</v>
      </c>
      <c r="B209" s="62" t="inlineStr">
        <is>
          <t>Antes-Projeto</t>
        </is>
      </c>
      <c r="C209" s="72" t="inlineStr">
        <is>
          <t>Tempo Médio — 🟡 Amarelo (hh:mm)</t>
        </is>
      </c>
      <c r="D209" s="73" t="n">
        <v>0.04232638888888889</v>
      </c>
      <c r="E209" s="73" t="n">
        <v>0.1239814814814815</v>
      </c>
      <c r="F209" s="73" t="n">
        <v>0.05119212962962963</v>
      </c>
      <c r="G209" s="73" t="n">
        <v>0.1030324074074074</v>
      </c>
      <c r="H209" s="73" t="n">
        <v>0.08394675925925926</v>
      </c>
      <c r="I209" s="73" t="n">
        <v>0.04084490740740741</v>
      </c>
      <c r="J209" s="73" t="n">
        <v>0.02591435185185185</v>
      </c>
      <c r="K209" s="73" t="n">
        <v>0.07892361111111111</v>
      </c>
      <c r="L209" s="73" t="n">
        <v>0.1296643518518519</v>
      </c>
      <c r="M209" s="73" t="n">
        <v>0.05835648148148148</v>
      </c>
      <c r="N209" s="73" t="n">
        <v>0.09837962962962964</v>
      </c>
      <c r="O209" s="73" t="n">
        <v>0.0725462962962963</v>
      </c>
      <c r="P209" s="73" t="n">
        <v>0.073125</v>
      </c>
    </row>
    <row r="210" ht="15.75" customHeight="1" s="45">
      <c r="A210" s="61" t="n">
        <v>46128</v>
      </c>
      <c r="B210" s="62" t="inlineStr">
        <is>
          <t>Antes-Projeto</t>
        </is>
      </c>
      <c r="C210" s="74" t="inlineStr">
        <is>
          <t>Tempo Médio — 🟠 Laranja (hh:mm)</t>
        </is>
      </c>
      <c r="D210" s="75" t="n">
        <v>0.009965277777777778</v>
      </c>
      <c r="E210" s="75" t="n">
        <v>0.01319444444444444</v>
      </c>
      <c r="F210" s="75" t="n">
        <v>0.00738425925925926</v>
      </c>
      <c r="G210" s="75" t="n">
        <v>0.007361111111111111</v>
      </c>
      <c r="H210" s="75" t="n">
        <v>0.004849537037037037</v>
      </c>
      <c r="I210" s="75" t="n">
        <v>0.008055555555555555</v>
      </c>
      <c r="J210" s="75" t="n">
        <v>0.004293981481481481</v>
      </c>
      <c r="K210" s="75" t="n">
        <v>0.01988425925925926</v>
      </c>
      <c r="L210" s="75" t="n">
        <v>0.01673611111111111</v>
      </c>
      <c r="M210" s="75" t="n">
        <v>0.009606481481481481</v>
      </c>
      <c r="N210" s="75" t="n">
        <v>0.01519675925925926</v>
      </c>
      <c r="O210" s="75" t="n">
        <v>0.01618055555555556</v>
      </c>
      <c r="P210" s="75" t="n">
        <v>0.02030092592592593</v>
      </c>
    </row>
    <row r="211" ht="15.75" customHeight="1" s="45">
      <c r="A211" s="76" t="n">
        <v>46128</v>
      </c>
      <c r="B211" s="77" t="inlineStr">
        <is>
          <t>Antes-Projeto</t>
        </is>
      </c>
      <c r="C211" s="78" t="inlineStr">
        <is>
          <t>Tempo Médio — 🟢 Verde   (hh:mm)</t>
        </is>
      </c>
      <c r="D211" s="79" t="n">
        <v>0.06542824074074075</v>
      </c>
      <c r="E211" s="79" t="n">
        <v>0.1500462962962963</v>
      </c>
      <c r="F211" s="79" t="n">
        <v>0.08060185185185186</v>
      </c>
      <c r="G211" s="79" t="n">
        <v>0.1665625</v>
      </c>
      <c r="H211" s="79" t="n">
        <v>0.09193287037037037</v>
      </c>
      <c r="I211" s="79" t="n">
        <v>0.1418171296296296</v>
      </c>
      <c r="J211" s="79" t="n">
        <v>0.04604166666666667</v>
      </c>
      <c r="K211" s="79" t="n">
        <v>0.1346990740740741</v>
      </c>
      <c r="L211" s="79" t="n">
        <v>0.1577893518518519</v>
      </c>
      <c r="M211" s="79" t="n">
        <v>0.1702662037037037</v>
      </c>
      <c r="N211" s="79" t="n">
        <v>0.1624768518518518</v>
      </c>
      <c r="O211" s="79" t="n">
        <v>0.1148032407407407</v>
      </c>
      <c r="P211" s="79" t="n">
        <v>0.09746527777777778</v>
      </c>
    </row>
    <row r="212" ht="15.75" customHeight="1" s="45">
      <c r="A212" s="57" t="n">
        <v>46129</v>
      </c>
      <c r="B212" s="58" t="inlineStr">
        <is>
          <t>Antes-Projeto</t>
        </is>
      </c>
      <c r="C212" s="59" t="inlineStr">
        <is>
          <t>Acolhim. + Atend. Urgência + Atend. UPA</t>
        </is>
      </c>
      <c r="D212" s="60">
        <f>SUM(D213:D215)</f>
        <v/>
      </c>
      <c r="E212" s="60">
        <f>SUM(E213:E215)</f>
        <v/>
      </c>
      <c r="F212" s="60">
        <f>SUM(F213:F215)</f>
        <v/>
      </c>
      <c r="G212" s="60">
        <f>SUM(G213:G215)</f>
        <v/>
      </c>
      <c r="H212" s="60">
        <f>SUM(H213:H215)</f>
        <v/>
      </c>
      <c r="I212" s="60">
        <f>SUM(I213:I215)</f>
        <v/>
      </c>
      <c r="J212" s="60">
        <f>SUM(J213:J215)</f>
        <v/>
      </c>
      <c r="K212" s="60">
        <f>SUM(K213:K215)</f>
        <v/>
      </c>
      <c r="L212" s="60">
        <f>SUM(L213:L215)</f>
        <v/>
      </c>
      <c r="M212" s="60">
        <f>SUM(M213:M215)</f>
        <v/>
      </c>
      <c r="N212" s="60">
        <f>SUM(N213:N215)</f>
        <v/>
      </c>
      <c r="O212" s="60">
        <f>SUM(O213:O215)</f>
        <v/>
      </c>
      <c r="P212" s="60">
        <f>SUM(P213:P215)</f>
        <v/>
      </c>
    </row>
    <row r="213" ht="15.75" customHeight="1" s="45">
      <c r="A213" s="61" t="n">
        <v>46129</v>
      </c>
      <c r="B213" s="62" t="inlineStr">
        <is>
          <t>Antes-Projeto</t>
        </is>
      </c>
      <c r="C213" s="63" t="inlineStr">
        <is>
          <t>Acolhimento c/ Classif. de Risco</t>
        </is>
      </c>
      <c r="D213" s="64" t="n">
        <v>216</v>
      </c>
      <c r="E213" s="64" t="n">
        <v>164</v>
      </c>
      <c r="F213" s="64" t="n">
        <v>174</v>
      </c>
      <c r="G213" s="64" t="n">
        <v>146</v>
      </c>
      <c r="H213" s="64" t="n">
        <v>116</v>
      </c>
      <c r="I213" s="64" t="n">
        <v>192</v>
      </c>
      <c r="J213" s="64" t="n">
        <v>117</v>
      </c>
      <c r="K213" s="64" t="n">
        <v>290</v>
      </c>
      <c r="L213" s="64" t="n">
        <v>140</v>
      </c>
      <c r="M213" s="64" t="n">
        <v>260</v>
      </c>
      <c r="N213" s="64" t="n">
        <v>195</v>
      </c>
      <c r="O213" s="64" t="n">
        <v>292</v>
      </c>
      <c r="P213" s="64" t="n">
        <v>266</v>
      </c>
    </row>
    <row r="214" ht="15.75" customHeight="1" s="45">
      <c r="A214" s="61" t="n">
        <v>46129</v>
      </c>
      <c r="B214" s="62" t="inlineStr">
        <is>
          <t>Antes-Projeto</t>
        </is>
      </c>
      <c r="C214" s="65" t="inlineStr">
        <is>
          <t>Atend. Urgência Obs. ≤ 24h</t>
        </is>
      </c>
      <c r="D214" s="66" t="n">
        <v>31</v>
      </c>
      <c r="E214" s="66" t="n">
        <v>50</v>
      </c>
      <c r="F214" s="66" t="n">
        <v>13</v>
      </c>
      <c r="G214" s="66" t="n">
        <v>83</v>
      </c>
      <c r="H214" s="66" t="n">
        <v>19</v>
      </c>
      <c r="I214" s="66" t="n">
        <v>46</v>
      </c>
      <c r="J214" s="66" t="n">
        <v>66</v>
      </c>
      <c r="K214" s="66" t="n">
        <v>24</v>
      </c>
      <c r="L214" s="66" t="n">
        <v>35</v>
      </c>
      <c r="M214" s="66" t="n">
        <v>21</v>
      </c>
      <c r="N214" s="66" t="n">
        <v>43</v>
      </c>
      <c r="O214" s="66" t="n">
        <v>12</v>
      </c>
      <c r="P214" s="66" t="n">
        <v>39</v>
      </c>
    </row>
    <row r="215" ht="15.75" customHeight="1" s="45">
      <c r="A215" s="61" t="n">
        <v>46129</v>
      </c>
      <c r="B215" s="62" t="inlineStr">
        <is>
          <t>Antes-Projeto</t>
        </is>
      </c>
      <c r="C215" s="63" t="inlineStr">
        <is>
          <t>Atend. Médico em UPA</t>
        </is>
      </c>
      <c r="D215" s="64" t="n">
        <v>137</v>
      </c>
      <c r="E215" s="64" t="n">
        <v>80</v>
      </c>
      <c r="F215" s="64" t="n">
        <v>105</v>
      </c>
      <c r="G215" s="64" t="n">
        <v>71</v>
      </c>
      <c r="H215" s="64" t="n">
        <v>87</v>
      </c>
      <c r="I215" s="64" t="n">
        <v>168</v>
      </c>
      <c r="J215" s="64" t="n">
        <v>67</v>
      </c>
      <c r="K215" s="64" t="n">
        <v>190</v>
      </c>
      <c r="L215" s="64" t="n">
        <v>90</v>
      </c>
      <c r="M215" s="64" t="n">
        <v>150</v>
      </c>
      <c r="N215" s="64" t="n">
        <v>193</v>
      </c>
      <c r="O215" s="64" t="n">
        <v>216</v>
      </c>
      <c r="P215" s="64" t="n">
        <v>101</v>
      </c>
    </row>
    <row r="216" ht="15.75" customHeight="1" s="45">
      <c r="A216" s="61" t="n">
        <v>46129</v>
      </c>
      <c r="B216" s="62" t="inlineStr">
        <is>
          <t>Antes-Projeto</t>
        </is>
      </c>
      <c r="C216" s="65" t="inlineStr">
        <is>
          <t>Exames Laboratoriais</t>
        </is>
      </c>
      <c r="D216" s="66" t="n">
        <v>669</v>
      </c>
      <c r="E216" s="66" t="n">
        <v>313</v>
      </c>
      <c r="F216" s="66" t="n">
        <v>306</v>
      </c>
      <c r="G216" s="66" t="n">
        <v>294</v>
      </c>
      <c r="H216" s="66" t="n">
        <v>386</v>
      </c>
      <c r="I216" s="66" t="n">
        <v>521</v>
      </c>
      <c r="J216" s="66" t="n">
        <v>239</v>
      </c>
      <c r="K216" s="66" t="n">
        <v>684</v>
      </c>
      <c r="L216" s="66" t="n">
        <v>323</v>
      </c>
      <c r="M216" s="66" t="n">
        <v>645</v>
      </c>
      <c r="N216" s="66" t="n">
        <v>713</v>
      </c>
      <c r="O216" s="66" t="n">
        <v>444</v>
      </c>
      <c r="P216" s="66" t="n">
        <v>271</v>
      </c>
    </row>
    <row r="217" ht="15.75" customHeight="1" s="45">
      <c r="A217" s="61" t="n">
        <v>46129</v>
      </c>
      <c r="B217" s="62" t="inlineStr">
        <is>
          <t>Antes-Projeto</t>
        </is>
      </c>
      <c r="C217" s="63" t="inlineStr">
        <is>
          <t>Radiografias</t>
        </is>
      </c>
      <c r="D217" s="64" t="n">
        <v>33</v>
      </c>
      <c r="E217" s="64" t="n">
        <v>15</v>
      </c>
      <c r="F217" s="64" t="n">
        <v>21</v>
      </c>
      <c r="G217" s="64" t="n">
        <v>3</v>
      </c>
      <c r="H217" s="64" t="n">
        <v>17</v>
      </c>
      <c r="I217" s="64" t="n">
        <v>28</v>
      </c>
      <c r="J217" s="64" t="n">
        <v>14</v>
      </c>
      <c r="K217" s="64" t="n">
        <v>34</v>
      </c>
      <c r="L217" s="67" t="n">
        <v>0</v>
      </c>
      <c r="M217" s="67" t="n">
        <v>0</v>
      </c>
      <c r="N217" s="67" t="n">
        <v>0</v>
      </c>
      <c r="O217" s="64" t="n">
        <v>27</v>
      </c>
      <c r="P217" s="64" t="n">
        <v>18</v>
      </c>
    </row>
    <row r="218" ht="15.75" customHeight="1" s="45">
      <c r="A218" s="61" t="n">
        <v>46129</v>
      </c>
      <c r="B218" s="62" t="inlineStr">
        <is>
          <t>Antes-Projeto</t>
        </is>
      </c>
      <c r="C218" s="65" t="inlineStr">
        <is>
          <t>Eletrocardiogramas</t>
        </is>
      </c>
      <c r="D218" s="66" t="n">
        <v>10</v>
      </c>
      <c r="E218" s="66" t="n">
        <v>12</v>
      </c>
      <c r="F218" s="66" t="n">
        <v>14</v>
      </c>
      <c r="G218" s="66" t="n">
        <v>15</v>
      </c>
      <c r="H218" s="66" t="n">
        <v>14</v>
      </c>
      <c r="I218" s="66" t="n">
        <v>8</v>
      </c>
      <c r="J218" s="66" t="n">
        <v>8</v>
      </c>
      <c r="K218" s="66" t="n">
        <v>14</v>
      </c>
      <c r="L218" s="66" t="n">
        <v>8</v>
      </c>
      <c r="M218" s="66" t="n">
        <v>11</v>
      </c>
      <c r="N218" s="66" t="n">
        <v>27</v>
      </c>
      <c r="O218" s="66" t="n">
        <v>13</v>
      </c>
      <c r="P218" s="66" t="n">
        <v>15</v>
      </c>
    </row>
    <row r="219" ht="15.75" customHeight="1" s="45">
      <c r="A219" s="61" t="n">
        <v>46129</v>
      </c>
      <c r="B219" s="62" t="inlineStr">
        <is>
          <t>Antes-Projeto</t>
        </is>
      </c>
      <c r="C219" s="68" t="inlineStr">
        <is>
          <t>GAEs Abertas</t>
        </is>
      </c>
      <c r="D219" s="69" t="n">
        <v>229</v>
      </c>
      <c r="E219" s="69" t="n">
        <v>166</v>
      </c>
      <c r="F219" s="69" t="n">
        <v>181</v>
      </c>
      <c r="G219" s="69" t="n">
        <v>151</v>
      </c>
      <c r="H219" s="69" t="n">
        <v>136</v>
      </c>
      <c r="I219" s="69" t="n">
        <v>205</v>
      </c>
      <c r="J219" s="69" t="n">
        <v>120</v>
      </c>
      <c r="K219" s="69" t="n">
        <v>328</v>
      </c>
      <c r="L219" s="69" t="n">
        <v>157</v>
      </c>
      <c r="M219" s="69" t="n">
        <v>285</v>
      </c>
      <c r="N219" s="69" t="n">
        <v>201</v>
      </c>
      <c r="O219" s="69" t="n">
        <v>295</v>
      </c>
      <c r="P219" s="69" t="n">
        <v>268</v>
      </c>
    </row>
    <row r="220" ht="15.75" customHeight="1" s="45">
      <c r="A220" s="61" t="n">
        <v>46129</v>
      </c>
      <c r="B220" s="62" t="inlineStr">
        <is>
          <t>Antes-Projeto</t>
        </is>
      </c>
      <c r="C220" s="68" t="inlineStr">
        <is>
          <t>GAEs Classificadas</t>
        </is>
      </c>
      <c r="D220" s="69" t="n">
        <v>216</v>
      </c>
      <c r="E220" s="69" t="n">
        <v>162</v>
      </c>
      <c r="F220" s="69" t="n">
        <v>173</v>
      </c>
      <c r="G220" s="69" t="n">
        <v>147</v>
      </c>
      <c r="H220" s="69" t="n">
        <v>119</v>
      </c>
      <c r="I220" s="69" t="n">
        <v>190</v>
      </c>
      <c r="J220" s="69" t="n">
        <v>116</v>
      </c>
      <c r="K220" s="69" t="n">
        <v>293</v>
      </c>
      <c r="L220" s="69" t="n">
        <v>140</v>
      </c>
      <c r="M220" s="69" t="n">
        <v>254</v>
      </c>
      <c r="N220" s="69" t="n">
        <v>192</v>
      </c>
      <c r="O220" s="69" t="n">
        <v>289</v>
      </c>
      <c r="P220" s="69" t="n">
        <v>256</v>
      </c>
    </row>
    <row r="221" ht="15.75" customHeight="1" s="45">
      <c r="A221" s="61" t="n">
        <v>46129</v>
      </c>
      <c r="B221" s="62" t="inlineStr">
        <is>
          <t>Antes-Projeto</t>
        </is>
      </c>
      <c r="C221" s="70" t="inlineStr">
        <is>
          <t>Percentual de GAEs abertas classificadas</t>
        </is>
      </c>
      <c r="D221" s="71">
        <f>IFERROR(D220/D219,"-")</f>
        <v/>
      </c>
      <c r="E221" s="71">
        <f>IFERROR(E220/E219,"-")</f>
        <v/>
      </c>
      <c r="F221" s="71">
        <f>IFERROR(F220/F219,"-")</f>
        <v/>
      </c>
      <c r="G221" s="71">
        <f>IFERROR(G220/G219,"-")</f>
        <v/>
      </c>
      <c r="H221" s="71">
        <f>IFERROR(H220/H219,"-")</f>
        <v/>
      </c>
      <c r="I221" s="71">
        <f>IFERROR(I220/I219,"-")</f>
        <v/>
      </c>
      <c r="J221" s="71">
        <f>IFERROR(J220/J219,"-")</f>
        <v/>
      </c>
      <c r="K221" s="71">
        <f>IFERROR(K220/K219,"-")</f>
        <v/>
      </c>
      <c r="L221" s="71">
        <f>IFERROR(L220/L219,"-")</f>
        <v/>
      </c>
      <c r="M221" s="71">
        <f>IFERROR(M220/M219,"-")</f>
        <v/>
      </c>
      <c r="N221" s="71">
        <f>IFERROR(N220/N219,"-")</f>
        <v/>
      </c>
      <c r="O221" s="71">
        <f>IFERROR(O220/O219,"-")</f>
        <v/>
      </c>
      <c r="P221" s="71">
        <f>IFERROR(P220/P219,"-")</f>
        <v/>
      </c>
    </row>
    <row r="222" ht="15.75" customHeight="1" s="45">
      <c r="A222" s="61" t="n">
        <v>46129</v>
      </c>
      <c r="B222" s="62" t="inlineStr">
        <is>
          <t>Antes-Projeto</t>
        </is>
      </c>
      <c r="C222" s="72" t="inlineStr">
        <is>
          <t>Tempo Médio — 🟡 Amarelo (hh:mm)</t>
        </is>
      </c>
      <c r="D222" s="73" t="n">
        <v>0.06045138888888889</v>
      </c>
      <c r="E222" s="73" t="n">
        <v>0.06377314814814815</v>
      </c>
      <c r="F222" s="73" t="n">
        <v>0.08034722222222222</v>
      </c>
      <c r="G222" s="73" t="n">
        <v>0.1360416666666667</v>
      </c>
      <c r="H222" s="73" t="n">
        <v>0.1322916666666667</v>
      </c>
      <c r="I222" s="73" t="n">
        <v>0.04255787037037037</v>
      </c>
      <c r="J222" s="73" t="n">
        <v>0.05488425925925926</v>
      </c>
      <c r="K222" s="73" t="n">
        <v>0.1481597222222222</v>
      </c>
      <c r="L222" s="73" t="n">
        <v>0.1588773148148148</v>
      </c>
      <c r="M222" s="73" t="n">
        <v>0.05864583333333333</v>
      </c>
      <c r="N222" s="73" t="n">
        <v>0.03214120370370371</v>
      </c>
      <c r="O222" s="73" t="n">
        <v>0.09243055555555556</v>
      </c>
      <c r="P222" s="73" t="n">
        <v>0.08244212962962963</v>
      </c>
    </row>
    <row r="223" ht="15.75" customHeight="1" s="45">
      <c r="A223" s="61" t="n">
        <v>46129</v>
      </c>
      <c r="B223" s="62" t="inlineStr">
        <is>
          <t>Antes-Projeto</t>
        </is>
      </c>
      <c r="C223" s="74" t="inlineStr">
        <is>
          <t>Tempo Médio — 🟠 Laranja (hh:mm)</t>
        </is>
      </c>
      <c r="D223" s="75" t="n">
        <v>0.00880787037037037</v>
      </c>
      <c r="E223" s="75" t="n">
        <v>0.01144675925925926</v>
      </c>
      <c r="F223" s="75" t="n">
        <v>0.006863425925925926</v>
      </c>
      <c r="G223" s="75" t="n">
        <v>0.006469907407407408</v>
      </c>
      <c r="H223" s="75" t="n">
        <v>0.009976851851851851</v>
      </c>
      <c r="I223" s="75" t="n">
        <v>0.003657407407407407</v>
      </c>
      <c r="J223" s="75" t="n">
        <v>0.01427083333333333</v>
      </c>
      <c r="K223" s="75" t="n">
        <v>0.01810185185185185</v>
      </c>
      <c r="L223" s="75" t="n">
        <v>0.01471064814814815</v>
      </c>
      <c r="M223" s="75" t="n">
        <v>0.01707175925925926</v>
      </c>
      <c r="N223" s="75" t="n">
        <v>0.006643518518518518</v>
      </c>
      <c r="O223" s="75" t="n">
        <v>0.01916666666666667</v>
      </c>
      <c r="P223" s="75" t="n">
        <v>0.03211805555555555</v>
      </c>
    </row>
    <row r="224" ht="15.75" customHeight="1" s="45">
      <c r="A224" s="76" t="n">
        <v>46129</v>
      </c>
      <c r="B224" s="77" t="inlineStr">
        <is>
          <t>Antes-Projeto</t>
        </is>
      </c>
      <c r="C224" s="78" t="inlineStr">
        <is>
          <t>Tempo Médio — 🟢 Verde   (hh:mm)</t>
        </is>
      </c>
      <c r="D224" s="79" t="n">
        <v>0.1155671296296296</v>
      </c>
      <c r="E224" s="79" t="n">
        <v>0.1939814814814815</v>
      </c>
      <c r="F224" s="79" t="n">
        <v>0.09247685185185185</v>
      </c>
      <c r="G224" s="79" t="n">
        <v>0.2266203703703704</v>
      </c>
      <c r="H224" s="79" t="n">
        <v>0.1274768518518518</v>
      </c>
      <c r="I224" s="79" t="n">
        <v>0.10625</v>
      </c>
      <c r="J224" s="79" t="n">
        <v>0.1093865740740741</v>
      </c>
      <c r="K224" s="79" t="n">
        <v>0.216400462962963</v>
      </c>
      <c r="L224" s="79" t="n">
        <v>0.1359606481481481</v>
      </c>
      <c r="M224" s="79" t="n">
        <v>0.09671296296296296</v>
      </c>
      <c r="N224" s="79" t="n">
        <v>0.0812962962962963</v>
      </c>
      <c r="O224" s="79" t="n">
        <v>0.1589467592592592</v>
      </c>
      <c r="P224" s="79" t="n">
        <v>0.07413194444444444</v>
      </c>
    </row>
    <row r="225" ht="15.75" customHeight="1" s="45">
      <c r="A225" s="57" t="n">
        <v>46130</v>
      </c>
      <c r="B225" s="58" t="inlineStr">
        <is>
          <t>Antes-Projeto</t>
        </is>
      </c>
      <c r="C225" s="59" t="inlineStr">
        <is>
          <t>Acolhim. + Atend. Urgência + Atend. UPA</t>
        </is>
      </c>
      <c r="D225" s="60">
        <f>SUM(D226:D228)</f>
        <v/>
      </c>
      <c r="E225" s="60">
        <f>SUM(E226:E228)</f>
        <v/>
      </c>
      <c r="F225" s="60">
        <f>SUM(F226:F228)</f>
        <v/>
      </c>
      <c r="G225" s="60">
        <f>SUM(G226:G228)</f>
        <v/>
      </c>
      <c r="H225" s="60">
        <f>SUM(H226:H228)</f>
        <v/>
      </c>
      <c r="I225" s="60">
        <f>SUM(I226:I228)</f>
        <v/>
      </c>
      <c r="J225" s="60">
        <f>SUM(J226:J228)</f>
        <v/>
      </c>
      <c r="K225" s="60">
        <f>SUM(K226:K228)</f>
        <v/>
      </c>
      <c r="L225" s="60">
        <f>SUM(L226:L228)</f>
        <v/>
      </c>
      <c r="M225" s="60">
        <f>SUM(M226:M228)</f>
        <v/>
      </c>
      <c r="N225" s="60">
        <f>SUM(N226:N228)</f>
        <v/>
      </c>
      <c r="O225" s="60">
        <f>SUM(O226:O228)</f>
        <v/>
      </c>
      <c r="P225" s="60">
        <f>SUM(P226:P228)</f>
        <v/>
      </c>
    </row>
    <row r="226" ht="15.75" customHeight="1" s="45">
      <c r="A226" s="61" t="n">
        <v>46130</v>
      </c>
      <c r="B226" s="62" t="inlineStr">
        <is>
          <t>Antes-Projeto</t>
        </is>
      </c>
      <c r="C226" s="65" t="inlineStr">
        <is>
          <t>Acolhimento c/ Classif. de Risco</t>
        </is>
      </c>
      <c r="D226" s="66" t="n">
        <v>199</v>
      </c>
      <c r="E226" s="66" t="n">
        <v>123</v>
      </c>
      <c r="F226" s="66" t="n">
        <v>161</v>
      </c>
      <c r="G226" s="66" t="n">
        <v>95</v>
      </c>
      <c r="H226" s="66" t="n">
        <v>127</v>
      </c>
      <c r="I226" s="66" t="n">
        <v>181</v>
      </c>
      <c r="J226" s="66" t="n">
        <v>98</v>
      </c>
      <c r="K226" s="66" t="n">
        <v>309</v>
      </c>
      <c r="L226" s="66" t="n">
        <v>131</v>
      </c>
      <c r="M226" s="66" t="n">
        <v>221</v>
      </c>
      <c r="N226" s="66" t="n">
        <v>175</v>
      </c>
      <c r="O226" s="66" t="n">
        <v>269</v>
      </c>
      <c r="P226" s="66" t="n">
        <v>235</v>
      </c>
    </row>
    <row r="227" ht="15.75" customHeight="1" s="45">
      <c r="A227" s="61" t="n">
        <v>46130</v>
      </c>
      <c r="B227" s="62" t="inlineStr">
        <is>
          <t>Antes-Projeto</t>
        </is>
      </c>
      <c r="C227" s="63" t="inlineStr">
        <is>
          <t>Atend. Urgência Obs. ≤ 24h</t>
        </is>
      </c>
      <c r="D227" s="64" t="n">
        <v>27</v>
      </c>
      <c r="E227" s="64" t="n">
        <v>56</v>
      </c>
      <c r="F227" s="64" t="n">
        <v>19</v>
      </c>
      <c r="G227" s="64" t="n">
        <v>23</v>
      </c>
      <c r="H227" s="64" t="n">
        <v>14</v>
      </c>
      <c r="I227" s="64" t="n">
        <v>58</v>
      </c>
      <c r="J227" s="64" t="n">
        <v>25</v>
      </c>
      <c r="K227" s="64" t="n">
        <v>26</v>
      </c>
      <c r="L227" s="64" t="n">
        <v>38</v>
      </c>
      <c r="M227" s="64" t="n">
        <v>65</v>
      </c>
      <c r="N227" s="64" t="n">
        <v>33</v>
      </c>
      <c r="O227" s="64" t="n">
        <v>18</v>
      </c>
      <c r="P227" s="64" t="n">
        <v>27</v>
      </c>
    </row>
    <row r="228" ht="15.75" customHeight="1" s="45">
      <c r="A228" s="61" t="n">
        <v>46130</v>
      </c>
      <c r="B228" s="62" t="inlineStr">
        <is>
          <t>Antes-Projeto</t>
        </is>
      </c>
      <c r="C228" s="65" t="inlineStr">
        <is>
          <t>Atend. Médico em UPA</t>
        </is>
      </c>
      <c r="D228" s="66" t="n">
        <v>117</v>
      </c>
      <c r="E228" s="66" t="n">
        <v>63</v>
      </c>
      <c r="F228" s="66" t="n">
        <v>108</v>
      </c>
      <c r="G228" s="66" t="n">
        <v>62</v>
      </c>
      <c r="H228" s="66" t="n">
        <v>92</v>
      </c>
      <c r="I228" s="66" t="n">
        <v>128</v>
      </c>
      <c r="J228" s="66" t="n">
        <v>80</v>
      </c>
      <c r="K228" s="66" t="n">
        <v>248</v>
      </c>
      <c r="L228" s="66" t="n">
        <v>73</v>
      </c>
      <c r="M228" s="66" t="n">
        <v>97</v>
      </c>
      <c r="N228" s="66" t="n">
        <v>159</v>
      </c>
      <c r="O228" s="66" t="n">
        <v>204</v>
      </c>
      <c r="P228" s="66" t="n">
        <v>139</v>
      </c>
    </row>
    <row r="229" ht="15.75" customHeight="1" s="45">
      <c r="A229" s="61" t="n">
        <v>46130</v>
      </c>
      <c r="B229" s="62" t="inlineStr">
        <is>
          <t>Antes-Projeto</t>
        </is>
      </c>
      <c r="C229" s="63" t="inlineStr">
        <is>
          <t>Exames Laboratoriais</t>
        </is>
      </c>
      <c r="D229" s="64" t="n">
        <v>531</v>
      </c>
      <c r="E229" s="64" t="n">
        <v>287</v>
      </c>
      <c r="F229" s="64" t="n">
        <v>338</v>
      </c>
      <c r="G229" s="64" t="n">
        <v>438</v>
      </c>
      <c r="H229" s="64" t="n">
        <v>224</v>
      </c>
      <c r="I229" s="64" t="n">
        <v>560</v>
      </c>
      <c r="J229" s="64" t="n">
        <v>332</v>
      </c>
      <c r="K229" s="64" t="n">
        <v>926</v>
      </c>
      <c r="L229" s="64" t="n">
        <v>589</v>
      </c>
      <c r="M229" s="64" t="n">
        <v>584</v>
      </c>
      <c r="N229" s="64" t="n">
        <v>491</v>
      </c>
      <c r="O229" s="64" t="n">
        <v>478</v>
      </c>
      <c r="P229" s="64" t="n">
        <v>307</v>
      </c>
    </row>
    <row r="230" ht="15.75" customHeight="1" s="45">
      <c r="A230" s="61" t="n">
        <v>46130</v>
      </c>
      <c r="B230" s="62" t="inlineStr">
        <is>
          <t>Antes-Projeto</t>
        </is>
      </c>
      <c r="C230" s="65" t="inlineStr">
        <is>
          <t>Radiografias</t>
        </is>
      </c>
      <c r="D230" s="66" t="n">
        <v>44</v>
      </c>
      <c r="E230" s="66" t="n">
        <v>6</v>
      </c>
      <c r="F230" s="66" t="n">
        <v>34</v>
      </c>
      <c r="G230" s="66" t="n">
        <v>5</v>
      </c>
      <c r="H230" s="66" t="n">
        <v>16</v>
      </c>
      <c r="I230" s="66" t="n">
        <v>24</v>
      </c>
      <c r="J230" s="66" t="n">
        <v>20</v>
      </c>
      <c r="K230" s="66" t="n">
        <v>41</v>
      </c>
      <c r="L230" s="67" t="n">
        <v>0</v>
      </c>
      <c r="M230" s="67" t="n">
        <v>0</v>
      </c>
      <c r="N230" s="66" t="n">
        <v>2</v>
      </c>
      <c r="O230" s="67" t="n">
        <v>0</v>
      </c>
      <c r="P230" s="66" t="n">
        <v>1</v>
      </c>
    </row>
    <row r="231" ht="15.75" customHeight="1" s="45">
      <c r="A231" s="61" t="n">
        <v>46130</v>
      </c>
      <c r="B231" s="62" t="inlineStr">
        <is>
          <t>Antes-Projeto</t>
        </is>
      </c>
      <c r="C231" s="63" t="inlineStr">
        <is>
          <t>Eletrocardiogramas</t>
        </is>
      </c>
      <c r="D231" s="64" t="n">
        <v>15</v>
      </c>
      <c r="E231" s="64" t="n">
        <v>17</v>
      </c>
      <c r="F231" s="64" t="n">
        <v>14</v>
      </c>
      <c r="G231" s="64" t="n">
        <v>17</v>
      </c>
      <c r="H231" s="64" t="n">
        <v>13</v>
      </c>
      <c r="I231" s="64" t="n">
        <v>7</v>
      </c>
      <c r="J231" s="64" t="n">
        <v>12</v>
      </c>
      <c r="K231" s="64" t="n">
        <v>14</v>
      </c>
      <c r="L231" s="64" t="n">
        <v>7</v>
      </c>
      <c r="M231" s="64" t="n">
        <v>18</v>
      </c>
      <c r="N231" s="64" t="n">
        <v>10</v>
      </c>
      <c r="O231" s="64" t="n">
        <v>6</v>
      </c>
      <c r="P231" s="64" t="n">
        <v>13</v>
      </c>
    </row>
    <row r="232" ht="15.75" customHeight="1" s="45">
      <c r="A232" s="61" t="n">
        <v>46130</v>
      </c>
      <c r="B232" s="62" t="inlineStr">
        <is>
          <t>Antes-Projeto</t>
        </is>
      </c>
      <c r="C232" s="68" t="inlineStr">
        <is>
          <t>GAEs Abertas</t>
        </is>
      </c>
      <c r="D232" s="69" t="n">
        <v>210</v>
      </c>
      <c r="E232" s="69" t="n">
        <v>133</v>
      </c>
      <c r="F232" s="69" t="n">
        <v>165</v>
      </c>
      <c r="G232" s="69" t="n">
        <v>98</v>
      </c>
      <c r="H232" s="69" t="n">
        <v>126</v>
      </c>
      <c r="I232" s="69" t="n">
        <v>193</v>
      </c>
      <c r="J232" s="69" t="n">
        <v>101</v>
      </c>
      <c r="K232" s="69" t="n">
        <v>327</v>
      </c>
      <c r="L232" s="69" t="n">
        <v>144</v>
      </c>
      <c r="M232" s="69" t="n">
        <v>238</v>
      </c>
      <c r="N232" s="69" t="n">
        <v>175</v>
      </c>
      <c r="O232" s="69" t="n">
        <v>275</v>
      </c>
      <c r="P232" s="69" t="n">
        <v>250</v>
      </c>
    </row>
    <row r="233" ht="15.75" customHeight="1" s="45">
      <c r="A233" s="61" t="n">
        <v>46130</v>
      </c>
      <c r="B233" s="62" t="inlineStr">
        <is>
          <t>Antes-Projeto</t>
        </is>
      </c>
      <c r="C233" s="68" t="inlineStr">
        <is>
          <t>GAEs Classificadas</t>
        </is>
      </c>
      <c r="D233" s="69" t="n">
        <v>199</v>
      </c>
      <c r="E233" s="69" t="n">
        <v>122</v>
      </c>
      <c r="F233" s="69" t="n">
        <v>160</v>
      </c>
      <c r="G233" s="69" t="n">
        <v>95</v>
      </c>
      <c r="H233" s="69" t="n">
        <v>125</v>
      </c>
      <c r="I233" s="69" t="n">
        <v>182</v>
      </c>
      <c r="J233" s="69" t="n">
        <v>98</v>
      </c>
      <c r="K233" s="69" t="n">
        <v>306</v>
      </c>
      <c r="L233" s="69" t="n">
        <v>130</v>
      </c>
      <c r="M233" s="69" t="n">
        <v>221</v>
      </c>
      <c r="N233" s="69" t="n">
        <v>168</v>
      </c>
      <c r="O233" s="69" t="n">
        <v>268</v>
      </c>
      <c r="P233" s="69" t="n">
        <v>235</v>
      </c>
    </row>
    <row r="234" ht="15.75" customHeight="1" s="45">
      <c r="A234" s="61" t="n">
        <v>46130</v>
      </c>
      <c r="B234" s="62" t="inlineStr">
        <is>
          <t>Antes-Projeto</t>
        </is>
      </c>
      <c r="C234" s="70" t="inlineStr">
        <is>
          <t>Percentual de GAEs abertas classificadas</t>
        </is>
      </c>
      <c r="D234" s="71">
        <f>IFERROR(D233/D232,"-")</f>
        <v/>
      </c>
      <c r="E234" s="71">
        <f>IFERROR(E233/E232,"-")</f>
        <v/>
      </c>
      <c r="F234" s="71">
        <f>IFERROR(F233/F232,"-")</f>
        <v/>
      </c>
      <c r="G234" s="71">
        <f>IFERROR(G233/G232,"-")</f>
        <v/>
      </c>
      <c r="H234" s="71">
        <f>IFERROR(H233/H232,"-")</f>
        <v/>
      </c>
      <c r="I234" s="71">
        <f>IFERROR(I233/I232,"-")</f>
        <v/>
      </c>
      <c r="J234" s="71">
        <f>IFERROR(J233/J232,"-")</f>
        <v/>
      </c>
      <c r="K234" s="71">
        <f>IFERROR(K233/K232,"-")</f>
        <v/>
      </c>
      <c r="L234" s="71">
        <f>IFERROR(L233/L232,"-")</f>
        <v/>
      </c>
      <c r="M234" s="71">
        <f>IFERROR(M233/M232,"-")</f>
        <v/>
      </c>
      <c r="N234" s="71">
        <f>IFERROR(N233/N232,"-")</f>
        <v/>
      </c>
      <c r="O234" s="71">
        <f>IFERROR(O233/O232,"-")</f>
        <v/>
      </c>
      <c r="P234" s="71">
        <f>IFERROR(P233/P232,"-")</f>
        <v/>
      </c>
    </row>
    <row r="235" ht="15.75" customHeight="1" s="45">
      <c r="A235" s="61" t="n">
        <v>46130</v>
      </c>
      <c r="B235" s="62" t="inlineStr">
        <is>
          <t>Antes-Projeto</t>
        </is>
      </c>
      <c r="C235" s="72" t="inlineStr">
        <is>
          <t>Tempo Médio — 🟡 Amarelo (hh:mm)</t>
        </is>
      </c>
      <c r="D235" s="73" t="n">
        <v>0.1229282407407407</v>
      </c>
      <c r="E235" s="73" t="n">
        <v>0.07270833333333333</v>
      </c>
      <c r="F235" s="73" t="n">
        <v>0.02800925925925926</v>
      </c>
      <c r="G235" s="73" t="n">
        <v>0.07634259259259259</v>
      </c>
      <c r="H235" s="73" t="n">
        <v>0.07728009259259259</v>
      </c>
      <c r="I235" s="73" t="n">
        <v>0.1130555555555556</v>
      </c>
      <c r="J235" s="73" t="n">
        <v>0.0322337962962963</v>
      </c>
      <c r="K235" s="73" t="n">
        <v>0.1010532407407407</v>
      </c>
      <c r="L235" s="73" t="n">
        <v>0.1073958333333333</v>
      </c>
      <c r="M235" s="73" t="n">
        <v>0.09738425925925925</v>
      </c>
      <c r="N235" s="73" t="n">
        <v>0.06434027777777777</v>
      </c>
      <c r="O235" s="73" t="n">
        <v>0.0660300925925926</v>
      </c>
      <c r="P235" s="73" t="n">
        <v>0.07516203703703704</v>
      </c>
    </row>
    <row r="236" ht="15.75" customHeight="1" s="45">
      <c r="A236" s="61" t="n">
        <v>46130</v>
      </c>
      <c r="B236" s="62" t="inlineStr">
        <is>
          <t>Antes-Projeto</t>
        </is>
      </c>
      <c r="C236" s="74" t="inlineStr">
        <is>
          <t>Tempo Médio — 🟠 Laranja (hh:mm)</t>
        </is>
      </c>
      <c r="D236" s="75" t="n">
        <v>0.01130787037037037</v>
      </c>
      <c r="E236" s="75" t="n">
        <v>0.01185185185185185</v>
      </c>
      <c r="F236" s="75" t="n">
        <v>0.007094907407407407</v>
      </c>
      <c r="G236" s="75" t="n">
        <v>0.01824074074074074</v>
      </c>
      <c r="H236" s="75" t="n">
        <v>0.01701388888888889</v>
      </c>
      <c r="I236" s="75" t="n">
        <v>0.006967592592592593</v>
      </c>
      <c r="J236" s="75" t="n">
        <v>0.002662037037037037</v>
      </c>
      <c r="K236" s="75" t="n">
        <v>0.02210648148148148</v>
      </c>
      <c r="L236" s="75" t="n">
        <v>0.01085648148148148</v>
      </c>
      <c r="M236" s="75" t="n">
        <v>0.0205787037037037</v>
      </c>
      <c r="N236" s="75" t="n">
        <v>0.01072916666666667</v>
      </c>
      <c r="O236" s="75" t="n">
        <v>0.02600694444444444</v>
      </c>
      <c r="P236" s="75" t="n">
        <v>0.01391203703703704</v>
      </c>
    </row>
    <row r="237" ht="15.75" customHeight="1" s="45">
      <c r="A237" s="76" t="n">
        <v>46130</v>
      </c>
      <c r="B237" s="77" t="inlineStr">
        <is>
          <t>Antes-Projeto</t>
        </is>
      </c>
      <c r="C237" s="78" t="inlineStr">
        <is>
          <t>Tempo Médio — 🟢 Verde   (hh:mm)</t>
        </is>
      </c>
      <c r="D237" s="79" t="n">
        <v>0.1567824074074074</v>
      </c>
      <c r="E237" s="79" t="n">
        <v>0.1215740740740741</v>
      </c>
      <c r="F237" s="79" t="n">
        <v>0.1514583333333333</v>
      </c>
      <c r="G237" s="79" t="n">
        <v>0.175162037037037</v>
      </c>
      <c r="H237" s="79" t="n">
        <v>0.1392939814814815</v>
      </c>
      <c r="I237" s="79" t="n">
        <v>0.1998148148148148</v>
      </c>
      <c r="J237" s="79" t="n">
        <v>0.07870370370370371</v>
      </c>
      <c r="K237" s="79" t="n">
        <v>0.1419560185185185</v>
      </c>
      <c r="L237" s="79" t="n">
        <v>0.2374884259259259</v>
      </c>
      <c r="M237" s="79" t="n">
        <v>0.05111111111111111</v>
      </c>
      <c r="N237" s="79" t="n">
        <v>0.2030555555555555</v>
      </c>
      <c r="O237" s="79" t="n">
        <v>0.1490277777777778</v>
      </c>
      <c r="P237" s="79" t="n">
        <v>0.09996527777777778</v>
      </c>
    </row>
    <row r="238" ht="15.75" customHeight="1" s="45">
      <c r="A238" s="57" t="n">
        <v>46131</v>
      </c>
      <c r="B238" s="58" t="inlineStr">
        <is>
          <t>Antes-Projeto</t>
        </is>
      </c>
      <c r="C238" s="59" t="inlineStr">
        <is>
          <t>Acolhim. + Atend. Urgência + Atend. UPA</t>
        </is>
      </c>
      <c r="D238" s="60">
        <f>SUM(D239:D241)</f>
        <v/>
      </c>
      <c r="E238" s="60">
        <f>SUM(E239:E241)</f>
        <v/>
      </c>
      <c r="F238" s="60">
        <f>SUM(F239:F241)</f>
        <v/>
      </c>
      <c r="G238" s="60">
        <f>SUM(G239:G241)</f>
        <v/>
      </c>
      <c r="H238" s="60">
        <f>SUM(H239:H241)</f>
        <v/>
      </c>
      <c r="I238" s="60">
        <f>SUM(I239:I241)</f>
        <v/>
      </c>
      <c r="J238" s="60">
        <f>SUM(J239:J241)</f>
        <v/>
      </c>
      <c r="K238" s="60">
        <f>SUM(K239:K241)</f>
        <v/>
      </c>
      <c r="L238" s="60">
        <f>SUM(L239:L241)</f>
        <v/>
      </c>
      <c r="M238" s="60">
        <f>SUM(M239:M241)</f>
        <v/>
      </c>
      <c r="N238" s="60">
        <f>SUM(N239:N241)</f>
        <v/>
      </c>
      <c r="O238" s="60">
        <f>SUM(O239:O241)</f>
        <v/>
      </c>
      <c r="P238" s="60">
        <f>SUM(P239:P241)</f>
        <v/>
      </c>
    </row>
    <row r="239" ht="15.75" customHeight="1" s="45">
      <c r="A239" s="61" t="n">
        <v>46131</v>
      </c>
      <c r="B239" s="62" t="inlineStr">
        <is>
          <t>Antes-Projeto</t>
        </is>
      </c>
      <c r="C239" s="63" t="inlineStr">
        <is>
          <t>Acolhimento c/ Classif. de Risco</t>
        </is>
      </c>
      <c r="D239" s="64" t="n">
        <v>147</v>
      </c>
      <c r="E239" s="64" t="n">
        <v>119</v>
      </c>
      <c r="F239" s="64" t="n">
        <v>135</v>
      </c>
      <c r="G239" s="64" t="n">
        <v>116</v>
      </c>
      <c r="H239" s="64" t="n">
        <v>123</v>
      </c>
      <c r="I239" s="64" t="n">
        <v>179</v>
      </c>
      <c r="J239" s="64" t="n">
        <v>84</v>
      </c>
      <c r="K239" s="64" t="n">
        <v>281</v>
      </c>
      <c r="L239" s="64" t="n">
        <v>123</v>
      </c>
      <c r="M239" s="64" t="n">
        <v>255</v>
      </c>
      <c r="N239" s="64" t="n">
        <v>177</v>
      </c>
      <c r="O239" s="64" t="n">
        <v>259</v>
      </c>
      <c r="P239" s="64" t="n">
        <v>226</v>
      </c>
    </row>
    <row r="240" ht="15.75" customHeight="1" s="45">
      <c r="A240" s="61" t="n">
        <v>46131</v>
      </c>
      <c r="B240" s="62" t="inlineStr">
        <is>
          <t>Antes-Projeto</t>
        </is>
      </c>
      <c r="C240" s="65" t="inlineStr">
        <is>
          <t>Atend. Urgência Obs. ≤ 24h</t>
        </is>
      </c>
      <c r="D240" s="66" t="n">
        <v>33</v>
      </c>
      <c r="E240" s="66" t="n">
        <v>82</v>
      </c>
      <c r="F240" s="66" t="n">
        <v>26</v>
      </c>
      <c r="G240" s="66" t="n">
        <v>33</v>
      </c>
      <c r="H240" s="66" t="n">
        <v>50</v>
      </c>
      <c r="I240" s="66" t="n">
        <v>21</v>
      </c>
      <c r="J240" s="66" t="n">
        <v>62</v>
      </c>
      <c r="K240" s="66" t="n">
        <v>29</v>
      </c>
      <c r="L240" s="66" t="n">
        <v>36</v>
      </c>
      <c r="M240" s="66" t="n">
        <v>34</v>
      </c>
      <c r="N240" s="66" t="n">
        <v>63</v>
      </c>
      <c r="O240" s="66" t="n">
        <v>18</v>
      </c>
      <c r="P240" s="66" t="n">
        <v>54</v>
      </c>
    </row>
    <row r="241" ht="15.75" customHeight="1" s="45">
      <c r="A241" s="61" t="n">
        <v>46131</v>
      </c>
      <c r="B241" s="62" t="inlineStr">
        <is>
          <t>Antes-Projeto</t>
        </is>
      </c>
      <c r="C241" s="63" t="inlineStr">
        <is>
          <t>Atend. Médico em UPA</t>
        </is>
      </c>
      <c r="D241" s="64" t="n">
        <v>123</v>
      </c>
      <c r="E241" s="64" t="n">
        <v>65</v>
      </c>
      <c r="F241" s="64" t="n">
        <v>101</v>
      </c>
      <c r="G241" s="64" t="n">
        <v>42</v>
      </c>
      <c r="H241" s="64" t="n">
        <v>67</v>
      </c>
      <c r="I241" s="64" t="n">
        <v>163</v>
      </c>
      <c r="J241" s="64" t="n">
        <v>67</v>
      </c>
      <c r="K241" s="64" t="n">
        <v>124</v>
      </c>
      <c r="L241" s="64" t="n">
        <v>52</v>
      </c>
      <c r="M241" s="64" t="n">
        <v>161</v>
      </c>
      <c r="N241" s="64" t="n">
        <v>173</v>
      </c>
      <c r="O241" s="64" t="n">
        <v>172</v>
      </c>
      <c r="P241" s="64" t="n">
        <v>87</v>
      </c>
    </row>
    <row r="242" ht="15.75" customHeight="1" s="45">
      <c r="A242" s="61" t="n">
        <v>46131</v>
      </c>
      <c r="B242" s="62" t="inlineStr">
        <is>
          <t>Antes-Projeto</t>
        </is>
      </c>
      <c r="C242" s="65" t="inlineStr">
        <is>
          <t>Exames Laboratoriais</t>
        </is>
      </c>
      <c r="D242" s="66" t="n">
        <v>576</v>
      </c>
      <c r="E242" s="66" t="n">
        <v>269</v>
      </c>
      <c r="F242" s="66" t="n">
        <v>384</v>
      </c>
      <c r="G242" s="66" t="n">
        <v>328</v>
      </c>
      <c r="H242" s="66" t="n">
        <v>429</v>
      </c>
      <c r="I242" s="66" t="n">
        <v>438</v>
      </c>
      <c r="J242" s="66" t="n">
        <v>217</v>
      </c>
      <c r="K242" s="66" t="n">
        <v>695</v>
      </c>
      <c r="L242" s="66" t="n">
        <v>320</v>
      </c>
      <c r="M242" s="66" t="n">
        <v>684</v>
      </c>
      <c r="N242" s="66" t="n">
        <v>818</v>
      </c>
      <c r="O242" s="66" t="n">
        <v>392</v>
      </c>
      <c r="P242" s="66" t="n">
        <v>435</v>
      </c>
    </row>
    <row r="243" ht="15.75" customHeight="1" s="45">
      <c r="A243" s="61" t="n">
        <v>46131</v>
      </c>
      <c r="B243" s="62" t="inlineStr">
        <is>
          <t>Antes-Projeto</t>
        </is>
      </c>
      <c r="C243" s="63" t="inlineStr">
        <is>
          <t>Radiografias</t>
        </is>
      </c>
      <c r="D243" s="64" t="n">
        <v>19</v>
      </c>
      <c r="E243" s="64" t="n">
        <v>12</v>
      </c>
      <c r="F243" s="64" t="n">
        <v>34</v>
      </c>
      <c r="G243" s="64" t="n">
        <v>2</v>
      </c>
      <c r="H243" s="64" t="n">
        <v>21</v>
      </c>
      <c r="I243" s="64" t="n">
        <v>33</v>
      </c>
      <c r="J243" s="64" t="n">
        <v>6</v>
      </c>
      <c r="K243" s="64" t="n">
        <v>22</v>
      </c>
      <c r="L243" s="67" t="n">
        <v>0</v>
      </c>
      <c r="M243" s="67" t="n">
        <v>0</v>
      </c>
      <c r="N243" s="67" t="n">
        <v>0</v>
      </c>
      <c r="O243" s="64" t="n">
        <v>3</v>
      </c>
      <c r="P243" s="64" t="n">
        <v>5</v>
      </c>
    </row>
    <row r="244" ht="15.75" customHeight="1" s="45">
      <c r="A244" s="61" t="n">
        <v>46131</v>
      </c>
      <c r="B244" s="62" t="inlineStr">
        <is>
          <t>Antes-Projeto</t>
        </is>
      </c>
      <c r="C244" s="65" t="inlineStr">
        <is>
          <t>Eletrocardiogramas</t>
        </is>
      </c>
      <c r="D244" s="66" t="n">
        <v>14</v>
      </c>
      <c r="E244" s="66" t="n">
        <v>7</v>
      </c>
      <c r="F244" s="66" t="n">
        <v>17</v>
      </c>
      <c r="G244" s="66" t="n">
        <v>8</v>
      </c>
      <c r="H244" s="66" t="n">
        <v>7</v>
      </c>
      <c r="I244" s="66" t="n">
        <v>12</v>
      </c>
      <c r="J244" s="66" t="n">
        <v>10</v>
      </c>
      <c r="K244" s="66" t="n">
        <v>9</v>
      </c>
      <c r="L244" s="66" t="n">
        <v>6</v>
      </c>
      <c r="M244" s="66" t="n">
        <v>12</v>
      </c>
      <c r="N244" s="66" t="n">
        <v>29</v>
      </c>
      <c r="O244" s="66" t="n">
        <v>23</v>
      </c>
      <c r="P244" s="66" t="n">
        <v>14</v>
      </c>
    </row>
    <row r="245" ht="15.75" customHeight="1" s="45">
      <c r="A245" s="61" t="n">
        <v>46131</v>
      </c>
      <c r="B245" s="62" t="inlineStr">
        <is>
          <t>Antes-Projeto</t>
        </is>
      </c>
      <c r="C245" s="68" t="inlineStr">
        <is>
          <t>GAEs Abertas</t>
        </is>
      </c>
      <c r="D245" s="69" t="n">
        <v>157</v>
      </c>
      <c r="E245" s="69" t="n">
        <v>125</v>
      </c>
      <c r="F245" s="69" t="n">
        <v>137</v>
      </c>
      <c r="G245" s="69" t="n">
        <v>120</v>
      </c>
      <c r="H245" s="69" t="n">
        <v>126</v>
      </c>
      <c r="I245" s="69" t="n">
        <v>194</v>
      </c>
      <c r="J245" s="69" t="n">
        <v>88</v>
      </c>
      <c r="K245" s="69" t="n">
        <v>296</v>
      </c>
      <c r="L245" s="69" t="n">
        <v>138</v>
      </c>
      <c r="M245" s="69" t="n">
        <v>273</v>
      </c>
      <c r="N245" s="69" t="n">
        <v>179</v>
      </c>
      <c r="O245" s="69" t="n">
        <v>269</v>
      </c>
      <c r="P245" s="69" t="n">
        <v>234</v>
      </c>
    </row>
    <row r="246" ht="15.75" customHeight="1" s="45">
      <c r="A246" s="61" t="n">
        <v>46131</v>
      </c>
      <c r="B246" s="62" t="inlineStr">
        <is>
          <t>Antes-Projeto</t>
        </is>
      </c>
      <c r="C246" s="68" t="inlineStr">
        <is>
          <t>GAEs Classificadas</t>
        </is>
      </c>
      <c r="D246" s="69" t="n">
        <v>146</v>
      </c>
      <c r="E246" s="69" t="n">
        <v>119</v>
      </c>
      <c r="F246" s="69" t="n">
        <v>135</v>
      </c>
      <c r="G246" s="69" t="n">
        <v>117</v>
      </c>
      <c r="H246" s="69" t="n">
        <v>122</v>
      </c>
      <c r="I246" s="69" t="n">
        <v>177</v>
      </c>
      <c r="J246" s="69" t="n">
        <v>84</v>
      </c>
      <c r="K246" s="69" t="n">
        <v>277</v>
      </c>
      <c r="L246" s="69" t="n">
        <v>124</v>
      </c>
      <c r="M246" s="69" t="n">
        <v>262</v>
      </c>
      <c r="N246" s="69" t="n">
        <v>175</v>
      </c>
      <c r="O246" s="69" t="n">
        <v>260</v>
      </c>
      <c r="P246" s="69" t="n">
        <v>231</v>
      </c>
    </row>
    <row r="247" ht="15.75" customHeight="1" s="45">
      <c r="A247" s="61" t="n">
        <v>46131</v>
      </c>
      <c r="B247" s="62" t="inlineStr">
        <is>
          <t>Antes-Projeto</t>
        </is>
      </c>
      <c r="C247" s="70" t="inlineStr">
        <is>
          <t>Percentual de GAEs abertas classificadas</t>
        </is>
      </c>
      <c r="D247" s="71">
        <f>IFERROR(D246/D245,"-")</f>
        <v/>
      </c>
      <c r="E247" s="71">
        <f>IFERROR(E246/E245,"-")</f>
        <v/>
      </c>
      <c r="F247" s="71">
        <f>IFERROR(F246/F245,"-")</f>
        <v/>
      </c>
      <c r="G247" s="71">
        <f>IFERROR(G246/G245,"-")</f>
        <v/>
      </c>
      <c r="H247" s="71">
        <f>IFERROR(H246/H245,"-")</f>
        <v/>
      </c>
      <c r="I247" s="71">
        <f>IFERROR(I246/I245,"-")</f>
        <v/>
      </c>
      <c r="J247" s="71">
        <f>IFERROR(J246/J245,"-")</f>
        <v/>
      </c>
      <c r="K247" s="71">
        <f>IFERROR(K246/K245,"-")</f>
        <v/>
      </c>
      <c r="L247" s="71">
        <f>IFERROR(L246/L245,"-")</f>
        <v/>
      </c>
      <c r="M247" s="71">
        <f>IFERROR(M246/M245,"-")</f>
        <v/>
      </c>
      <c r="N247" s="71">
        <f>IFERROR(N246/N245,"-")</f>
        <v/>
      </c>
      <c r="O247" s="71">
        <f>IFERROR(O246/O245,"-")</f>
        <v/>
      </c>
      <c r="P247" s="71">
        <f>IFERROR(P246/P245,"-")</f>
        <v/>
      </c>
    </row>
    <row r="248" ht="15.75" customHeight="1" s="45">
      <c r="A248" s="61" t="n">
        <v>46131</v>
      </c>
      <c r="B248" s="62" t="inlineStr">
        <is>
          <t>Antes-Projeto</t>
        </is>
      </c>
      <c r="C248" s="72" t="inlineStr">
        <is>
          <t>Tempo Médio — 🟡 Amarelo (hh:mm)</t>
        </is>
      </c>
      <c r="D248" s="73" t="n">
        <v>0.0453125</v>
      </c>
      <c r="E248" s="73" t="n">
        <v>0.06612268518518519</v>
      </c>
      <c r="F248" s="73" t="n">
        <v>0.02857638888888889</v>
      </c>
      <c r="G248" s="73" t="n">
        <v>0.1114930555555556</v>
      </c>
      <c r="H248" s="73" t="n">
        <v>0.09685185185185186</v>
      </c>
      <c r="I248" s="73" t="n">
        <v>0.034375</v>
      </c>
      <c r="J248" s="73" t="n">
        <v>0.05895833333333333</v>
      </c>
      <c r="K248" s="73" t="n">
        <v>0.1501388888888889</v>
      </c>
      <c r="L248" s="73" t="n">
        <v>0.08453703703703704</v>
      </c>
      <c r="M248" s="73" t="n">
        <v>0.06795138888888889</v>
      </c>
      <c r="N248" s="73" t="n">
        <v>0.03733796296296296</v>
      </c>
      <c r="O248" s="73" t="n">
        <v>0.05233796296296296</v>
      </c>
      <c r="P248" s="73" t="n">
        <v>0.07491898148148148</v>
      </c>
    </row>
    <row r="249" ht="15.75" customHeight="1" s="45">
      <c r="A249" s="61" t="n">
        <v>46131</v>
      </c>
      <c r="B249" s="62" t="inlineStr">
        <is>
          <t>Antes-Projeto</t>
        </is>
      </c>
      <c r="C249" s="74" t="inlineStr">
        <is>
          <t>Tempo Médio — 🟠 Laranja (hh:mm)</t>
        </is>
      </c>
      <c r="D249" s="75" t="n">
        <v>0.01199074074074074</v>
      </c>
      <c r="E249" s="75" t="n">
        <v>0.006909722222222222</v>
      </c>
      <c r="F249" s="75" t="n">
        <v>0.005509259259259259</v>
      </c>
      <c r="G249" s="75" t="n">
        <v>0.03273148148148148</v>
      </c>
      <c r="H249" s="75" t="n">
        <v>0.006168981481481482</v>
      </c>
      <c r="I249" s="75" t="n">
        <v>0.009421296296296296</v>
      </c>
      <c r="J249" s="75" t="n">
        <v>0.0137037037037037</v>
      </c>
      <c r="K249" s="75" t="n">
        <v>0.02228009259259259</v>
      </c>
      <c r="L249" s="75" t="n">
        <v>0.02775462962962963</v>
      </c>
      <c r="M249" s="75" t="n">
        <v>0.01673611111111111</v>
      </c>
      <c r="N249" s="75" t="n">
        <v>0.0122337962962963</v>
      </c>
      <c r="O249" s="75" t="n">
        <v>0.01866898148148148</v>
      </c>
      <c r="P249" s="75" t="n">
        <v>0.01616898148148148</v>
      </c>
    </row>
    <row r="250" ht="15.75" customHeight="1" s="45">
      <c r="A250" s="76" t="n">
        <v>46131</v>
      </c>
      <c r="B250" s="77" t="inlineStr">
        <is>
          <t>Antes-Projeto</t>
        </is>
      </c>
      <c r="C250" s="78" t="inlineStr">
        <is>
          <t>Tempo Médio — 🟢 Verde   (hh:mm)</t>
        </is>
      </c>
      <c r="D250" s="79" t="n">
        <v>0.1062615740740741</v>
      </c>
      <c r="E250" s="79" t="n">
        <v>0.1584143518518518</v>
      </c>
      <c r="F250" s="79" t="n">
        <v>0.095</v>
      </c>
      <c r="G250" s="79" t="n">
        <v>0.2250462962962963</v>
      </c>
      <c r="H250" s="79" t="n">
        <v>0.1369212962962963</v>
      </c>
      <c r="I250" s="79" t="n">
        <v>0.1054050925925926</v>
      </c>
      <c r="J250" s="79" t="n">
        <v>0.1239583333333333</v>
      </c>
      <c r="K250" s="79" t="n">
        <v>0.1483333333333333</v>
      </c>
      <c r="L250" s="79" t="n">
        <v>0.2175347222222222</v>
      </c>
      <c r="M250" s="79" t="n">
        <v>0.07673611111111112</v>
      </c>
      <c r="N250" s="79" t="n">
        <v>0.09678240740740741</v>
      </c>
      <c r="O250" s="79" t="n">
        <v>0.1974189814814815</v>
      </c>
      <c r="P250" s="79" t="n">
        <v>0.1293402777777778</v>
      </c>
    </row>
    <row r="251" ht="15.75" customHeight="1" s="45">
      <c r="A251" s="57" t="n">
        <v>46132</v>
      </c>
      <c r="B251" s="58" t="inlineStr">
        <is>
          <t>Antes-Projeto</t>
        </is>
      </c>
      <c r="C251" s="59" t="inlineStr">
        <is>
          <t>Acolhim. + Atend. Urgência + Atend. UPA</t>
        </is>
      </c>
      <c r="D251" s="60">
        <f>SUM(D252:D254)</f>
        <v/>
      </c>
      <c r="E251" s="60">
        <f>SUM(E252:E254)</f>
        <v/>
      </c>
      <c r="F251" s="60">
        <f>SUM(F252:F254)</f>
        <v/>
      </c>
      <c r="G251" s="60">
        <f>SUM(G252:G254)</f>
        <v/>
      </c>
      <c r="H251" s="60">
        <f>SUM(H252:H254)</f>
        <v/>
      </c>
      <c r="I251" s="60">
        <f>SUM(I252:I254)</f>
        <v/>
      </c>
      <c r="J251" s="60">
        <f>SUM(J252:J254)</f>
        <v/>
      </c>
      <c r="K251" s="60">
        <f>SUM(K252:K254)</f>
        <v/>
      </c>
      <c r="L251" s="60">
        <f>SUM(L252:L254)</f>
        <v/>
      </c>
      <c r="M251" s="60">
        <f>SUM(M252:M254)</f>
        <v/>
      </c>
      <c r="N251" s="60">
        <f>SUM(N252:N254)</f>
        <v/>
      </c>
      <c r="O251" s="60">
        <f>SUM(O252:O254)</f>
        <v/>
      </c>
      <c r="P251" s="60">
        <f>SUM(P252:P254)</f>
        <v/>
      </c>
    </row>
    <row r="252" ht="15.75" customHeight="1" s="45">
      <c r="A252" s="61" t="n">
        <v>46132</v>
      </c>
      <c r="B252" s="62" t="inlineStr">
        <is>
          <t>Antes-Projeto</t>
        </is>
      </c>
      <c r="C252" s="65" t="inlineStr">
        <is>
          <t>Acolhimento c/ Classif. de Risco</t>
        </is>
      </c>
      <c r="D252" s="66" t="n">
        <v>232</v>
      </c>
      <c r="E252" s="66" t="n">
        <v>165</v>
      </c>
      <c r="F252" s="66" t="n">
        <v>192</v>
      </c>
      <c r="G252" s="66" t="n">
        <v>167</v>
      </c>
      <c r="H252" s="66" t="n">
        <v>166</v>
      </c>
      <c r="I252" s="66" t="n">
        <v>257</v>
      </c>
      <c r="J252" s="66" t="n">
        <v>121</v>
      </c>
      <c r="K252" s="66" t="n">
        <v>328</v>
      </c>
      <c r="L252" s="66" t="n">
        <v>180</v>
      </c>
      <c r="M252" s="66" t="n">
        <v>275</v>
      </c>
      <c r="N252" s="66" t="n">
        <v>274</v>
      </c>
      <c r="O252" s="66" t="n">
        <v>337</v>
      </c>
      <c r="P252" s="66" t="n">
        <v>294</v>
      </c>
    </row>
    <row r="253" ht="15.75" customHeight="1" s="45">
      <c r="A253" s="61" t="n">
        <v>46132</v>
      </c>
      <c r="B253" s="62" t="inlineStr">
        <is>
          <t>Antes-Projeto</t>
        </is>
      </c>
      <c r="C253" s="63" t="inlineStr">
        <is>
          <t>Atend. Urgência Obs. ≤ 24h</t>
        </is>
      </c>
      <c r="D253" s="64" t="n">
        <v>25</v>
      </c>
      <c r="E253" s="64" t="n">
        <v>93</v>
      </c>
      <c r="F253" s="64" t="n">
        <v>18</v>
      </c>
      <c r="G253" s="64" t="n">
        <v>14</v>
      </c>
      <c r="H253" s="64" t="n">
        <v>21</v>
      </c>
      <c r="I253" s="64" t="n">
        <v>31</v>
      </c>
      <c r="J253" s="64" t="n">
        <v>58</v>
      </c>
      <c r="K253" s="64" t="n">
        <v>21</v>
      </c>
      <c r="L253" s="64" t="n">
        <v>54</v>
      </c>
      <c r="M253" s="64" t="n">
        <v>37</v>
      </c>
      <c r="N253" s="64" t="n">
        <v>47</v>
      </c>
      <c r="O253" s="64" t="n">
        <v>36</v>
      </c>
      <c r="P253" s="64" t="n">
        <v>21</v>
      </c>
    </row>
    <row r="254" ht="15.75" customHeight="1" s="45">
      <c r="A254" s="61" t="n">
        <v>46132</v>
      </c>
      <c r="B254" s="62" t="inlineStr">
        <is>
          <t>Antes-Projeto</t>
        </is>
      </c>
      <c r="C254" s="65" t="inlineStr">
        <is>
          <t>Atend. Médico em UPA</t>
        </is>
      </c>
      <c r="D254" s="66" t="n">
        <v>127</v>
      </c>
      <c r="E254" s="66" t="n">
        <v>44</v>
      </c>
      <c r="F254" s="66" t="n">
        <v>122</v>
      </c>
      <c r="G254" s="66" t="n">
        <v>131</v>
      </c>
      <c r="H254" s="66" t="n">
        <v>110</v>
      </c>
      <c r="I254" s="66" t="n">
        <v>211</v>
      </c>
      <c r="J254" s="66" t="n">
        <v>76</v>
      </c>
      <c r="K254" s="66" t="n">
        <v>238</v>
      </c>
      <c r="L254" s="66" t="n">
        <v>110</v>
      </c>
      <c r="M254" s="66" t="n">
        <v>162</v>
      </c>
      <c r="N254" s="66" t="n">
        <v>251</v>
      </c>
      <c r="O254" s="66" t="n">
        <v>228</v>
      </c>
      <c r="P254" s="66" t="n">
        <v>141</v>
      </c>
    </row>
    <row r="255" ht="15.75" customHeight="1" s="45">
      <c r="A255" s="61" t="n">
        <v>46132</v>
      </c>
      <c r="B255" s="62" t="inlineStr">
        <is>
          <t>Antes-Projeto</t>
        </is>
      </c>
      <c r="C255" s="63" t="inlineStr">
        <is>
          <t>Exames Laboratoriais</t>
        </is>
      </c>
      <c r="D255" s="64" t="n">
        <v>594</v>
      </c>
      <c r="E255" s="64" t="n">
        <v>474</v>
      </c>
      <c r="F255" s="64" t="n">
        <v>510</v>
      </c>
      <c r="G255" s="64" t="n">
        <v>418</v>
      </c>
      <c r="H255" s="64" t="n">
        <v>280</v>
      </c>
      <c r="I255" s="64" t="n">
        <v>646</v>
      </c>
      <c r="J255" s="64" t="n">
        <v>402</v>
      </c>
      <c r="K255" s="64" t="n">
        <v>875</v>
      </c>
      <c r="L255" s="64" t="n">
        <v>474</v>
      </c>
      <c r="M255" s="64" t="n">
        <v>643</v>
      </c>
      <c r="N255" s="64" t="n">
        <v>310</v>
      </c>
      <c r="O255" s="64" t="n">
        <v>481</v>
      </c>
      <c r="P255" s="64" t="n">
        <v>762</v>
      </c>
    </row>
    <row r="256" ht="15.75" customHeight="1" s="45">
      <c r="A256" s="61" t="n">
        <v>46132</v>
      </c>
      <c r="B256" s="62" t="inlineStr">
        <is>
          <t>Antes-Projeto</t>
        </is>
      </c>
      <c r="C256" s="65" t="inlineStr">
        <is>
          <t>Radiografias</t>
        </is>
      </c>
      <c r="D256" s="66" t="n">
        <v>31</v>
      </c>
      <c r="E256" s="66" t="n">
        <v>19</v>
      </c>
      <c r="F256" s="66" t="n">
        <v>27</v>
      </c>
      <c r="G256" s="66" t="n">
        <v>1</v>
      </c>
      <c r="H256" s="66" t="n">
        <v>25</v>
      </c>
      <c r="I256" s="66" t="n">
        <v>22</v>
      </c>
      <c r="J256" s="66" t="n">
        <v>24</v>
      </c>
      <c r="K256" s="67" t="n">
        <v>0</v>
      </c>
      <c r="L256" s="67" t="n">
        <v>0</v>
      </c>
      <c r="M256" s="67" t="n">
        <v>0</v>
      </c>
      <c r="N256" s="66" t="n">
        <v>2</v>
      </c>
      <c r="O256" s="66" t="n">
        <v>1</v>
      </c>
      <c r="P256" s="66" t="n">
        <v>4</v>
      </c>
    </row>
    <row r="257" ht="15.75" customHeight="1" s="45">
      <c r="A257" s="61" t="n">
        <v>46132</v>
      </c>
      <c r="B257" s="62" t="inlineStr">
        <is>
          <t>Antes-Projeto</t>
        </is>
      </c>
      <c r="C257" s="63" t="inlineStr">
        <is>
          <t>Eletrocardiogramas</t>
        </is>
      </c>
      <c r="D257" s="64" t="n">
        <v>12</v>
      </c>
      <c r="E257" s="64" t="n">
        <v>9</v>
      </c>
      <c r="F257" s="64" t="n">
        <v>15</v>
      </c>
      <c r="G257" s="64" t="n">
        <v>18</v>
      </c>
      <c r="H257" s="64" t="n">
        <v>13</v>
      </c>
      <c r="I257" s="64" t="n">
        <v>20</v>
      </c>
      <c r="J257" s="64" t="n">
        <v>7</v>
      </c>
      <c r="K257" s="64" t="n">
        <v>12</v>
      </c>
      <c r="L257" s="64" t="n">
        <v>12</v>
      </c>
      <c r="M257" s="64" t="n">
        <v>9</v>
      </c>
      <c r="N257" s="64" t="n">
        <v>18</v>
      </c>
      <c r="O257" s="64" t="n">
        <v>19</v>
      </c>
      <c r="P257" s="64" t="n">
        <v>33</v>
      </c>
    </row>
    <row r="258" ht="15.75" customHeight="1" s="45">
      <c r="A258" s="61" t="n">
        <v>46132</v>
      </c>
      <c r="B258" s="62" t="inlineStr">
        <is>
          <t>Antes-Projeto</t>
        </is>
      </c>
      <c r="C258" s="68" t="inlineStr">
        <is>
          <t>GAEs Abertas</t>
        </is>
      </c>
      <c r="D258" s="69" t="n">
        <v>241</v>
      </c>
      <c r="E258" s="69" t="n">
        <v>173</v>
      </c>
      <c r="F258" s="69" t="n">
        <v>215</v>
      </c>
      <c r="G258" s="69" t="n">
        <v>212</v>
      </c>
      <c r="H258" s="69" t="n">
        <v>188</v>
      </c>
      <c r="I258" s="69" t="n">
        <v>289</v>
      </c>
      <c r="J258" s="69" t="n">
        <v>128</v>
      </c>
      <c r="K258" s="69" t="n">
        <v>411</v>
      </c>
      <c r="L258" s="69" t="n">
        <v>191</v>
      </c>
      <c r="M258" s="69" t="n">
        <v>334</v>
      </c>
      <c r="N258" s="69" t="n">
        <v>274</v>
      </c>
      <c r="O258" s="69" t="n">
        <v>358</v>
      </c>
      <c r="P258" s="69" t="n">
        <v>297</v>
      </c>
    </row>
    <row r="259" ht="15.75" customHeight="1" s="45">
      <c r="A259" s="61" t="n">
        <v>46132</v>
      </c>
      <c r="B259" s="62" t="inlineStr">
        <is>
          <t>Antes-Projeto</t>
        </is>
      </c>
      <c r="C259" s="68" t="inlineStr">
        <is>
          <t>GAEs Classificadas</t>
        </is>
      </c>
      <c r="D259" s="69" t="n">
        <v>231</v>
      </c>
      <c r="E259" s="69" t="n">
        <v>165</v>
      </c>
      <c r="F259" s="69" t="n">
        <v>194</v>
      </c>
      <c r="G259" s="69" t="n">
        <v>167</v>
      </c>
      <c r="H259" s="69" t="n">
        <v>167</v>
      </c>
      <c r="I259" s="69" t="n">
        <v>255</v>
      </c>
      <c r="J259" s="69" t="n">
        <v>121</v>
      </c>
      <c r="K259" s="69" t="n">
        <v>328</v>
      </c>
      <c r="L259" s="69" t="n">
        <v>178</v>
      </c>
      <c r="M259" s="69" t="n">
        <v>277</v>
      </c>
      <c r="N259" s="69" t="n">
        <v>254</v>
      </c>
      <c r="O259" s="69" t="n">
        <v>337</v>
      </c>
      <c r="P259" s="69" t="n">
        <v>290</v>
      </c>
    </row>
    <row r="260" ht="15.75" customHeight="1" s="45">
      <c r="A260" s="61" t="n">
        <v>46132</v>
      </c>
      <c r="B260" s="62" t="inlineStr">
        <is>
          <t>Antes-Projeto</t>
        </is>
      </c>
      <c r="C260" s="70" t="inlineStr">
        <is>
          <t>Percentual de GAEs abertas classificadas</t>
        </is>
      </c>
      <c r="D260" s="71">
        <f>IFERROR(D259/D258,"-")</f>
        <v/>
      </c>
      <c r="E260" s="71">
        <f>IFERROR(E259/E258,"-")</f>
        <v/>
      </c>
      <c r="F260" s="71">
        <f>IFERROR(F259/F258,"-")</f>
        <v/>
      </c>
      <c r="G260" s="71">
        <f>IFERROR(G259/G258,"-")</f>
        <v/>
      </c>
      <c r="H260" s="71">
        <f>IFERROR(H259/H258,"-")</f>
        <v/>
      </c>
      <c r="I260" s="71">
        <f>IFERROR(I259/I258,"-")</f>
        <v/>
      </c>
      <c r="J260" s="71">
        <f>IFERROR(J259/J258,"-")</f>
        <v/>
      </c>
      <c r="K260" s="71">
        <f>IFERROR(K259/K258,"-")</f>
        <v/>
      </c>
      <c r="L260" s="71">
        <f>IFERROR(L259/L258,"-")</f>
        <v/>
      </c>
      <c r="M260" s="71">
        <f>IFERROR(M259/M258,"-")</f>
        <v/>
      </c>
      <c r="N260" s="71">
        <f>IFERROR(N259/N258,"-")</f>
        <v/>
      </c>
      <c r="O260" s="71">
        <f>IFERROR(O259/O258,"-")</f>
        <v/>
      </c>
      <c r="P260" s="71">
        <f>IFERROR(P259/P258,"-")</f>
        <v/>
      </c>
    </row>
    <row r="261" ht="15.75" customHeight="1" s="45">
      <c r="A261" s="61" t="n">
        <v>46132</v>
      </c>
      <c r="B261" s="62" t="inlineStr">
        <is>
          <t>Antes-Projeto</t>
        </is>
      </c>
      <c r="C261" s="72" t="inlineStr">
        <is>
          <t>Tempo Médio — 🟡 Amarelo (hh:mm)</t>
        </is>
      </c>
      <c r="D261" s="73" t="n">
        <v>0.1696527777777778</v>
      </c>
      <c r="E261" s="73" t="n">
        <v>0.1133564814814815</v>
      </c>
      <c r="F261" s="73" t="n">
        <v>0.07440972222222222</v>
      </c>
      <c r="G261" s="73" t="n">
        <v>0.01677083333333333</v>
      </c>
      <c r="H261" s="73" t="n">
        <v>0.08473379629629629</v>
      </c>
      <c r="I261" s="73" t="n">
        <v>0.06914351851851852</v>
      </c>
      <c r="J261" s="73" t="n">
        <v>0.04046296296296296</v>
      </c>
      <c r="K261" s="73" t="n">
        <v>0.07988425925925927</v>
      </c>
      <c r="L261" s="73" t="n">
        <v>0.09016203703703704</v>
      </c>
      <c r="M261" s="73" t="n">
        <v>0.124837962962963</v>
      </c>
      <c r="N261" s="73" t="n">
        <v>0.1482638888888889</v>
      </c>
      <c r="O261" s="73" t="n">
        <v>0.0590625</v>
      </c>
      <c r="P261" s="73" t="n">
        <v>0.1205555555555556</v>
      </c>
    </row>
    <row r="262" ht="15.75" customHeight="1" s="45">
      <c r="A262" s="61" t="n">
        <v>46132</v>
      </c>
      <c r="B262" s="62" t="inlineStr">
        <is>
          <t>Antes-Projeto</t>
        </is>
      </c>
      <c r="C262" s="74" t="inlineStr">
        <is>
          <t>Tempo Médio — 🟠 Laranja (hh:mm)</t>
        </is>
      </c>
      <c r="D262" s="75" t="n">
        <v>0.02159722222222222</v>
      </c>
      <c r="E262" s="75" t="n">
        <v>0.00681712962962963</v>
      </c>
      <c r="F262" s="75" t="n">
        <v>0.005474537037037037</v>
      </c>
      <c r="G262" s="75" t="n">
        <v>0.005231481481481481</v>
      </c>
      <c r="H262" s="75" t="n">
        <v>0.005694444444444445</v>
      </c>
      <c r="I262" s="75" t="n">
        <v>0.01069444444444444</v>
      </c>
      <c r="J262" s="75" t="n">
        <v>0.01571759259259259</v>
      </c>
      <c r="K262" s="75" t="n">
        <v>0.02234953703703704</v>
      </c>
      <c r="L262" s="75" t="n">
        <v>0.01269675925925926</v>
      </c>
      <c r="M262" s="75" t="n">
        <v>0.01467592592592593</v>
      </c>
      <c r="N262" s="75" t="n">
        <v>0.01983796296296296</v>
      </c>
      <c r="O262" s="75" t="n">
        <v>0.01315972222222222</v>
      </c>
      <c r="P262" s="75" t="n">
        <v>0.01084490740740741</v>
      </c>
    </row>
    <row r="263" ht="15.75" customHeight="1" s="45">
      <c r="A263" s="76" t="n">
        <v>46132</v>
      </c>
      <c r="B263" s="77" t="inlineStr">
        <is>
          <t>Antes-Projeto</t>
        </is>
      </c>
      <c r="C263" s="78" t="inlineStr">
        <is>
          <t>Tempo Médio — 🟢 Verde   (hh:mm)</t>
        </is>
      </c>
      <c r="D263" s="79" t="n">
        <v>0.1542939814814815</v>
      </c>
      <c r="E263" s="79" t="n">
        <v>0.214849537037037</v>
      </c>
      <c r="F263" s="79" t="n">
        <v>0.1680555555555556</v>
      </c>
      <c r="G263" s="79" t="n">
        <v>0.0661574074074074</v>
      </c>
      <c r="H263" s="79" t="n">
        <v>0.1276851851851852</v>
      </c>
      <c r="I263" s="79" t="n">
        <v>0.1280324074074074</v>
      </c>
      <c r="J263" s="79" t="n">
        <v>0.09560185185185185</v>
      </c>
      <c r="K263" s="79" t="n">
        <v>0.08949074074074075</v>
      </c>
      <c r="L263" s="79" t="n">
        <v>0.1419560185185185</v>
      </c>
      <c r="M263" s="79" t="n">
        <v>0.0624074074074074</v>
      </c>
      <c r="N263" s="79" t="n">
        <v>0.1583564814814815</v>
      </c>
      <c r="O263" s="79" t="n">
        <v>0.1262152777777778</v>
      </c>
      <c r="P263" s="79" t="n">
        <v>0.1200231481481481</v>
      </c>
    </row>
    <row r="264" ht="15.75" customHeight="1" s="45">
      <c r="A264" s="57" t="n">
        <v>46133</v>
      </c>
      <c r="B264" s="58" t="inlineStr">
        <is>
          <t>Antes-Projeto</t>
        </is>
      </c>
      <c r="C264" s="59" t="inlineStr">
        <is>
          <t>Acolhim. + Atend. Urgência + Atend. UPA</t>
        </is>
      </c>
      <c r="D264" s="60">
        <f>SUM(D265:D267)</f>
        <v/>
      </c>
      <c r="E264" s="60">
        <f>SUM(E265:E267)</f>
        <v/>
      </c>
      <c r="F264" s="60">
        <f>SUM(F265:F267)</f>
        <v/>
      </c>
      <c r="G264" s="60">
        <f>SUM(G265:G267)</f>
        <v/>
      </c>
      <c r="H264" s="60">
        <f>SUM(H265:H267)</f>
        <v/>
      </c>
      <c r="I264" s="60">
        <f>SUM(I265:I267)</f>
        <v/>
      </c>
      <c r="J264" s="60">
        <f>SUM(J265:J267)</f>
        <v/>
      </c>
      <c r="K264" s="60">
        <f>SUM(K265:K267)</f>
        <v/>
      </c>
      <c r="L264" s="60">
        <f>SUM(L265:L267)</f>
        <v/>
      </c>
      <c r="M264" s="60">
        <f>SUM(M265:M267)</f>
        <v/>
      </c>
      <c r="N264" s="60">
        <f>SUM(N265:N267)</f>
        <v/>
      </c>
      <c r="O264" s="60">
        <f>SUM(O265:O267)</f>
        <v/>
      </c>
      <c r="P264" s="60">
        <f>SUM(P265:P267)</f>
        <v/>
      </c>
    </row>
    <row r="265" ht="15.75" customHeight="1" s="45">
      <c r="A265" s="61" t="n">
        <v>46133</v>
      </c>
      <c r="B265" s="62" t="inlineStr">
        <is>
          <t>Antes-Projeto</t>
        </is>
      </c>
      <c r="C265" s="63" t="inlineStr">
        <is>
          <t>Acolhimento c/ Classif. de Risco</t>
        </is>
      </c>
      <c r="D265" s="64" t="n">
        <v>219</v>
      </c>
      <c r="E265" s="64" t="n">
        <v>158</v>
      </c>
      <c r="F265" s="64" t="n">
        <v>159</v>
      </c>
      <c r="G265" s="64" t="n">
        <v>126</v>
      </c>
      <c r="H265" s="64" t="n">
        <v>122</v>
      </c>
      <c r="I265" s="64" t="n">
        <v>204</v>
      </c>
      <c r="J265" s="64" t="n">
        <v>105</v>
      </c>
      <c r="K265" s="64" t="n">
        <v>321</v>
      </c>
      <c r="L265" s="64" t="n">
        <v>138</v>
      </c>
      <c r="M265" s="64" t="n">
        <v>247</v>
      </c>
      <c r="N265" s="64" t="n">
        <v>206</v>
      </c>
      <c r="O265" s="64" t="n">
        <v>286</v>
      </c>
      <c r="P265" s="64" t="n">
        <v>220</v>
      </c>
    </row>
    <row r="266" ht="15.75" customHeight="1" s="45">
      <c r="A266" s="61" t="n">
        <v>46133</v>
      </c>
      <c r="B266" s="62" t="inlineStr">
        <is>
          <t>Antes-Projeto</t>
        </is>
      </c>
      <c r="C266" s="65" t="inlineStr">
        <is>
          <t>Atend. Urgência Obs. ≤ 24h</t>
        </is>
      </c>
      <c r="D266" s="66" t="n">
        <v>20</v>
      </c>
      <c r="E266" s="66" t="n">
        <v>60</v>
      </c>
      <c r="F266" s="66" t="n">
        <v>23</v>
      </c>
      <c r="G266" s="66" t="n">
        <v>22</v>
      </c>
      <c r="H266" s="66" t="n">
        <v>23</v>
      </c>
      <c r="I266" s="66" t="n">
        <v>18</v>
      </c>
      <c r="J266" s="66" t="n">
        <v>40</v>
      </c>
      <c r="K266" s="66" t="n">
        <v>18</v>
      </c>
      <c r="L266" s="66" t="n">
        <v>71</v>
      </c>
      <c r="M266" s="66" t="n">
        <v>46</v>
      </c>
      <c r="N266" s="66" t="n">
        <v>29</v>
      </c>
      <c r="O266" s="66" t="n">
        <v>20</v>
      </c>
      <c r="P266" s="66" t="n">
        <v>19</v>
      </c>
    </row>
    <row r="267" ht="15.75" customHeight="1" s="45">
      <c r="A267" s="61" t="n">
        <v>46133</v>
      </c>
      <c r="B267" s="62" t="inlineStr">
        <is>
          <t>Antes-Projeto</t>
        </is>
      </c>
      <c r="C267" s="63" t="inlineStr">
        <is>
          <t>Atend. Médico em UPA</t>
        </is>
      </c>
      <c r="D267" s="64" t="n">
        <v>164</v>
      </c>
      <c r="E267" s="64" t="n">
        <v>131</v>
      </c>
      <c r="F267" s="64" t="n">
        <v>123</v>
      </c>
      <c r="G267" s="64" t="n">
        <v>64</v>
      </c>
      <c r="H267" s="64" t="n">
        <v>90</v>
      </c>
      <c r="I267" s="64" t="n">
        <v>151</v>
      </c>
      <c r="J267" s="64" t="n">
        <v>75</v>
      </c>
      <c r="K267" s="64" t="n">
        <v>237</v>
      </c>
      <c r="L267" s="64" t="n">
        <v>93</v>
      </c>
      <c r="M267" s="64" t="n">
        <v>117</v>
      </c>
      <c r="N267" s="64" t="n">
        <v>197</v>
      </c>
      <c r="O267" s="64" t="n">
        <v>220</v>
      </c>
      <c r="P267" s="64" t="n">
        <v>120</v>
      </c>
    </row>
    <row r="268" ht="15.75" customHeight="1" s="45">
      <c r="A268" s="61" t="n">
        <v>46133</v>
      </c>
      <c r="B268" s="62" t="inlineStr">
        <is>
          <t>Antes-Projeto</t>
        </is>
      </c>
      <c r="C268" s="65" t="inlineStr">
        <is>
          <t>Exames Laboratoriais</t>
        </is>
      </c>
      <c r="D268" s="66" t="n">
        <v>689</v>
      </c>
      <c r="E268" s="66" t="n">
        <v>200</v>
      </c>
      <c r="F268" s="66" t="n">
        <v>837</v>
      </c>
      <c r="G268" s="66" t="n">
        <v>365</v>
      </c>
      <c r="H268" s="66" t="n">
        <v>352</v>
      </c>
      <c r="I268" s="66" t="n">
        <v>480</v>
      </c>
      <c r="J268" s="66" t="n">
        <v>337</v>
      </c>
      <c r="K268" s="66" t="n">
        <v>897</v>
      </c>
      <c r="L268" s="66" t="n">
        <v>635</v>
      </c>
      <c r="M268" s="66" t="n">
        <v>652</v>
      </c>
      <c r="N268" s="66" t="n">
        <v>546</v>
      </c>
      <c r="O268" s="66" t="n">
        <v>380</v>
      </c>
      <c r="P268" s="66" t="n">
        <v>404</v>
      </c>
    </row>
    <row r="269" ht="15.75" customHeight="1" s="45">
      <c r="A269" s="61" t="n">
        <v>46133</v>
      </c>
      <c r="B269" s="62" t="inlineStr">
        <is>
          <t>Antes-Projeto</t>
        </is>
      </c>
      <c r="C269" s="63" t="inlineStr">
        <is>
          <t>Radiografias</t>
        </is>
      </c>
      <c r="D269" s="64" t="n">
        <v>51</v>
      </c>
      <c r="E269" s="64" t="n">
        <v>33</v>
      </c>
      <c r="F269" s="64" t="n">
        <v>48</v>
      </c>
      <c r="G269" s="67" t="n">
        <v>0</v>
      </c>
      <c r="H269" s="64" t="n">
        <v>21</v>
      </c>
      <c r="I269" s="64" t="n">
        <v>11</v>
      </c>
      <c r="J269" s="64" t="n">
        <v>26</v>
      </c>
      <c r="K269" s="64" t="n">
        <v>56</v>
      </c>
      <c r="L269" s="67" t="n">
        <v>0</v>
      </c>
      <c r="M269" s="67" t="n">
        <v>0</v>
      </c>
      <c r="N269" s="67" t="n">
        <v>0</v>
      </c>
      <c r="O269" s="67" t="n">
        <v>0</v>
      </c>
      <c r="P269" s="64" t="n">
        <v>1</v>
      </c>
    </row>
    <row r="270" ht="15.75" customHeight="1" s="45">
      <c r="A270" s="61" t="n">
        <v>46133</v>
      </c>
      <c r="B270" s="62" t="inlineStr">
        <is>
          <t>Antes-Projeto</t>
        </is>
      </c>
      <c r="C270" s="65" t="inlineStr">
        <is>
          <t>Eletrocardiogramas</t>
        </is>
      </c>
      <c r="D270" s="66" t="n">
        <v>17</v>
      </c>
      <c r="E270" s="66" t="n">
        <v>17</v>
      </c>
      <c r="F270" s="66" t="n">
        <v>28</v>
      </c>
      <c r="G270" s="66" t="n">
        <v>4</v>
      </c>
      <c r="H270" s="66" t="n">
        <v>10</v>
      </c>
      <c r="I270" s="66" t="n">
        <v>10</v>
      </c>
      <c r="J270" s="66" t="n">
        <v>11</v>
      </c>
      <c r="K270" s="66" t="n">
        <v>20</v>
      </c>
      <c r="L270" s="66" t="n">
        <v>17</v>
      </c>
      <c r="M270" s="66" t="n">
        <v>12</v>
      </c>
      <c r="N270" s="66" t="n">
        <v>27</v>
      </c>
      <c r="O270" s="66" t="n">
        <v>9</v>
      </c>
      <c r="P270" s="66" t="n">
        <v>26</v>
      </c>
    </row>
    <row r="271" ht="15.75" customHeight="1" s="45">
      <c r="A271" s="61" t="n">
        <v>46133</v>
      </c>
      <c r="B271" s="62" t="inlineStr">
        <is>
          <t>Antes-Projeto</t>
        </is>
      </c>
      <c r="C271" s="68" t="inlineStr">
        <is>
          <t>GAEs Abertas</t>
        </is>
      </c>
      <c r="D271" s="69" t="n">
        <v>225</v>
      </c>
      <c r="E271" s="69" t="n">
        <v>165</v>
      </c>
      <c r="F271" s="69" t="n">
        <v>164</v>
      </c>
      <c r="G271" s="69" t="n">
        <v>132</v>
      </c>
      <c r="H271" s="69" t="n">
        <v>128</v>
      </c>
      <c r="I271" s="69" t="n">
        <v>222</v>
      </c>
      <c r="J271" s="69" t="n">
        <v>106</v>
      </c>
      <c r="K271" s="69" t="n">
        <v>338</v>
      </c>
      <c r="L271" s="69" t="n">
        <v>146</v>
      </c>
      <c r="M271" s="69" t="n">
        <v>257</v>
      </c>
      <c r="N271" s="69" t="n">
        <v>206</v>
      </c>
      <c r="O271" s="69" t="n">
        <v>293</v>
      </c>
      <c r="P271" s="69" t="n">
        <v>229</v>
      </c>
    </row>
    <row r="272" ht="15.75" customHeight="1" s="45">
      <c r="A272" s="61" t="n">
        <v>46133</v>
      </c>
      <c r="B272" s="62" t="inlineStr">
        <is>
          <t>Antes-Projeto</t>
        </is>
      </c>
      <c r="C272" s="68" t="inlineStr">
        <is>
          <t>GAEs Classificadas</t>
        </is>
      </c>
      <c r="D272" s="69" t="n">
        <v>221</v>
      </c>
      <c r="E272" s="69" t="n">
        <v>159</v>
      </c>
      <c r="F272" s="69" t="n">
        <v>157</v>
      </c>
      <c r="G272" s="69" t="n">
        <v>125</v>
      </c>
      <c r="H272" s="69" t="n">
        <v>123</v>
      </c>
      <c r="I272" s="69" t="n">
        <v>203</v>
      </c>
      <c r="J272" s="69" t="n">
        <v>106</v>
      </c>
      <c r="K272" s="69" t="n">
        <v>321</v>
      </c>
      <c r="L272" s="69" t="n">
        <v>138</v>
      </c>
      <c r="M272" s="69" t="n">
        <v>234</v>
      </c>
      <c r="N272" s="69" t="n">
        <v>196</v>
      </c>
      <c r="O272" s="69" t="n">
        <v>285</v>
      </c>
      <c r="P272" s="69" t="n">
        <v>221</v>
      </c>
    </row>
    <row r="273" ht="15.75" customHeight="1" s="45">
      <c r="A273" s="61" t="n">
        <v>46133</v>
      </c>
      <c r="B273" s="62" t="inlineStr">
        <is>
          <t>Antes-Projeto</t>
        </is>
      </c>
      <c r="C273" s="70" t="inlineStr">
        <is>
          <t>Percentual de GAEs abertas classificadas</t>
        </is>
      </c>
      <c r="D273" s="71">
        <f>IFERROR(D272/D271,"-")</f>
        <v/>
      </c>
      <c r="E273" s="71">
        <f>IFERROR(E272/E271,"-")</f>
        <v/>
      </c>
      <c r="F273" s="71">
        <f>IFERROR(F272/F271,"-")</f>
        <v/>
      </c>
      <c r="G273" s="71">
        <f>IFERROR(G272/G271,"-")</f>
        <v/>
      </c>
      <c r="H273" s="71">
        <f>IFERROR(H272/H271,"-")</f>
        <v/>
      </c>
      <c r="I273" s="71">
        <f>IFERROR(I272/I271,"-")</f>
        <v/>
      </c>
      <c r="J273" s="71">
        <f>IFERROR(J272/J271,"-")</f>
        <v/>
      </c>
      <c r="K273" s="71">
        <f>IFERROR(K272/K271,"-")</f>
        <v/>
      </c>
      <c r="L273" s="71">
        <f>IFERROR(L272/L271,"-")</f>
        <v/>
      </c>
      <c r="M273" s="71">
        <f>IFERROR(M272/M271,"-")</f>
        <v/>
      </c>
      <c r="N273" s="71">
        <f>IFERROR(N272/N271,"-")</f>
        <v/>
      </c>
      <c r="O273" s="71">
        <f>IFERROR(O272/O271,"-")</f>
        <v/>
      </c>
      <c r="P273" s="71">
        <f>IFERROR(P272/P271,"-")</f>
        <v/>
      </c>
    </row>
    <row r="274" ht="15.75" customHeight="1" s="45">
      <c r="A274" s="61" t="n">
        <v>46133</v>
      </c>
      <c r="B274" s="62" t="inlineStr">
        <is>
          <t>Antes-Projeto</t>
        </is>
      </c>
      <c r="C274" s="72" t="inlineStr">
        <is>
          <t>Tempo Médio — 🟡 Amarelo (hh:mm)</t>
        </is>
      </c>
      <c r="D274" s="73" t="n">
        <v>0.06425925925925927</v>
      </c>
      <c r="E274" s="73" t="n">
        <v>0.01550925925925926</v>
      </c>
      <c r="F274" s="73" t="n">
        <v>0.06458333333333334</v>
      </c>
      <c r="G274" s="73" t="n">
        <v>0.08509259259259259</v>
      </c>
      <c r="H274" s="73" t="n">
        <v>0.0597337962962963</v>
      </c>
      <c r="I274" s="73" t="n">
        <v>0.04651620370370371</v>
      </c>
      <c r="J274" s="73" t="n">
        <v>0.02990740740740741</v>
      </c>
      <c r="K274" s="73" t="n">
        <v>0.08260416666666667</v>
      </c>
      <c r="L274" s="73" t="n">
        <v>0.1261458333333333</v>
      </c>
      <c r="M274" s="73" t="n">
        <v>0.1209490740740741</v>
      </c>
      <c r="N274" s="73" t="n">
        <v>0.1174074074074074</v>
      </c>
      <c r="O274" s="73" t="n">
        <v>0.04125</v>
      </c>
      <c r="P274" s="73" t="n">
        <v>0.08457175925925926</v>
      </c>
    </row>
    <row r="275" ht="15.75" customHeight="1" s="45">
      <c r="A275" s="61" t="n">
        <v>46133</v>
      </c>
      <c r="B275" s="62" t="inlineStr">
        <is>
          <t>Antes-Projeto</t>
        </is>
      </c>
      <c r="C275" s="74" t="inlineStr">
        <is>
          <t>Tempo Médio — 🟠 Laranja (hh:mm)</t>
        </is>
      </c>
      <c r="D275" s="75" t="n">
        <v>0.01424768518518518</v>
      </c>
      <c r="E275" s="75" t="n">
        <v>0.008101851851851851</v>
      </c>
      <c r="F275" s="75" t="n">
        <v>0.01326388888888889</v>
      </c>
      <c r="G275" s="75" t="n">
        <v>0.008900462962962962</v>
      </c>
      <c r="H275" s="75" t="n">
        <v>0.007222222222222222</v>
      </c>
      <c r="I275" s="75" t="n">
        <v>0.009652777777777777</v>
      </c>
      <c r="J275" s="75" t="n">
        <v>0.01347222222222222</v>
      </c>
      <c r="K275" s="75" t="n">
        <v>0.0103587962962963</v>
      </c>
      <c r="L275" s="75" t="n">
        <v>0.01416666666666667</v>
      </c>
      <c r="M275" s="75" t="n">
        <v>0.01596064814814815</v>
      </c>
      <c r="N275" s="75" t="n">
        <v>0.01582175925925926</v>
      </c>
      <c r="O275" s="75" t="n">
        <v>0.01053240740740741</v>
      </c>
      <c r="P275" s="75" t="n">
        <v>0.02710648148148148</v>
      </c>
    </row>
    <row r="276" ht="15.75" customHeight="1" s="45">
      <c r="A276" s="76" t="n">
        <v>46133</v>
      </c>
      <c r="B276" s="77" t="inlineStr">
        <is>
          <t>Antes-Projeto</t>
        </is>
      </c>
      <c r="C276" s="78" t="inlineStr">
        <is>
          <t>Tempo Médio — 🟢 Verde   (hh:mm)</t>
        </is>
      </c>
      <c r="D276" s="79" t="n">
        <v>0.09495370370370371</v>
      </c>
      <c r="E276" s="79" t="n">
        <v>0.02606481481481481</v>
      </c>
      <c r="F276" s="79" t="n">
        <v>0.08642361111111112</v>
      </c>
      <c r="G276" s="79" t="n">
        <v>0.1918287037037037</v>
      </c>
      <c r="H276" s="79" t="n">
        <v>0.1296412037037037</v>
      </c>
      <c r="I276" s="79" t="n">
        <v>0.1063310185185185</v>
      </c>
      <c r="J276" s="79" t="n">
        <v>0.0491087962962963</v>
      </c>
      <c r="K276" s="79" t="n">
        <v>0.1047453703703704</v>
      </c>
      <c r="L276" s="79" t="n">
        <v>0.1127430555555556</v>
      </c>
      <c r="M276" s="79" t="n">
        <v>0.1289814814814815</v>
      </c>
      <c r="N276" s="79" t="n">
        <v>0.3005787037037037</v>
      </c>
      <c r="O276" s="79" t="n">
        <v>0.1064930555555555</v>
      </c>
      <c r="P276" s="79" t="n">
        <v>0.09306712962962962</v>
      </c>
    </row>
    <row r="277" ht="15.75" customHeight="1" s="45">
      <c r="A277" s="57" t="n">
        <v>46134</v>
      </c>
      <c r="B277" s="58" t="inlineStr">
        <is>
          <t>Antes-Projeto</t>
        </is>
      </c>
      <c r="C277" s="59" t="inlineStr">
        <is>
          <t>Acolhim. + Atend. Urgência + Atend. UPA</t>
        </is>
      </c>
      <c r="D277" s="60">
        <f>SUM(D278:D280)</f>
        <v/>
      </c>
      <c r="E277" s="60">
        <f>SUM(E278:E280)</f>
        <v/>
      </c>
      <c r="F277" s="60">
        <f>SUM(F278:F280)</f>
        <v/>
      </c>
      <c r="G277" s="60">
        <f>SUM(G278:G280)</f>
        <v/>
      </c>
      <c r="H277" s="60">
        <f>SUM(H278:H280)</f>
        <v/>
      </c>
      <c r="I277" s="60">
        <f>SUM(I278:I280)</f>
        <v/>
      </c>
      <c r="J277" s="60">
        <f>SUM(J278:J280)</f>
        <v/>
      </c>
      <c r="K277" s="60">
        <f>SUM(K278:K280)</f>
        <v/>
      </c>
      <c r="L277" s="60">
        <f>SUM(L278:L280)</f>
        <v/>
      </c>
      <c r="M277" s="60">
        <f>SUM(M278:M280)</f>
        <v/>
      </c>
      <c r="N277" s="60">
        <f>SUM(N278:N280)</f>
        <v/>
      </c>
      <c r="O277" s="60">
        <f>SUM(O278:O280)</f>
        <v/>
      </c>
      <c r="P277" s="60">
        <f>SUM(P278:P280)</f>
        <v/>
      </c>
    </row>
    <row r="278" ht="15.75" customHeight="1" s="45">
      <c r="A278" s="61" t="n">
        <v>46134</v>
      </c>
      <c r="B278" s="62" t="inlineStr">
        <is>
          <t>Antes-Projeto</t>
        </is>
      </c>
      <c r="C278" s="65" t="inlineStr">
        <is>
          <t>Acolhimento c/ Classif. de Risco</t>
        </is>
      </c>
      <c r="D278" s="66" t="n">
        <v>271</v>
      </c>
      <c r="E278" s="66" t="n">
        <v>173</v>
      </c>
      <c r="F278" s="66" t="n">
        <v>188</v>
      </c>
      <c r="G278" s="66" t="n">
        <v>181</v>
      </c>
      <c r="H278" s="66" t="n">
        <v>185</v>
      </c>
      <c r="I278" s="66" t="n">
        <v>248</v>
      </c>
      <c r="J278" s="66" t="n">
        <v>147</v>
      </c>
      <c r="K278" s="66" t="n">
        <v>371</v>
      </c>
      <c r="L278" s="66" t="n">
        <v>163</v>
      </c>
      <c r="M278" s="66" t="n">
        <v>311</v>
      </c>
      <c r="N278" s="66" t="n">
        <v>230</v>
      </c>
      <c r="O278" s="66" t="n">
        <v>328</v>
      </c>
      <c r="P278" s="66" t="n">
        <v>304</v>
      </c>
    </row>
    <row r="279" ht="15.75" customHeight="1" s="45">
      <c r="A279" s="61" t="n">
        <v>46134</v>
      </c>
      <c r="B279" s="62" t="inlineStr">
        <is>
          <t>Antes-Projeto</t>
        </is>
      </c>
      <c r="C279" s="63" t="inlineStr">
        <is>
          <t>Atend. Urgência Obs. ≤ 24h</t>
        </is>
      </c>
      <c r="D279" s="64" t="n">
        <v>27</v>
      </c>
      <c r="E279" s="64" t="n">
        <v>44</v>
      </c>
      <c r="F279" s="64" t="n">
        <v>24</v>
      </c>
      <c r="G279" s="64" t="n">
        <v>33</v>
      </c>
      <c r="H279" s="64" t="n">
        <v>14</v>
      </c>
      <c r="I279" s="64" t="n">
        <v>21</v>
      </c>
      <c r="J279" s="64" t="n">
        <v>25</v>
      </c>
      <c r="K279" s="64" t="n">
        <v>71</v>
      </c>
      <c r="L279" s="64" t="n">
        <v>58</v>
      </c>
      <c r="M279" s="64" t="n">
        <v>52</v>
      </c>
      <c r="N279" s="64" t="n">
        <v>42</v>
      </c>
      <c r="O279" s="64" t="n">
        <v>9</v>
      </c>
      <c r="P279" s="64" t="n">
        <v>27</v>
      </c>
    </row>
    <row r="280" ht="15.75" customHeight="1" s="45">
      <c r="A280" s="61" t="n">
        <v>46134</v>
      </c>
      <c r="B280" s="62" t="inlineStr">
        <is>
          <t>Antes-Projeto</t>
        </is>
      </c>
      <c r="C280" s="65" t="inlineStr">
        <is>
          <t>Atend. Médico em UPA</t>
        </is>
      </c>
      <c r="D280" s="66" t="n">
        <v>161</v>
      </c>
      <c r="E280" s="66" t="n">
        <v>38</v>
      </c>
      <c r="F280" s="66" t="n">
        <v>111</v>
      </c>
      <c r="G280" s="66" t="n">
        <v>75</v>
      </c>
      <c r="H280" s="66" t="n">
        <v>119</v>
      </c>
      <c r="I280" s="66" t="n">
        <v>163</v>
      </c>
      <c r="J280" s="66" t="n">
        <v>92</v>
      </c>
      <c r="K280" s="66" t="n">
        <v>315</v>
      </c>
      <c r="L280" s="66" t="n">
        <v>110</v>
      </c>
      <c r="M280" s="66" t="n">
        <v>171</v>
      </c>
      <c r="N280" s="66" t="n">
        <v>217</v>
      </c>
      <c r="O280" s="66" t="n">
        <v>243</v>
      </c>
      <c r="P280" s="66" t="n">
        <v>135</v>
      </c>
    </row>
    <row r="281" ht="15.75" customHeight="1" s="45">
      <c r="A281" s="61" t="n">
        <v>46134</v>
      </c>
      <c r="B281" s="62" t="inlineStr">
        <is>
          <t>Antes-Projeto</t>
        </is>
      </c>
      <c r="C281" s="63" t="inlineStr">
        <is>
          <t>Exames Laboratoriais</t>
        </is>
      </c>
      <c r="D281" s="64" t="n">
        <v>691</v>
      </c>
      <c r="E281" s="64" t="n">
        <v>420</v>
      </c>
      <c r="F281" s="64" t="n">
        <v>413</v>
      </c>
      <c r="G281" s="64" t="n">
        <v>478</v>
      </c>
      <c r="H281" s="64" t="n">
        <v>394</v>
      </c>
      <c r="I281" s="64" t="n">
        <v>575</v>
      </c>
      <c r="J281" s="64" t="n">
        <v>298</v>
      </c>
      <c r="K281" s="64" t="n">
        <v>963</v>
      </c>
      <c r="L281" s="64" t="n">
        <v>719</v>
      </c>
      <c r="M281" s="64" t="n">
        <v>652</v>
      </c>
      <c r="N281" s="64" t="n">
        <v>975</v>
      </c>
      <c r="O281" s="64" t="n">
        <v>577</v>
      </c>
      <c r="P281" s="64" t="n">
        <v>682</v>
      </c>
    </row>
    <row r="282" ht="15.75" customHeight="1" s="45">
      <c r="A282" s="61" t="n">
        <v>46134</v>
      </c>
      <c r="B282" s="62" t="inlineStr">
        <is>
          <t>Antes-Projeto</t>
        </is>
      </c>
      <c r="C282" s="65" t="inlineStr">
        <is>
          <t>Radiografias</t>
        </is>
      </c>
      <c r="D282" s="66" t="n">
        <v>40</v>
      </c>
      <c r="E282" s="66" t="n">
        <v>10</v>
      </c>
      <c r="F282" s="66" t="n">
        <v>16</v>
      </c>
      <c r="G282" s="66" t="n">
        <v>2</v>
      </c>
      <c r="H282" s="66" t="n">
        <v>17</v>
      </c>
      <c r="I282" s="66" t="n">
        <v>32</v>
      </c>
      <c r="J282" s="66" t="n">
        <v>18</v>
      </c>
      <c r="K282" s="66" t="n">
        <v>16</v>
      </c>
      <c r="L282" s="67" t="n">
        <v>0</v>
      </c>
      <c r="M282" s="67" t="n">
        <v>0</v>
      </c>
      <c r="N282" s="67" t="n">
        <v>0</v>
      </c>
      <c r="O282" s="67" t="n">
        <v>0</v>
      </c>
      <c r="P282" s="66" t="n">
        <v>4</v>
      </c>
    </row>
    <row r="283" ht="15.75" customHeight="1" s="45">
      <c r="A283" s="61" t="n">
        <v>46134</v>
      </c>
      <c r="B283" s="62" t="inlineStr">
        <is>
          <t>Antes-Projeto</t>
        </is>
      </c>
      <c r="C283" s="63" t="inlineStr">
        <is>
          <t>Eletrocardiogramas</t>
        </is>
      </c>
      <c r="D283" s="64" t="n">
        <v>19</v>
      </c>
      <c r="E283" s="64" t="n">
        <v>7</v>
      </c>
      <c r="F283" s="64" t="n">
        <v>16</v>
      </c>
      <c r="G283" s="64" t="n">
        <v>7</v>
      </c>
      <c r="H283" s="64" t="n">
        <v>8</v>
      </c>
      <c r="I283" s="64" t="n">
        <v>5</v>
      </c>
      <c r="J283" s="64" t="n">
        <v>4</v>
      </c>
      <c r="K283" s="64" t="n">
        <v>16</v>
      </c>
      <c r="L283" s="64" t="n">
        <v>21</v>
      </c>
      <c r="M283" s="64" t="n">
        <v>9</v>
      </c>
      <c r="N283" s="64" t="n">
        <v>31</v>
      </c>
      <c r="O283" s="64" t="n">
        <v>6</v>
      </c>
      <c r="P283" s="64" t="n">
        <v>20</v>
      </c>
    </row>
    <row r="284" ht="15.75" customHeight="1" s="45">
      <c r="A284" s="61" t="n">
        <v>46134</v>
      </c>
      <c r="B284" s="62" t="inlineStr">
        <is>
          <t>Antes-Projeto</t>
        </is>
      </c>
      <c r="C284" s="68" t="inlineStr">
        <is>
          <t>GAEs Abertas</t>
        </is>
      </c>
      <c r="D284" s="69" t="n">
        <v>298</v>
      </c>
      <c r="E284" s="69" t="n">
        <v>181</v>
      </c>
      <c r="F284" s="69" t="n">
        <v>198</v>
      </c>
      <c r="G284" s="69" t="n">
        <v>188</v>
      </c>
      <c r="H284" s="69" t="n">
        <v>191</v>
      </c>
      <c r="I284" s="69" t="n">
        <v>276</v>
      </c>
      <c r="J284" s="69" t="n">
        <v>148</v>
      </c>
      <c r="K284" s="69" t="n">
        <v>424</v>
      </c>
      <c r="L284" s="69" t="n">
        <v>174</v>
      </c>
      <c r="M284" s="69" t="n">
        <v>356</v>
      </c>
      <c r="N284" s="69" t="n">
        <v>232</v>
      </c>
      <c r="O284" s="69" t="n">
        <v>360</v>
      </c>
      <c r="P284" s="69" t="n">
        <v>311</v>
      </c>
    </row>
    <row r="285" ht="15.75" customHeight="1" s="45">
      <c r="A285" s="61" t="n">
        <v>46134</v>
      </c>
      <c r="B285" s="62" t="inlineStr">
        <is>
          <t>Antes-Projeto</t>
        </is>
      </c>
      <c r="C285" s="68" t="inlineStr">
        <is>
          <t>GAEs Classificadas</t>
        </is>
      </c>
      <c r="D285" s="69" t="n">
        <v>274</v>
      </c>
      <c r="E285" s="69" t="n">
        <v>171</v>
      </c>
      <c r="F285" s="69" t="n">
        <v>189</v>
      </c>
      <c r="G285" s="69" t="n">
        <v>180</v>
      </c>
      <c r="H285" s="69" t="n">
        <v>185</v>
      </c>
      <c r="I285" s="69" t="n">
        <v>249</v>
      </c>
      <c r="J285" s="69" t="n">
        <v>146</v>
      </c>
      <c r="K285" s="69" t="n">
        <v>374</v>
      </c>
      <c r="L285" s="69" t="n">
        <v>164</v>
      </c>
      <c r="M285" s="69" t="n">
        <v>319</v>
      </c>
      <c r="N285" s="69" t="n">
        <v>219</v>
      </c>
      <c r="O285" s="69" t="n">
        <v>337</v>
      </c>
      <c r="P285" s="69" t="n">
        <v>302</v>
      </c>
    </row>
    <row r="286" ht="15.75" customHeight="1" s="45">
      <c r="A286" s="61" t="n">
        <v>46134</v>
      </c>
      <c r="B286" s="62" t="inlineStr">
        <is>
          <t>Antes-Projeto</t>
        </is>
      </c>
      <c r="C286" s="70" t="inlineStr">
        <is>
          <t>Percentual de GAEs abertas classificadas</t>
        </is>
      </c>
      <c r="D286" s="71">
        <f>IFERROR(D285/D284,"-")</f>
        <v/>
      </c>
      <c r="E286" s="71">
        <f>IFERROR(E285/E284,"-")</f>
        <v/>
      </c>
      <c r="F286" s="71">
        <f>IFERROR(F285/F284,"-")</f>
        <v/>
      </c>
      <c r="G286" s="71">
        <f>IFERROR(G285/G284,"-")</f>
        <v/>
      </c>
      <c r="H286" s="71">
        <f>IFERROR(H285/H284,"-")</f>
        <v/>
      </c>
      <c r="I286" s="71">
        <f>IFERROR(I285/I284,"-")</f>
        <v/>
      </c>
      <c r="J286" s="71">
        <f>IFERROR(J285/J284,"-")</f>
        <v/>
      </c>
      <c r="K286" s="71">
        <f>IFERROR(K285/K284,"-")</f>
        <v/>
      </c>
      <c r="L286" s="71">
        <f>IFERROR(L285/L284,"-")</f>
        <v/>
      </c>
      <c r="M286" s="71">
        <f>IFERROR(M285/M284,"-")</f>
        <v/>
      </c>
      <c r="N286" s="71">
        <f>IFERROR(N285/N284,"-")</f>
        <v/>
      </c>
      <c r="O286" s="71">
        <f>IFERROR(O285/O284,"-")</f>
        <v/>
      </c>
      <c r="P286" s="71">
        <f>IFERROR(P285/P284,"-")</f>
        <v/>
      </c>
    </row>
    <row r="287" ht="15.75" customHeight="1" s="45">
      <c r="A287" s="61" t="n">
        <v>46134</v>
      </c>
      <c r="B287" s="62" t="inlineStr">
        <is>
          <t>Antes-Projeto</t>
        </is>
      </c>
      <c r="C287" s="72" t="inlineStr">
        <is>
          <t>Tempo Médio — 🟡 Amarelo (hh:mm)</t>
        </is>
      </c>
      <c r="D287" s="73" t="n">
        <v>0.05543981481481482</v>
      </c>
      <c r="E287" s="73" t="n">
        <v>0.06570601851851852</v>
      </c>
      <c r="F287" s="73" t="n">
        <v>0.1111226851851852</v>
      </c>
      <c r="G287" s="73" t="n">
        <v>0.04767361111111111</v>
      </c>
      <c r="H287" s="73" t="n">
        <v>0.07167824074074074</v>
      </c>
      <c r="I287" s="73" t="n">
        <v>0.1515046296296296</v>
      </c>
      <c r="J287" s="73" t="n">
        <v>0.02895833333333333</v>
      </c>
      <c r="K287" s="73" t="n">
        <v>0.1243865740740741</v>
      </c>
      <c r="L287" s="73" t="n">
        <v>0.128125</v>
      </c>
      <c r="M287" s="73" t="n">
        <v>0.06104166666666667</v>
      </c>
      <c r="N287" s="73" t="n">
        <v>0.1271180555555556</v>
      </c>
      <c r="O287" s="73" t="n">
        <v>0.05019675925925926</v>
      </c>
      <c r="P287" s="73" t="n">
        <v>0.0505787037037037</v>
      </c>
    </row>
    <row r="288" ht="15.75" customHeight="1" s="45">
      <c r="A288" s="61" t="n">
        <v>46134</v>
      </c>
      <c r="B288" s="62" t="inlineStr">
        <is>
          <t>Antes-Projeto</t>
        </is>
      </c>
      <c r="C288" s="74" t="inlineStr">
        <is>
          <t>Tempo Médio — 🟠 Laranja (hh:mm)</t>
        </is>
      </c>
      <c r="D288" s="75" t="n">
        <v>0.01083333333333333</v>
      </c>
      <c r="E288" s="75" t="n">
        <v>0.01171296296296296</v>
      </c>
      <c r="F288" s="75" t="n">
        <v>0.00982638888888889</v>
      </c>
      <c r="G288" s="75" t="n">
        <v>0.003587962962962963</v>
      </c>
      <c r="H288" s="75" t="n">
        <v>0.007523148148148148</v>
      </c>
      <c r="I288" s="75" t="n">
        <v>0.02092592592592592</v>
      </c>
      <c r="J288" s="75" t="n">
        <v>0.01</v>
      </c>
      <c r="K288" s="75" t="n">
        <v>0.01155092592592593</v>
      </c>
      <c r="L288" s="75" t="n">
        <v>0.02140046296296296</v>
      </c>
      <c r="M288" s="75" t="n">
        <v>0.01275462962962963</v>
      </c>
      <c r="N288" s="75" t="n">
        <v>0.01400462962962963</v>
      </c>
      <c r="O288" s="75" t="n">
        <v>0.0130787037037037</v>
      </c>
      <c r="P288" s="75" t="n">
        <v>0.01466435185185185</v>
      </c>
    </row>
    <row r="289" ht="15.75" customHeight="1" s="45">
      <c r="A289" s="76" t="n">
        <v>46134</v>
      </c>
      <c r="B289" s="77" t="inlineStr">
        <is>
          <t>Antes-Projeto</t>
        </is>
      </c>
      <c r="C289" s="78" t="inlineStr">
        <is>
          <t>Tempo Médio — 🟢 Verde   (hh:mm)</t>
        </is>
      </c>
      <c r="D289" s="79" t="n">
        <v>0.06304398148148148</v>
      </c>
      <c r="E289" s="79" t="n">
        <v>0.1328356481481482</v>
      </c>
      <c r="F289" s="79" t="n">
        <v>0.2013657407407407</v>
      </c>
      <c r="G289" s="79" t="n">
        <v>0.2067824074074074</v>
      </c>
      <c r="H289" s="79" t="n">
        <v>0.1500231481481482</v>
      </c>
      <c r="I289" s="79" t="n">
        <v>0.169224537037037</v>
      </c>
      <c r="J289" s="79" t="n">
        <v>0.1530902777777778</v>
      </c>
      <c r="K289" s="79" t="n">
        <v>0.1975578703703704</v>
      </c>
      <c r="L289" s="79" t="n">
        <v>0.1234606481481482</v>
      </c>
      <c r="M289" s="79" t="n">
        <v>0.08145833333333333</v>
      </c>
      <c r="N289" s="79" t="n">
        <v>0.2092824074074074</v>
      </c>
      <c r="O289" s="79" t="n">
        <v>0.160150462962963</v>
      </c>
      <c r="P289" s="79" t="n">
        <v>0.1307523148148148</v>
      </c>
    </row>
    <row r="290" ht="15.75" customHeight="1" s="45">
      <c r="A290" s="57" t="n">
        <v>46135</v>
      </c>
      <c r="B290" s="58" t="inlineStr">
        <is>
          <t>Antes-Projeto</t>
        </is>
      </c>
      <c r="C290" s="59" t="inlineStr">
        <is>
          <t>Acolhim. + Atend. Urgência + Atend. UPA</t>
        </is>
      </c>
      <c r="D290" s="60">
        <f>SUM(D291:D293)</f>
        <v/>
      </c>
      <c r="E290" s="60">
        <f>SUM(E291:E293)</f>
        <v/>
      </c>
      <c r="F290" s="60">
        <f>SUM(F291:F293)</f>
        <v/>
      </c>
      <c r="G290" s="60">
        <f>SUM(G291:G293)</f>
        <v/>
      </c>
      <c r="H290" s="60">
        <f>SUM(H291:H293)</f>
        <v/>
      </c>
      <c r="I290" s="60">
        <f>SUM(I291:I293)</f>
        <v/>
      </c>
      <c r="J290" s="60">
        <f>SUM(J291:J293)</f>
        <v/>
      </c>
      <c r="K290" s="60">
        <f>SUM(K291:K293)</f>
        <v/>
      </c>
      <c r="L290" s="60">
        <f>SUM(L291:L293)</f>
        <v/>
      </c>
      <c r="M290" s="60">
        <f>SUM(M291:M293)</f>
        <v/>
      </c>
      <c r="N290" s="60">
        <f>SUM(N291:N293)</f>
        <v/>
      </c>
      <c r="O290" s="60">
        <f>SUM(O291:O293)</f>
        <v/>
      </c>
      <c r="P290" s="60">
        <f>SUM(P291:P293)</f>
        <v/>
      </c>
    </row>
    <row r="291" ht="15.75" customHeight="1" s="45">
      <c r="A291" s="61" t="n">
        <v>46135</v>
      </c>
      <c r="B291" s="62" t="inlineStr">
        <is>
          <t>Antes-Projeto</t>
        </is>
      </c>
      <c r="C291" s="63" t="inlineStr">
        <is>
          <t>Acolhimento c/ Classif. de Risco</t>
        </is>
      </c>
      <c r="D291" s="64" t="n">
        <v>270</v>
      </c>
      <c r="E291" s="64" t="n">
        <v>158</v>
      </c>
      <c r="F291" s="64" t="n">
        <v>194</v>
      </c>
      <c r="G291" s="64" t="n">
        <v>101</v>
      </c>
      <c r="H291" s="64" t="n">
        <v>153</v>
      </c>
      <c r="I291" s="64" t="n">
        <v>230</v>
      </c>
      <c r="J291" s="64" t="n">
        <v>125</v>
      </c>
      <c r="K291" s="64" t="n">
        <v>361</v>
      </c>
      <c r="L291" s="64" t="n">
        <v>150</v>
      </c>
      <c r="M291" s="64" t="n">
        <v>297</v>
      </c>
      <c r="N291" s="64" t="n">
        <v>200</v>
      </c>
      <c r="O291" s="64" t="n">
        <v>325</v>
      </c>
      <c r="P291" s="64" t="n">
        <v>255</v>
      </c>
    </row>
    <row r="292" ht="15.75" customHeight="1" s="45">
      <c r="A292" s="61" t="n">
        <v>46135</v>
      </c>
      <c r="B292" s="62" t="inlineStr">
        <is>
          <t>Antes-Projeto</t>
        </is>
      </c>
      <c r="C292" s="65" t="inlineStr">
        <is>
          <t>Atend. Urgência Obs. ≤ 24h</t>
        </is>
      </c>
      <c r="D292" s="66" t="n">
        <v>19</v>
      </c>
      <c r="E292" s="66" t="n">
        <v>51</v>
      </c>
      <c r="F292" s="66" t="n">
        <v>24</v>
      </c>
      <c r="G292" s="66" t="n">
        <v>21</v>
      </c>
      <c r="H292" s="66" t="n">
        <v>19</v>
      </c>
      <c r="I292" s="66" t="n">
        <v>25</v>
      </c>
      <c r="J292" s="66" t="n">
        <v>15</v>
      </c>
      <c r="K292" s="66" t="n">
        <v>68</v>
      </c>
      <c r="L292" s="66" t="n">
        <v>49</v>
      </c>
      <c r="M292" s="66" t="n">
        <v>42</v>
      </c>
      <c r="N292" s="66" t="n">
        <v>32</v>
      </c>
      <c r="O292" s="66" t="n">
        <v>6</v>
      </c>
      <c r="P292" s="66" t="n">
        <v>21</v>
      </c>
    </row>
    <row r="293" ht="15.75" customHeight="1" s="45">
      <c r="A293" s="61" t="n">
        <v>46135</v>
      </c>
      <c r="B293" s="62" t="inlineStr">
        <is>
          <t>Antes-Projeto</t>
        </is>
      </c>
      <c r="C293" s="63" t="inlineStr">
        <is>
          <t>Atend. Médico em UPA</t>
        </is>
      </c>
      <c r="D293" s="64" t="n">
        <v>171</v>
      </c>
      <c r="E293" s="64" t="n">
        <v>75</v>
      </c>
      <c r="F293" s="64" t="n">
        <v>129</v>
      </c>
      <c r="G293" s="64" t="n">
        <v>39</v>
      </c>
      <c r="H293" s="64" t="n">
        <v>104</v>
      </c>
      <c r="I293" s="64" t="n">
        <v>214</v>
      </c>
      <c r="J293" s="64" t="n">
        <v>96</v>
      </c>
      <c r="K293" s="64" t="n">
        <v>265</v>
      </c>
      <c r="L293" s="64" t="n">
        <v>95</v>
      </c>
      <c r="M293" s="64" t="n">
        <v>163</v>
      </c>
      <c r="N293" s="64" t="n">
        <v>195</v>
      </c>
      <c r="O293" s="64" t="n">
        <v>258</v>
      </c>
      <c r="P293" s="64" t="n">
        <v>139</v>
      </c>
    </row>
    <row r="294" ht="15.75" customHeight="1" s="45">
      <c r="A294" s="61" t="n">
        <v>46135</v>
      </c>
      <c r="B294" s="62" t="inlineStr">
        <is>
          <t>Antes-Projeto</t>
        </is>
      </c>
      <c r="C294" s="65" t="inlineStr">
        <is>
          <t>Exames Laboratoriais</t>
        </is>
      </c>
      <c r="D294" s="66" t="n">
        <v>746</v>
      </c>
      <c r="E294" s="66" t="n">
        <v>262</v>
      </c>
      <c r="F294" s="66" t="n">
        <v>600</v>
      </c>
      <c r="G294" s="66" t="n">
        <v>247</v>
      </c>
      <c r="H294" s="66" t="n">
        <v>357</v>
      </c>
      <c r="I294" s="66" t="n">
        <v>597</v>
      </c>
      <c r="J294" s="66" t="n">
        <v>263</v>
      </c>
      <c r="K294" s="66" t="n">
        <v>982</v>
      </c>
      <c r="L294" s="66" t="n">
        <v>606</v>
      </c>
      <c r="M294" s="66" t="n">
        <v>784</v>
      </c>
      <c r="N294" s="66" t="n">
        <v>795</v>
      </c>
      <c r="O294" s="66" t="n">
        <v>478</v>
      </c>
      <c r="P294" s="66" t="n">
        <v>284</v>
      </c>
    </row>
    <row r="295" ht="15.75" customHeight="1" s="45">
      <c r="A295" s="61" t="n">
        <v>46135</v>
      </c>
      <c r="B295" s="62" t="inlineStr">
        <is>
          <t>Antes-Projeto</t>
        </is>
      </c>
      <c r="C295" s="63" t="inlineStr">
        <is>
          <t>Radiografias</t>
        </is>
      </c>
      <c r="D295" s="64" t="n">
        <v>45</v>
      </c>
      <c r="E295" s="64" t="n">
        <v>12</v>
      </c>
      <c r="F295" s="64" t="n">
        <v>27</v>
      </c>
      <c r="G295" s="64" t="n">
        <v>1</v>
      </c>
      <c r="H295" s="64" t="n">
        <v>21</v>
      </c>
      <c r="I295" s="64" t="n">
        <v>35</v>
      </c>
      <c r="J295" s="64" t="n">
        <v>18</v>
      </c>
      <c r="K295" s="64" t="n">
        <v>1</v>
      </c>
      <c r="L295" s="67" t="n">
        <v>0</v>
      </c>
      <c r="M295" s="64" t="n">
        <v>1</v>
      </c>
      <c r="N295" s="67" t="n">
        <v>0</v>
      </c>
      <c r="O295" s="67" t="n">
        <v>0</v>
      </c>
      <c r="P295" s="67" t="n">
        <v>0</v>
      </c>
    </row>
    <row r="296" ht="15.75" customHeight="1" s="45">
      <c r="A296" s="61" t="n">
        <v>46135</v>
      </c>
      <c r="B296" s="62" t="inlineStr">
        <is>
          <t>Antes-Projeto</t>
        </is>
      </c>
      <c r="C296" s="65" t="inlineStr">
        <is>
          <t>Eletrocardiogramas</t>
        </is>
      </c>
      <c r="D296" s="66" t="n">
        <v>25</v>
      </c>
      <c r="E296" s="66" t="n">
        <v>10</v>
      </c>
      <c r="F296" s="66" t="n">
        <v>25</v>
      </c>
      <c r="G296" s="66" t="n">
        <v>9</v>
      </c>
      <c r="H296" s="66" t="n">
        <v>10</v>
      </c>
      <c r="I296" s="66" t="n">
        <v>13</v>
      </c>
      <c r="J296" s="66" t="n">
        <v>7</v>
      </c>
      <c r="K296" s="66" t="n">
        <v>19</v>
      </c>
      <c r="L296" s="66" t="n">
        <v>11</v>
      </c>
      <c r="M296" s="66" t="n">
        <v>16</v>
      </c>
      <c r="N296" s="66" t="n">
        <v>22</v>
      </c>
      <c r="O296" s="66" t="n">
        <v>15</v>
      </c>
      <c r="P296" s="66" t="n">
        <v>21</v>
      </c>
    </row>
    <row r="297" ht="15.75" customHeight="1" s="45">
      <c r="A297" s="61" t="n">
        <v>46135</v>
      </c>
      <c r="B297" s="62" t="inlineStr">
        <is>
          <t>Antes-Projeto</t>
        </is>
      </c>
      <c r="C297" s="68" t="inlineStr">
        <is>
          <t>GAEs Abertas</t>
        </is>
      </c>
      <c r="D297" s="69" t="n">
        <v>279</v>
      </c>
      <c r="E297" s="69" t="n">
        <v>165</v>
      </c>
      <c r="F297" s="69" t="n">
        <v>198</v>
      </c>
      <c r="G297" s="69" t="n">
        <v>114</v>
      </c>
      <c r="H297" s="69" t="n">
        <v>157</v>
      </c>
      <c r="I297" s="69" t="n">
        <v>249</v>
      </c>
      <c r="J297" s="69" t="n">
        <v>127</v>
      </c>
      <c r="K297" s="69" t="n">
        <v>385</v>
      </c>
      <c r="L297" s="69" t="n">
        <v>160</v>
      </c>
      <c r="M297" s="69" t="n">
        <v>322</v>
      </c>
      <c r="N297" s="69" t="n">
        <v>202</v>
      </c>
      <c r="O297" s="69" t="n">
        <v>326</v>
      </c>
      <c r="P297" s="69" t="n">
        <v>267</v>
      </c>
    </row>
    <row r="298" ht="15.75" customHeight="1" s="45">
      <c r="A298" s="61" t="n">
        <v>46135</v>
      </c>
      <c r="B298" s="62" t="inlineStr">
        <is>
          <t>Antes-Projeto</t>
        </is>
      </c>
      <c r="C298" s="68" t="inlineStr">
        <is>
          <t>GAEs Classificadas</t>
        </is>
      </c>
      <c r="D298" s="69" t="n">
        <v>265</v>
      </c>
      <c r="E298" s="69" t="n">
        <v>159</v>
      </c>
      <c r="F298" s="69" t="n">
        <v>193</v>
      </c>
      <c r="G298" s="69" t="n">
        <v>100</v>
      </c>
      <c r="H298" s="69" t="n">
        <v>151</v>
      </c>
      <c r="I298" s="69" t="n">
        <v>226</v>
      </c>
      <c r="J298" s="69" t="n">
        <v>124</v>
      </c>
      <c r="K298" s="69" t="n">
        <v>361</v>
      </c>
      <c r="L298" s="69" t="n">
        <v>151</v>
      </c>
      <c r="M298" s="69" t="n">
        <v>283</v>
      </c>
      <c r="N298" s="69" t="n">
        <v>196</v>
      </c>
      <c r="O298" s="69" t="n">
        <v>319</v>
      </c>
      <c r="P298" s="69" t="n">
        <v>254</v>
      </c>
    </row>
    <row r="299" ht="15.75" customHeight="1" s="45">
      <c r="A299" s="61" t="n">
        <v>46135</v>
      </c>
      <c r="B299" s="62" t="inlineStr">
        <is>
          <t>Antes-Projeto</t>
        </is>
      </c>
      <c r="C299" s="70" t="inlineStr">
        <is>
          <t>Percentual de GAEs abertas classificadas</t>
        </is>
      </c>
      <c r="D299" s="71">
        <f>IFERROR(D298/D297,"-")</f>
        <v/>
      </c>
      <c r="E299" s="71">
        <f>IFERROR(E298/E297,"-")</f>
        <v/>
      </c>
      <c r="F299" s="71">
        <f>IFERROR(F298/F297,"-")</f>
        <v/>
      </c>
      <c r="G299" s="71">
        <f>IFERROR(G298/G297,"-")</f>
        <v/>
      </c>
      <c r="H299" s="71">
        <f>IFERROR(H298/H297,"-")</f>
        <v/>
      </c>
      <c r="I299" s="71">
        <f>IFERROR(I298/I297,"-")</f>
        <v/>
      </c>
      <c r="J299" s="71">
        <f>IFERROR(J298/J297,"-")</f>
        <v/>
      </c>
      <c r="K299" s="71">
        <f>IFERROR(K298/K297,"-")</f>
        <v/>
      </c>
      <c r="L299" s="71">
        <f>IFERROR(L298/L297,"-")</f>
        <v/>
      </c>
      <c r="M299" s="71">
        <f>IFERROR(M298/M297,"-")</f>
        <v/>
      </c>
      <c r="N299" s="71">
        <f>IFERROR(N298/N297,"-")</f>
        <v/>
      </c>
      <c r="O299" s="71">
        <f>IFERROR(O298/O297,"-")</f>
        <v/>
      </c>
      <c r="P299" s="71">
        <f>IFERROR(P298/P297,"-")</f>
        <v/>
      </c>
    </row>
    <row r="300" ht="15.75" customHeight="1" s="45">
      <c r="A300" s="61" t="n">
        <v>46135</v>
      </c>
      <c r="B300" s="62" t="inlineStr">
        <is>
          <t>Antes-Projeto</t>
        </is>
      </c>
      <c r="C300" s="72" t="inlineStr">
        <is>
          <t>Tempo Médio — 🟡 Amarelo (hh:mm)</t>
        </is>
      </c>
      <c r="D300" s="73" t="n">
        <v>0.06828703703703703</v>
      </c>
      <c r="E300" s="73" t="n">
        <v>0.09505787037037038</v>
      </c>
      <c r="F300" s="73" t="n">
        <v>0.09326388888888888</v>
      </c>
      <c r="G300" s="73" t="n">
        <v>0.05034722222222222</v>
      </c>
      <c r="H300" s="73" t="n">
        <v>0.07153935185185185</v>
      </c>
      <c r="I300" s="73" t="n">
        <v>0.04659722222222222</v>
      </c>
      <c r="J300" s="73" t="n">
        <v>0.03462962962962963</v>
      </c>
      <c r="K300" s="73" t="n">
        <v>0.06583333333333333</v>
      </c>
      <c r="L300" s="73" t="n">
        <v>0.198275462962963</v>
      </c>
      <c r="M300" s="73" t="n">
        <v>0.06277777777777778</v>
      </c>
      <c r="N300" s="73" t="n">
        <v>0.09369212962962963</v>
      </c>
      <c r="O300" s="73" t="n">
        <v>0.08439814814814815</v>
      </c>
      <c r="P300" s="73" t="n">
        <v>0.07295138888888889</v>
      </c>
    </row>
    <row r="301" ht="15.75" customHeight="1" s="45">
      <c r="A301" s="61" t="n">
        <v>46135</v>
      </c>
      <c r="B301" s="62" t="inlineStr">
        <is>
          <t>Antes-Projeto</t>
        </is>
      </c>
      <c r="C301" s="74" t="inlineStr">
        <is>
          <t>Tempo Médio — 🟠 Laranja (hh:mm)</t>
        </is>
      </c>
      <c r="D301" s="75" t="n">
        <v>0.01076388888888889</v>
      </c>
      <c r="E301" s="75" t="n">
        <v>0.01288194444444444</v>
      </c>
      <c r="F301" s="75" t="n">
        <v>0.007928240740740741</v>
      </c>
      <c r="G301" s="75" t="n">
        <v>0.0331712962962963</v>
      </c>
      <c r="H301" s="75" t="n">
        <v>0.004780092592592593</v>
      </c>
      <c r="I301" s="75" t="n">
        <v>0.006770833333333334</v>
      </c>
      <c r="J301" s="75" t="n">
        <v>0.007719907407407407</v>
      </c>
      <c r="K301" s="75" t="n">
        <v>0.01356481481481481</v>
      </c>
      <c r="L301" s="75" t="n">
        <v>0.04321759259259259</v>
      </c>
      <c r="M301" s="75" t="n">
        <v>0.02103009259259259</v>
      </c>
      <c r="N301" s="75" t="n">
        <v>0.02474537037037037</v>
      </c>
      <c r="O301" s="75" t="n">
        <v>0.02560185185185185</v>
      </c>
      <c r="P301" s="75" t="n">
        <v>0.01961805555555556</v>
      </c>
    </row>
    <row r="302" ht="15.75" customHeight="1" s="45">
      <c r="A302" s="76" t="n">
        <v>46135</v>
      </c>
      <c r="B302" s="77" t="inlineStr">
        <is>
          <t>Antes-Projeto</t>
        </is>
      </c>
      <c r="C302" s="78" t="inlineStr">
        <is>
          <t>Tempo Médio — 🟢 Verde   (hh:mm)</t>
        </is>
      </c>
      <c r="D302" s="79" t="n">
        <v>0.07310185185185185</v>
      </c>
      <c r="E302" s="79" t="n">
        <v>0.111875</v>
      </c>
      <c r="F302" s="79" t="n">
        <v>0.1080787037037037</v>
      </c>
      <c r="G302" s="79" t="n">
        <v>0.09581018518518518</v>
      </c>
      <c r="H302" s="79" t="n">
        <v>0.08289351851851852</v>
      </c>
      <c r="I302" s="79" t="n">
        <v>0.1525</v>
      </c>
      <c r="J302" s="79" t="n">
        <v>0.09666666666666666</v>
      </c>
      <c r="K302" s="79" t="n">
        <v>0.166400462962963</v>
      </c>
      <c r="L302" s="79" t="n">
        <v>0.1630671296296296</v>
      </c>
      <c r="M302" s="79" t="n">
        <v>0.1134375</v>
      </c>
      <c r="N302" s="79" t="n">
        <v>0.1273958333333333</v>
      </c>
      <c r="O302" s="79" t="n">
        <v>0.1646064814814815</v>
      </c>
      <c r="P302" s="79" t="n">
        <v>0.1280555555555556</v>
      </c>
    </row>
    <row r="303" ht="15.75" customHeight="1" s="45">
      <c r="A303" s="57" t="n">
        <v>46136</v>
      </c>
      <c r="B303" s="58" t="inlineStr">
        <is>
          <t>Antes-Projeto</t>
        </is>
      </c>
      <c r="C303" s="59" t="inlineStr">
        <is>
          <t>Acolhim. + Atend. Urgência + Atend. UPA</t>
        </is>
      </c>
      <c r="D303" s="60">
        <f>SUM(D304:D306)</f>
        <v/>
      </c>
      <c r="E303" s="60">
        <f>SUM(E304:E306)</f>
        <v/>
      </c>
      <c r="F303" s="60">
        <f>SUM(F304:F306)</f>
        <v/>
      </c>
      <c r="G303" s="60">
        <f>SUM(G304:G306)</f>
        <v/>
      </c>
      <c r="H303" s="60">
        <f>SUM(H304:H306)</f>
        <v/>
      </c>
      <c r="I303" s="60">
        <f>SUM(I304:I306)</f>
        <v/>
      </c>
      <c r="J303" s="60">
        <f>SUM(J304:J306)</f>
        <v/>
      </c>
      <c r="K303" s="60">
        <f>SUM(K304:K306)</f>
        <v/>
      </c>
      <c r="L303" s="60">
        <f>SUM(L304:L306)</f>
        <v/>
      </c>
      <c r="M303" s="60">
        <f>SUM(M304:M306)</f>
        <v/>
      </c>
      <c r="N303" s="60">
        <f>SUM(N304:N306)</f>
        <v/>
      </c>
      <c r="O303" s="60">
        <f>SUM(O304:O306)</f>
        <v/>
      </c>
      <c r="P303" s="60">
        <f>SUM(P304:P306)</f>
        <v/>
      </c>
    </row>
    <row r="304" ht="15.75" customHeight="1" s="45">
      <c r="A304" s="61" t="n">
        <v>46136</v>
      </c>
      <c r="B304" s="62" t="inlineStr">
        <is>
          <t>Antes-Projeto</t>
        </is>
      </c>
      <c r="C304" s="65" t="inlineStr">
        <is>
          <t>Acolhimento c/ Classif. de Risco</t>
        </is>
      </c>
      <c r="D304" s="66" t="n">
        <v>260</v>
      </c>
      <c r="E304" s="66" t="n">
        <v>159</v>
      </c>
      <c r="F304" s="66" t="n">
        <v>168</v>
      </c>
      <c r="G304" s="66" t="n">
        <v>138</v>
      </c>
      <c r="H304" s="66" t="n">
        <v>164</v>
      </c>
      <c r="I304" s="66" t="n">
        <v>191</v>
      </c>
      <c r="J304" s="66" t="n">
        <v>117</v>
      </c>
      <c r="K304" s="66" t="n">
        <v>331</v>
      </c>
      <c r="L304" s="66" t="n">
        <v>130</v>
      </c>
      <c r="M304" s="66" t="n">
        <v>281</v>
      </c>
      <c r="N304" s="66" t="n">
        <v>201</v>
      </c>
      <c r="O304" s="66" t="n">
        <v>299</v>
      </c>
      <c r="P304" s="66" t="n">
        <v>228</v>
      </c>
    </row>
    <row r="305" ht="15.75" customHeight="1" s="45">
      <c r="A305" s="61" t="n">
        <v>46136</v>
      </c>
      <c r="B305" s="62" t="inlineStr">
        <is>
          <t>Antes-Projeto</t>
        </is>
      </c>
      <c r="C305" s="63" t="inlineStr">
        <is>
          <t>Atend. Urgência Obs. ≤ 24h</t>
        </is>
      </c>
      <c r="D305" s="64" t="n">
        <v>24</v>
      </c>
      <c r="E305" s="64" t="n">
        <v>54</v>
      </c>
      <c r="F305" s="64" t="n">
        <v>30</v>
      </c>
      <c r="G305" s="64" t="n">
        <v>23</v>
      </c>
      <c r="H305" s="64" t="n">
        <v>32</v>
      </c>
      <c r="I305" s="64" t="n">
        <v>19</v>
      </c>
      <c r="J305" s="64" t="n">
        <v>27</v>
      </c>
      <c r="K305" s="64" t="n">
        <v>43</v>
      </c>
      <c r="L305" s="64" t="n">
        <v>49</v>
      </c>
      <c r="M305" s="64" t="n">
        <v>31</v>
      </c>
      <c r="N305" s="64" t="n">
        <v>26</v>
      </c>
      <c r="O305" s="64" t="n">
        <v>12</v>
      </c>
      <c r="P305" s="64" t="n">
        <v>44</v>
      </c>
    </row>
    <row r="306" ht="15.75" customHeight="1" s="45">
      <c r="A306" s="61" t="n">
        <v>46136</v>
      </c>
      <c r="B306" s="62" t="inlineStr">
        <is>
          <t>Antes-Projeto</t>
        </is>
      </c>
      <c r="C306" s="65" t="inlineStr">
        <is>
          <t>Atend. Médico em UPA</t>
        </is>
      </c>
      <c r="D306" s="66" t="n">
        <v>218</v>
      </c>
      <c r="E306" s="66" t="n">
        <v>81</v>
      </c>
      <c r="F306" s="66" t="n">
        <v>108</v>
      </c>
      <c r="G306" s="66" t="n">
        <v>86</v>
      </c>
      <c r="H306" s="66" t="n">
        <v>84</v>
      </c>
      <c r="I306" s="66" t="n">
        <v>156</v>
      </c>
      <c r="J306" s="66" t="n">
        <v>80</v>
      </c>
      <c r="K306" s="66" t="n">
        <v>273</v>
      </c>
      <c r="L306" s="66" t="n">
        <v>73</v>
      </c>
      <c r="M306" s="66" t="n">
        <v>154</v>
      </c>
      <c r="N306" s="66" t="n">
        <v>167</v>
      </c>
      <c r="O306" s="66" t="n">
        <v>232</v>
      </c>
      <c r="P306" s="66" t="n">
        <v>77</v>
      </c>
    </row>
    <row r="307" ht="15.75" customHeight="1" s="45">
      <c r="A307" s="61" t="n">
        <v>46136</v>
      </c>
      <c r="B307" s="62" t="inlineStr">
        <is>
          <t>Antes-Projeto</t>
        </is>
      </c>
      <c r="C307" s="63" t="inlineStr">
        <is>
          <t>Exames Laboratoriais</t>
        </is>
      </c>
      <c r="D307" s="64" t="n">
        <v>962</v>
      </c>
      <c r="E307" s="64" t="n">
        <v>540</v>
      </c>
      <c r="F307" s="64" t="n">
        <v>601</v>
      </c>
      <c r="G307" s="64" t="n">
        <v>323</v>
      </c>
      <c r="H307" s="64" t="n">
        <v>308</v>
      </c>
      <c r="I307" s="64" t="n">
        <v>482</v>
      </c>
      <c r="J307" s="64" t="n">
        <v>203</v>
      </c>
      <c r="K307" s="64" t="n">
        <v>1027</v>
      </c>
      <c r="L307" s="64" t="n">
        <v>812</v>
      </c>
      <c r="M307" s="64" t="n">
        <v>661</v>
      </c>
      <c r="N307" s="64" t="n">
        <v>684</v>
      </c>
      <c r="O307" s="64" t="n">
        <v>408</v>
      </c>
      <c r="P307" s="64" t="n">
        <v>376</v>
      </c>
    </row>
    <row r="308" ht="15.75" customHeight="1" s="45">
      <c r="A308" s="61" t="n">
        <v>46136</v>
      </c>
      <c r="B308" s="62" t="inlineStr">
        <is>
          <t>Antes-Projeto</t>
        </is>
      </c>
      <c r="C308" s="65" t="inlineStr">
        <is>
          <t>Radiografias</t>
        </is>
      </c>
      <c r="D308" s="66" t="n">
        <v>38</v>
      </c>
      <c r="E308" s="66" t="n">
        <v>16</v>
      </c>
      <c r="F308" s="66" t="n">
        <v>28</v>
      </c>
      <c r="G308" s="66" t="n">
        <v>1</v>
      </c>
      <c r="H308" s="66" t="n">
        <v>11</v>
      </c>
      <c r="I308" s="66" t="n">
        <v>21</v>
      </c>
      <c r="J308" s="66" t="n">
        <v>18</v>
      </c>
      <c r="K308" s="66" t="n">
        <v>24</v>
      </c>
      <c r="L308" s="67" t="n">
        <v>0</v>
      </c>
      <c r="M308" s="67" t="n">
        <v>0</v>
      </c>
      <c r="N308" s="66" t="n">
        <v>1</v>
      </c>
      <c r="O308" s="66" t="n">
        <v>2</v>
      </c>
      <c r="P308" s="67" t="n">
        <v>0</v>
      </c>
    </row>
    <row r="309" ht="15.75" customHeight="1" s="45">
      <c r="A309" s="61" t="n">
        <v>46136</v>
      </c>
      <c r="B309" s="62" t="inlineStr">
        <is>
          <t>Antes-Projeto</t>
        </is>
      </c>
      <c r="C309" s="63" t="inlineStr">
        <is>
          <t>Eletrocardiogramas</t>
        </is>
      </c>
      <c r="D309" s="64" t="n">
        <v>23</v>
      </c>
      <c r="E309" s="64" t="n">
        <v>11</v>
      </c>
      <c r="F309" s="64" t="n">
        <v>16</v>
      </c>
      <c r="G309" s="64" t="n">
        <v>15</v>
      </c>
      <c r="H309" s="64" t="n">
        <v>10</v>
      </c>
      <c r="I309" s="64" t="n">
        <v>15</v>
      </c>
      <c r="J309" s="64" t="n">
        <v>9</v>
      </c>
      <c r="K309" s="64" t="n">
        <v>13</v>
      </c>
      <c r="L309" s="64" t="n">
        <v>14</v>
      </c>
      <c r="M309" s="64" t="n">
        <v>17</v>
      </c>
      <c r="N309" s="64" t="n">
        <v>23</v>
      </c>
      <c r="O309" s="64" t="n">
        <v>17</v>
      </c>
      <c r="P309" s="64" t="n">
        <v>13</v>
      </c>
    </row>
    <row r="310" ht="15.75" customHeight="1" s="45">
      <c r="A310" s="61" t="n">
        <v>46136</v>
      </c>
      <c r="B310" s="62" t="inlineStr">
        <is>
          <t>Antes-Projeto</t>
        </is>
      </c>
      <c r="C310" s="68" t="inlineStr">
        <is>
          <t>GAEs Abertas</t>
        </is>
      </c>
      <c r="D310" s="69" t="n">
        <v>270</v>
      </c>
      <c r="E310" s="69" t="n">
        <v>169</v>
      </c>
      <c r="F310" s="69" t="n">
        <v>176</v>
      </c>
      <c r="G310" s="69" t="n">
        <v>145</v>
      </c>
      <c r="H310" s="69" t="n">
        <v>173</v>
      </c>
      <c r="I310" s="69" t="n">
        <v>197</v>
      </c>
      <c r="J310" s="69" t="n">
        <v>125</v>
      </c>
      <c r="K310" s="69" t="n">
        <v>368</v>
      </c>
      <c r="L310" s="69" t="n">
        <v>141</v>
      </c>
      <c r="M310" s="69" t="n">
        <v>290</v>
      </c>
      <c r="N310" s="69" t="n">
        <v>208</v>
      </c>
      <c r="O310" s="69" t="n">
        <v>317</v>
      </c>
      <c r="P310" s="69" t="n">
        <v>237</v>
      </c>
    </row>
    <row r="311" ht="15.75" customHeight="1" s="45">
      <c r="A311" s="61" t="n">
        <v>46136</v>
      </c>
      <c r="B311" s="62" t="inlineStr">
        <is>
          <t>Antes-Projeto</t>
        </is>
      </c>
      <c r="C311" s="68" t="inlineStr">
        <is>
          <t>GAEs Classificadas</t>
        </is>
      </c>
      <c r="D311" s="69" t="n">
        <v>260</v>
      </c>
      <c r="E311" s="69" t="n">
        <v>159</v>
      </c>
      <c r="F311" s="69" t="n">
        <v>169</v>
      </c>
      <c r="G311" s="69" t="n">
        <v>139</v>
      </c>
      <c r="H311" s="69" t="n">
        <v>165</v>
      </c>
      <c r="I311" s="69" t="n">
        <v>188</v>
      </c>
      <c r="J311" s="69" t="n">
        <v>118</v>
      </c>
      <c r="K311" s="69" t="n">
        <v>328</v>
      </c>
      <c r="L311" s="69" t="n">
        <v>131</v>
      </c>
      <c r="M311" s="69" t="n">
        <v>269</v>
      </c>
      <c r="N311" s="69" t="n">
        <v>200</v>
      </c>
      <c r="O311" s="69" t="n">
        <v>298</v>
      </c>
      <c r="P311" s="69" t="n">
        <v>230</v>
      </c>
    </row>
    <row r="312" ht="15.75" customHeight="1" s="45">
      <c r="A312" s="61" t="n">
        <v>46136</v>
      </c>
      <c r="B312" s="62" t="inlineStr">
        <is>
          <t>Antes-Projeto</t>
        </is>
      </c>
      <c r="C312" s="70" t="inlineStr">
        <is>
          <t>Percentual de GAEs abertas classificadas</t>
        </is>
      </c>
      <c r="D312" s="71">
        <f>IFERROR(D311/D310,"-")</f>
        <v/>
      </c>
      <c r="E312" s="71">
        <f>IFERROR(E311/E310,"-")</f>
        <v/>
      </c>
      <c r="F312" s="71">
        <f>IFERROR(F311/F310,"-")</f>
        <v/>
      </c>
      <c r="G312" s="71">
        <f>IFERROR(G311/G310,"-")</f>
        <v/>
      </c>
      <c r="H312" s="71">
        <f>IFERROR(H311/H310,"-")</f>
        <v/>
      </c>
      <c r="I312" s="71">
        <f>IFERROR(I311/I310,"-")</f>
        <v/>
      </c>
      <c r="J312" s="71">
        <f>IFERROR(J311/J310,"-")</f>
        <v/>
      </c>
      <c r="K312" s="71">
        <f>IFERROR(K311/K310,"-")</f>
        <v/>
      </c>
      <c r="L312" s="71">
        <f>IFERROR(L311/L310,"-")</f>
        <v/>
      </c>
      <c r="M312" s="71">
        <f>IFERROR(M311/M310,"-")</f>
        <v/>
      </c>
      <c r="N312" s="71">
        <f>IFERROR(N311/N310,"-")</f>
        <v/>
      </c>
      <c r="O312" s="71">
        <f>IFERROR(O311/O310,"-")</f>
        <v/>
      </c>
      <c r="P312" s="71">
        <f>IFERROR(P311/P310,"-")</f>
        <v/>
      </c>
    </row>
    <row r="313" ht="15.75" customHeight="1" s="45">
      <c r="A313" s="61" t="n">
        <v>46136</v>
      </c>
      <c r="B313" s="62" t="inlineStr">
        <is>
          <t>Antes-Projeto</t>
        </is>
      </c>
      <c r="C313" s="72" t="inlineStr">
        <is>
          <t>Tempo Médio — 🟡 Amarelo (hh:mm)</t>
        </is>
      </c>
      <c r="D313" s="73" t="n">
        <v>0.02302083333333333</v>
      </c>
      <c r="E313" s="73" t="n">
        <v>0.05466435185185185</v>
      </c>
      <c r="F313" s="73" t="n">
        <v>0.09820601851851851</v>
      </c>
      <c r="G313" s="73" t="n">
        <v>0.07608796296296297</v>
      </c>
      <c r="H313" s="73" t="n">
        <v>0.03953703703703704</v>
      </c>
      <c r="I313" s="73" t="n">
        <v>0.01818287037037037</v>
      </c>
      <c r="J313" s="73" t="n">
        <v>0.04931712962962963</v>
      </c>
      <c r="K313" s="73" t="n">
        <v>0.06899305555555556</v>
      </c>
      <c r="L313" s="73" t="n">
        <v>0.1759375</v>
      </c>
      <c r="M313" s="73" t="n">
        <v>0.06826388888888889</v>
      </c>
      <c r="N313" s="73" t="n">
        <v>0.1023958333333333</v>
      </c>
      <c r="O313" s="73" t="n">
        <v>0.07038194444444444</v>
      </c>
      <c r="P313" s="73" t="n">
        <v>0.1062037037037037</v>
      </c>
    </row>
    <row r="314" ht="15.75" customHeight="1" s="45">
      <c r="A314" s="61" t="n">
        <v>46136</v>
      </c>
      <c r="B314" s="62" t="inlineStr">
        <is>
          <t>Antes-Projeto</t>
        </is>
      </c>
      <c r="C314" s="74" t="inlineStr">
        <is>
          <t>Tempo Médio — 🟠 Laranja (hh:mm)</t>
        </is>
      </c>
      <c r="D314" s="75" t="n">
        <v>0.01005787037037037</v>
      </c>
      <c r="E314" s="75" t="n">
        <v>0.007939814814814814</v>
      </c>
      <c r="F314" s="75" t="n">
        <v>0.009930555555555555</v>
      </c>
      <c r="G314" s="75" t="n">
        <v>0.003159722222222222</v>
      </c>
      <c r="H314" s="75" t="n">
        <v>0.00787037037037037</v>
      </c>
      <c r="I314" s="75" t="n">
        <v>0.008981481481481481</v>
      </c>
      <c r="J314" s="75" t="n">
        <v>0.01392361111111111</v>
      </c>
      <c r="K314" s="75" t="n">
        <v>0.01885416666666667</v>
      </c>
      <c r="L314" s="75" t="n">
        <v>0.02141203703703704</v>
      </c>
      <c r="M314" s="75" t="n">
        <v>0.01393518518518519</v>
      </c>
      <c r="N314" s="75" t="n">
        <v>0.01859953703703704</v>
      </c>
      <c r="O314" s="75" t="n">
        <v>0.009363425925925926</v>
      </c>
      <c r="P314" s="75" t="n">
        <v>0.03310185185185185</v>
      </c>
    </row>
    <row r="315" ht="15.75" customHeight="1" s="45">
      <c r="A315" s="76" t="n">
        <v>46136</v>
      </c>
      <c r="B315" s="77" t="inlineStr">
        <is>
          <t>Antes-Projeto</t>
        </is>
      </c>
      <c r="C315" s="78" t="inlineStr">
        <is>
          <t>Tempo Médio — 🟢 Verde   (hh:mm)</t>
        </is>
      </c>
      <c r="D315" s="79" t="n">
        <v>0.05296296296296296</v>
      </c>
      <c r="E315" s="79" t="n">
        <v>0.1839699074074074</v>
      </c>
      <c r="F315" s="79" t="n">
        <v>0.1519560185185185</v>
      </c>
      <c r="G315" s="79" t="n">
        <v>0.1394212962962963</v>
      </c>
      <c r="H315" s="79" t="n">
        <v>0.1013541666666667</v>
      </c>
      <c r="I315" s="79" t="n">
        <v>0.06761574074074074</v>
      </c>
      <c r="J315" s="79" t="n">
        <v>0.08865740740740741</v>
      </c>
      <c r="K315" s="79" t="n">
        <v>0.1067708333333333</v>
      </c>
      <c r="L315" s="79" t="n">
        <v>0.3746064814814815</v>
      </c>
      <c r="M315" s="79" t="n">
        <v>0.1311921296296296</v>
      </c>
      <c r="N315" s="79" t="n">
        <v>0.1334953703703704</v>
      </c>
      <c r="O315" s="79" t="n">
        <v>0.1700925925925926</v>
      </c>
      <c r="P315" s="79" t="n">
        <v>0.09837962962962964</v>
      </c>
    </row>
    <row r="316" ht="15.75" customHeight="1" s="45">
      <c r="A316" s="57" t="n">
        <v>46137</v>
      </c>
      <c r="B316" s="58" t="inlineStr">
        <is>
          <t>Antes-Projeto</t>
        </is>
      </c>
      <c r="C316" s="59" t="inlineStr">
        <is>
          <t>Acolhim. + Atend. Urgência + Atend. UPA</t>
        </is>
      </c>
      <c r="D316" s="60">
        <f>SUM(D317:D319)</f>
        <v/>
      </c>
      <c r="E316" s="60">
        <f>SUM(E317:E319)</f>
        <v/>
      </c>
      <c r="F316" s="60">
        <f>SUM(F317:F319)</f>
        <v/>
      </c>
      <c r="G316" s="60">
        <f>SUM(G317:G319)</f>
        <v/>
      </c>
      <c r="H316" s="60">
        <f>SUM(H317:H319)</f>
        <v/>
      </c>
      <c r="I316" s="60">
        <f>SUM(I317:I319)</f>
        <v/>
      </c>
      <c r="J316" s="60">
        <f>SUM(J317:J319)</f>
        <v/>
      </c>
      <c r="K316" s="60">
        <f>SUM(K317:K319)</f>
        <v/>
      </c>
      <c r="L316" s="60">
        <f>SUM(L317:L319)</f>
        <v/>
      </c>
      <c r="M316" s="60">
        <f>SUM(M317:M319)</f>
        <v/>
      </c>
      <c r="N316" s="60">
        <f>SUM(N317:N319)</f>
        <v/>
      </c>
      <c r="O316" s="60">
        <f>SUM(O317:O319)</f>
        <v/>
      </c>
      <c r="P316" s="60">
        <f>SUM(P317:P319)</f>
        <v/>
      </c>
    </row>
    <row r="317" ht="15.75" customHeight="1" s="45">
      <c r="A317" s="61" t="n">
        <v>46137</v>
      </c>
      <c r="B317" s="62" t="inlineStr">
        <is>
          <t>Antes-Projeto</t>
        </is>
      </c>
      <c r="C317" s="63" t="inlineStr">
        <is>
          <t>Acolhimento c/ Classif. de Risco</t>
        </is>
      </c>
      <c r="D317" s="64" t="n">
        <v>193</v>
      </c>
      <c r="E317" s="64" t="n">
        <v>130</v>
      </c>
      <c r="F317" s="64" t="n">
        <v>162</v>
      </c>
      <c r="G317" s="64" t="n">
        <v>98</v>
      </c>
      <c r="H317" s="64" t="n">
        <v>130</v>
      </c>
      <c r="I317" s="64" t="n">
        <v>186</v>
      </c>
      <c r="J317" s="64" t="n">
        <v>101</v>
      </c>
      <c r="K317" s="64" t="n">
        <v>290</v>
      </c>
      <c r="L317" s="64" t="n">
        <v>124</v>
      </c>
      <c r="M317" s="64" t="n">
        <v>204</v>
      </c>
      <c r="N317" s="64" t="n">
        <v>170</v>
      </c>
      <c r="O317" s="64" t="n">
        <v>227</v>
      </c>
      <c r="P317" s="64" t="n">
        <v>218</v>
      </c>
    </row>
    <row r="318" ht="15.75" customHeight="1" s="45">
      <c r="A318" s="61" t="n">
        <v>46137</v>
      </c>
      <c r="B318" s="62" t="inlineStr">
        <is>
          <t>Antes-Projeto</t>
        </is>
      </c>
      <c r="C318" s="65" t="inlineStr">
        <is>
          <t>Atend. Urgência Obs. ≤ 24h</t>
        </is>
      </c>
      <c r="D318" s="66" t="n">
        <v>23</v>
      </c>
      <c r="E318" s="66" t="n">
        <v>68</v>
      </c>
      <c r="F318" s="66" t="n">
        <v>21</v>
      </c>
      <c r="G318" s="66" t="n">
        <v>22</v>
      </c>
      <c r="H318" s="66" t="n">
        <v>29</v>
      </c>
      <c r="I318" s="66" t="n">
        <v>34</v>
      </c>
      <c r="J318" s="66" t="n">
        <v>12</v>
      </c>
      <c r="K318" s="66" t="n">
        <v>36</v>
      </c>
      <c r="L318" s="66" t="n">
        <v>73</v>
      </c>
      <c r="M318" s="66" t="n">
        <v>33</v>
      </c>
      <c r="N318" s="66" t="n">
        <v>24</v>
      </c>
      <c r="O318" s="66" t="n">
        <v>20</v>
      </c>
      <c r="P318" s="66" t="n">
        <v>68</v>
      </c>
    </row>
    <row r="319" ht="15.75" customHeight="1" s="45">
      <c r="A319" s="61" t="n">
        <v>46137</v>
      </c>
      <c r="B319" s="62" t="inlineStr">
        <is>
          <t>Antes-Projeto</t>
        </is>
      </c>
      <c r="C319" s="63" t="inlineStr">
        <is>
          <t>Atend. Médico em UPA</t>
        </is>
      </c>
      <c r="D319" s="64" t="n">
        <v>92</v>
      </c>
      <c r="E319" s="64" t="n">
        <v>65</v>
      </c>
      <c r="F319" s="64" t="n">
        <v>95</v>
      </c>
      <c r="G319" s="64" t="n">
        <v>67</v>
      </c>
      <c r="H319" s="64" t="n">
        <v>107</v>
      </c>
      <c r="I319" s="64" t="n">
        <v>152</v>
      </c>
      <c r="J319" s="64" t="n">
        <v>81</v>
      </c>
      <c r="K319" s="64" t="n">
        <v>267</v>
      </c>
      <c r="L319" s="64" t="n">
        <v>73</v>
      </c>
      <c r="M319" s="64" t="n">
        <v>160</v>
      </c>
      <c r="N319" s="64" t="n">
        <v>133</v>
      </c>
      <c r="O319" s="64" t="n">
        <v>173</v>
      </c>
      <c r="P319" s="64" t="n">
        <v>119</v>
      </c>
    </row>
    <row r="320" ht="15.75" customHeight="1" s="45">
      <c r="A320" s="61" t="n">
        <v>46137</v>
      </c>
      <c r="B320" s="62" t="inlineStr">
        <is>
          <t>Antes-Projeto</t>
        </is>
      </c>
      <c r="C320" s="65" t="inlineStr">
        <is>
          <t>Exames Laboratoriais</t>
        </is>
      </c>
      <c r="D320" s="66" t="n">
        <v>384</v>
      </c>
      <c r="E320" s="66" t="n">
        <v>267</v>
      </c>
      <c r="F320" s="66" t="n">
        <v>510</v>
      </c>
      <c r="G320" s="66" t="n">
        <v>382</v>
      </c>
      <c r="H320" s="66" t="n">
        <v>260</v>
      </c>
      <c r="I320" s="66" t="n">
        <v>643</v>
      </c>
      <c r="J320" s="66" t="n">
        <v>196</v>
      </c>
      <c r="K320" s="66" t="n">
        <v>748</v>
      </c>
      <c r="L320" s="66" t="n">
        <v>555</v>
      </c>
      <c r="M320" s="66" t="n">
        <v>703</v>
      </c>
      <c r="N320" s="66" t="n">
        <v>549</v>
      </c>
      <c r="O320" s="66" t="n">
        <v>316</v>
      </c>
      <c r="P320" s="66" t="n">
        <v>272</v>
      </c>
    </row>
    <row r="321" ht="15.75" customHeight="1" s="45">
      <c r="A321" s="61" t="n">
        <v>46137</v>
      </c>
      <c r="B321" s="62" t="inlineStr">
        <is>
          <t>Antes-Projeto</t>
        </is>
      </c>
      <c r="C321" s="63" t="inlineStr">
        <is>
          <t>Radiografias</t>
        </is>
      </c>
      <c r="D321" s="64" t="n">
        <v>26</v>
      </c>
      <c r="E321" s="64" t="n">
        <v>12</v>
      </c>
      <c r="F321" s="64" t="n">
        <v>27</v>
      </c>
      <c r="G321" s="67" t="n">
        <v>0</v>
      </c>
      <c r="H321" s="64" t="n">
        <v>24</v>
      </c>
      <c r="I321" s="64" t="n">
        <v>46</v>
      </c>
      <c r="J321" s="64" t="n">
        <v>8</v>
      </c>
      <c r="K321" s="64" t="n">
        <v>33</v>
      </c>
      <c r="L321" s="67" t="n">
        <v>0</v>
      </c>
      <c r="M321" s="64" t="n">
        <v>1</v>
      </c>
      <c r="N321" s="67" t="n">
        <v>0</v>
      </c>
      <c r="O321" s="64" t="n">
        <v>2</v>
      </c>
      <c r="P321" s="67" t="n">
        <v>0</v>
      </c>
    </row>
    <row r="322" ht="15.75" customHeight="1" s="45">
      <c r="A322" s="61" t="n">
        <v>46137</v>
      </c>
      <c r="B322" s="62" t="inlineStr">
        <is>
          <t>Antes-Projeto</t>
        </is>
      </c>
      <c r="C322" s="65" t="inlineStr">
        <is>
          <t>Eletrocardiogramas</t>
        </is>
      </c>
      <c r="D322" s="66" t="n">
        <v>4</v>
      </c>
      <c r="E322" s="66" t="n">
        <v>12</v>
      </c>
      <c r="F322" s="66" t="n">
        <v>22</v>
      </c>
      <c r="G322" s="66" t="n">
        <v>9</v>
      </c>
      <c r="H322" s="66" t="n">
        <v>8</v>
      </c>
      <c r="I322" s="66" t="n">
        <v>20</v>
      </c>
      <c r="J322" s="66" t="n">
        <v>4</v>
      </c>
      <c r="K322" s="66" t="n">
        <v>5</v>
      </c>
      <c r="L322" s="66" t="n">
        <v>9</v>
      </c>
      <c r="M322" s="66" t="n">
        <v>11</v>
      </c>
      <c r="N322" s="66" t="n">
        <v>15</v>
      </c>
      <c r="O322" s="66" t="n">
        <v>8</v>
      </c>
      <c r="P322" s="66" t="n">
        <v>28</v>
      </c>
    </row>
    <row r="323" ht="15.75" customHeight="1" s="45">
      <c r="A323" s="61" t="n">
        <v>46137</v>
      </c>
      <c r="B323" s="62" t="inlineStr">
        <is>
          <t>Antes-Projeto</t>
        </is>
      </c>
      <c r="C323" s="68" t="inlineStr">
        <is>
          <t>GAEs Abertas</t>
        </is>
      </c>
      <c r="D323" s="69" t="n">
        <v>219</v>
      </c>
      <c r="E323" s="69" t="n">
        <v>140</v>
      </c>
      <c r="F323" s="69" t="n">
        <v>173</v>
      </c>
      <c r="G323" s="69" t="n">
        <v>102</v>
      </c>
      <c r="H323" s="69" t="n">
        <v>134</v>
      </c>
      <c r="I323" s="69" t="n">
        <v>204</v>
      </c>
      <c r="J323" s="69" t="n">
        <v>103</v>
      </c>
      <c r="K323" s="69" t="n">
        <v>316</v>
      </c>
      <c r="L323" s="69" t="n">
        <v>133</v>
      </c>
      <c r="M323" s="69" t="n">
        <v>217</v>
      </c>
      <c r="N323" s="69" t="n">
        <v>178</v>
      </c>
      <c r="O323" s="69" t="n">
        <v>237</v>
      </c>
      <c r="P323" s="69" t="n">
        <v>238</v>
      </c>
    </row>
    <row r="324" ht="15.75" customHeight="1" s="45">
      <c r="A324" s="61" t="n">
        <v>46137</v>
      </c>
      <c r="B324" s="62" t="inlineStr">
        <is>
          <t>Antes-Projeto</t>
        </is>
      </c>
      <c r="C324" s="68" t="inlineStr">
        <is>
          <t>GAEs Classificadas</t>
        </is>
      </c>
      <c r="D324" s="69" t="n">
        <v>193</v>
      </c>
      <c r="E324" s="69" t="n">
        <v>132</v>
      </c>
      <c r="F324" s="69" t="n">
        <v>164</v>
      </c>
      <c r="G324" s="69" t="n">
        <v>96</v>
      </c>
      <c r="H324" s="69" t="n">
        <v>129</v>
      </c>
      <c r="I324" s="69" t="n">
        <v>187</v>
      </c>
      <c r="J324" s="69" t="n">
        <v>98</v>
      </c>
      <c r="K324" s="69" t="n">
        <v>295</v>
      </c>
      <c r="L324" s="69" t="n">
        <v>122</v>
      </c>
      <c r="M324" s="69" t="n">
        <v>205</v>
      </c>
      <c r="N324" s="69" t="n">
        <v>169</v>
      </c>
      <c r="O324" s="69" t="n">
        <v>228</v>
      </c>
      <c r="P324" s="69" t="n">
        <v>220</v>
      </c>
    </row>
    <row r="325" ht="15.75" customHeight="1" s="45">
      <c r="A325" s="61" t="n">
        <v>46137</v>
      </c>
      <c r="B325" s="62" t="inlineStr">
        <is>
          <t>Antes-Projeto</t>
        </is>
      </c>
      <c r="C325" s="70" t="inlineStr">
        <is>
          <t>Percentual de GAEs abertas classificadas</t>
        </is>
      </c>
      <c r="D325" s="71">
        <f>IFERROR(D324/D323,"-")</f>
        <v/>
      </c>
      <c r="E325" s="71">
        <f>IFERROR(E324/E323,"-")</f>
        <v/>
      </c>
      <c r="F325" s="71">
        <f>IFERROR(F324/F323,"-")</f>
        <v/>
      </c>
      <c r="G325" s="71">
        <f>IFERROR(G324/G323,"-")</f>
        <v/>
      </c>
      <c r="H325" s="71">
        <f>IFERROR(H324/H323,"-")</f>
        <v/>
      </c>
      <c r="I325" s="71">
        <f>IFERROR(I324/I323,"-")</f>
        <v/>
      </c>
      <c r="J325" s="71">
        <f>IFERROR(J324/J323,"-")</f>
        <v/>
      </c>
      <c r="K325" s="71">
        <f>IFERROR(K324/K323,"-")</f>
        <v/>
      </c>
      <c r="L325" s="71">
        <f>IFERROR(L324/L323,"-")</f>
        <v/>
      </c>
      <c r="M325" s="71">
        <f>IFERROR(M324/M323,"-")</f>
        <v/>
      </c>
      <c r="N325" s="71">
        <f>IFERROR(N324/N323,"-")</f>
        <v/>
      </c>
      <c r="O325" s="71">
        <f>IFERROR(O324/O323,"-")</f>
        <v/>
      </c>
      <c r="P325" s="71">
        <f>IFERROR(P324/P323,"-")</f>
        <v/>
      </c>
    </row>
    <row r="326" ht="15.75" customHeight="1" s="45">
      <c r="A326" s="61" t="n">
        <v>46137</v>
      </c>
      <c r="B326" s="62" t="inlineStr">
        <is>
          <t>Antes-Projeto</t>
        </is>
      </c>
      <c r="C326" s="72" t="inlineStr">
        <is>
          <t>Tempo Médio — 🟡 Amarelo (hh:mm)</t>
        </is>
      </c>
      <c r="D326" s="73" t="n">
        <v>0.0959837962962963</v>
      </c>
      <c r="E326" s="73" t="n">
        <v>0.2344212962962963</v>
      </c>
      <c r="F326" s="73" t="n">
        <v>0.06208333333333333</v>
      </c>
      <c r="G326" s="73" t="n">
        <v>0.1006134259259259</v>
      </c>
      <c r="H326" s="73" t="n">
        <v>0.05675925925925926</v>
      </c>
      <c r="I326" s="73" t="n">
        <v>0.07921296296296296</v>
      </c>
      <c r="J326" s="73" t="n">
        <v>0.1090625</v>
      </c>
      <c r="K326" s="73" t="n">
        <v>0.07629629629629629</v>
      </c>
      <c r="L326" s="73" t="n">
        <v>0.1488888888888889</v>
      </c>
      <c r="M326" s="73" t="n">
        <v>0.07523148148148148</v>
      </c>
      <c r="N326" s="73" t="n">
        <v>0.05008101851851852</v>
      </c>
      <c r="O326" s="73" t="n">
        <v>0.04096064814814815</v>
      </c>
      <c r="P326" s="73" t="n">
        <v>0.1178009259259259</v>
      </c>
    </row>
    <row r="327" ht="15.75" customHeight="1" s="45">
      <c r="A327" s="61" t="n">
        <v>46137</v>
      </c>
      <c r="B327" s="62" t="inlineStr">
        <is>
          <t>Antes-Projeto</t>
        </is>
      </c>
      <c r="C327" s="74" t="inlineStr">
        <is>
          <t>Tempo Médio — 🟠 Laranja (hh:mm)</t>
        </is>
      </c>
      <c r="D327" s="75" t="n">
        <v>0.01619212962962963</v>
      </c>
      <c r="E327" s="75" t="n">
        <v>0.023125</v>
      </c>
      <c r="F327" s="75" t="n">
        <v>0.004826388888888889</v>
      </c>
      <c r="G327" s="75" t="n">
        <v>0.005532407407407408</v>
      </c>
      <c r="H327" s="75" t="n">
        <v>0.008553240740740741</v>
      </c>
      <c r="I327" s="75" t="n">
        <v>0.006921296296296296</v>
      </c>
      <c r="J327" s="75" t="n">
        <v>0.01341435185185185</v>
      </c>
      <c r="K327" s="75" t="n">
        <v>0.01946759259259259</v>
      </c>
      <c r="L327" s="75" t="n">
        <v>0.01145833333333333</v>
      </c>
      <c r="M327" s="75" t="n">
        <v>0.02458333333333333</v>
      </c>
      <c r="N327" s="75" t="n">
        <v>0.008472222222222223</v>
      </c>
      <c r="O327" s="75" t="n">
        <v>0.009444444444444445</v>
      </c>
      <c r="P327" s="75" t="n">
        <v>0.02090277777777778</v>
      </c>
    </row>
    <row r="328" ht="15.75" customHeight="1" s="45">
      <c r="A328" s="76" t="n">
        <v>46137</v>
      </c>
      <c r="B328" s="77" t="inlineStr">
        <is>
          <t>Antes-Projeto</t>
        </is>
      </c>
      <c r="C328" s="78" t="inlineStr">
        <is>
          <t>Tempo Médio — 🟢 Verde   (hh:mm)</t>
        </is>
      </c>
      <c r="D328" s="79" t="n">
        <v>0.1400347222222222</v>
      </c>
      <c r="E328" s="79" t="n">
        <v>0.4024074074074074</v>
      </c>
      <c r="F328" s="79" t="n">
        <v>0.1040972222222222</v>
      </c>
      <c r="G328" s="79" t="n">
        <v>0.1812615740740741</v>
      </c>
      <c r="H328" s="79" t="n">
        <v>0.1247453703703704</v>
      </c>
      <c r="I328" s="79" t="n">
        <v>0.1572685185185185</v>
      </c>
      <c r="J328" s="79" t="n">
        <v>0.1605208333333333</v>
      </c>
      <c r="K328" s="79" t="n">
        <v>0.1298611111111111</v>
      </c>
      <c r="L328" s="79" t="n">
        <v>0.2221296296296296</v>
      </c>
      <c r="M328" s="79" t="n">
        <v>0.3998148148148148</v>
      </c>
      <c r="N328" s="79" t="n">
        <v>0.1067013888888889</v>
      </c>
      <c r="O328" s="79" t="n">
        <v>0.1016087962962963</v>
      </c>
      <c r="P328" s="79" t="n">
        <v>0.1790046296296296</v>
      </c>
    </row>
    <row r="329" ht="15.75" customHeight="1" s="45">
      <c r="A329" s="57" t="n">
        <v>46138</v>
      </c>
      <c r="B329" s="58" t="inlineStr">
        <is>
          <t>Antes-Projeto</t>
        </is>
      </c>
      <c r="C329" s="59" t="inlineStr">
        <is>
          <t>Acolhim. + Atend. Urgência + Atend. UPA</t>
        </is>
      </c>
      <c r="D329" s="60">
        <f>SUM(D330:D332)</f>
        <v/>
      </c>
      <c r="E329" s="60">
        <f>SUM(E330:E332)</f>
        <v/>
      </c>
      <c r="F329" s="60">
        <f>SUM(F330:F332)</f>
        <v/>
      </c>
      <c r="G329" s="60">
        <f>SUM(G330:G332)</f>
        <v/>
      </c>
      <c r="H329" s="60">
        <f>SUM(H330:H332)</f>
        <v/>
      </c>
      <c r="I329" s="60">
        <f>SUM(I330:I332)</f>
        <v/>
      </c>
      <c r="J329" s="60">
        <f>SUM(J330:J332)</f>
        <v/>
      </c>
      <c r="K329" s="60">
        <f>SUM(K330:K332)</f>
        <v/>
      </c>
      <c r="L329" s="60">
        <f>SUM(L330:L332)</f>
        <v/>
      </c>
      <c r="M329" s="60">
        <f>SUM(M330:M332)</f>
        <v/>
      </c>
      <c r="N329" s="60">
        <f>SUM(N330:N332)</f>
        <v/>
      </c>
      <c r="O329" s="60">
        <f>SUM(O330:O332)</f>
        <v/>
      </c>
      <c r="P329" s="60">
        <f>SUM(P330:P332)</f>
        <v/>
      </c>
    </row>
    <row r="330" ht="15.75" customHeight="1" s="45">
      <c r="A330" s="61" t="n">
        <v>46138</v>
      </c>
      <c r="B330" s="62" t="inlineStr">
        <is>
          <t>Antes-Projeto</t>
        </is>
      </c>
      <c r="C330" s="65" t="inlineStr">
        <is>
          <t>Acolhimento c/ Classif. de Risco</t>
        </is>
      </c>
      <c r="D330" s="66" t="n">
        <v>196</v>
      </c>
      <c r="E330" s="66" t="n">
        <v>121</v>
      </c>
      <c r="F330" s="66" t="n">
        <v>172</v>
      </c>
      <c r="G330" s="66" t="n">
        <v>117</v>
      </c>
      <c r="H330" s="66" t="n">
        <v>116</v>
      </c>
      <c r="I330" s="66" t="n">
        <v>176</v>
      </c>
      <c r="J330" s="66" t="n">
        <v>77</v>
      </c>
      <c r="K330" s="66" t="n">
        <v>294</v>
      </c>
      <c r="L330" s="66" t="n">
        <v>124</v>
      </c>
      <c r="M330" s="66" t="n">
        <v>227</v>
      </c>
      <c r="N330" s="66" t="n">
        <v>176</v>
      </c>
      <c r="O330" s="66" t="n">
        <v>225</v>
      </c>
      <c r="P330" s="66" t="n">
        <v>203</v>
      </c>
    </row>
    <row r="331" ht="15.75" customHeight="1" s="45">
      <c r="A331" s="61" t="n">
        <v>46138</v>
      </c>
      <c r="B331" s="62" t="inlineStr">
        <is>
          <t>Antes-Projeto</t>
        </is>
      </c>
      <c r="C331" s="63" t="inlineStr">
        <is>
          <t>Atend. Urgência Obs. ≤ 24h</t>
        </is>
      </c>
      <c r="D331" s="64" t="n">
        <v>15</v>
      </c>
      <c r="E331" s="64" t="n">
        <v>60</v>
      </c>
      <c r="F331" s="64" t="n">
        <v>23</v>
      </c>
      <c r="G331" s="64" t="n">
        <v>21</v>
      </c>
      <c r="H331" s="64" t="n">
        <v>11</v>
      </c>
      <c r="I331" s="64" t="n">
        <v>46</v>
      </c>
      <c r="J331" s="64" t="n">
        <v>24</v>
      </c>
      <c r="K331" s="64" t="n">
        <v>51</v>
      </c>
      <c r="L331" s="64" t="n">
        <v>73</v>
      </c>
      <c r="M331" s="64" t="n">
        <v>54</v>
      </c>
      <c r="N331" s="64" t="n">
        <v>21</v>
      </c>
      <c r="O331" s="64" t="n">
        <v>13</v>
      </c>
      <c r="P331" s="64" t="n">
        <v>64</v>
      </c>
    </row>
    <row r="332" ht="15.75" customHeight="1" s="45">
      <c r="A332" s="61" t="n">
        <v>46138</v>
      </c>
      <c r="B332" s="62" t="inlineStr">
        <is>
          <t>Antes-Projeto</t>
        </is>
      </c>
      <c r="C332" s="65" t="inlineStr">
        <is>
          <t>Atend. Médico em UPA</t>
        </is>
      </c>
      <c r="D332" s="66" t="n">
        <v>142</v>
      </c>
      <c r="E332" s="66" t="n">
        <v>95</v>
      </c>
      <c r="F332" s="66" t="n">
        <v>79</v>
      </c>
      <c r="G332" s="66" t="n">
        <v>45</v>
      </c>
      <c r="H332" s="66" t="n">
        <v>52</v>
      </c>
      <c r="I332" s="66" t="n">
        <v>162</v>
      </c>
      <c r="J332" s="66" t="n">
        <v>55</v>
      </c>
      <c r="K332" s="66" t="n">
        <v>282</v>
      </c>
      <c r="L332" s="66" t="n">
        <v>78</v>
      </c>
      <c r="M332" s="66" t="n">
        <v>151</v>
      </c>
      <c r="N332" s="66" t="n">
        <v>144</v>
      </c>
      <c r="O332" s="66" t="n">
        <v>154</v>
      </c>
      <c r="P332" s="66" t="n">
        <v>129</v>
      </c>
    </row>
    <row r="333" ht="15.75" customHeight="1" s="45">
      <c r="A333" s="61" t="n">
        <v>46138</v>
      </c>
      <c r="B333" s="62" t="inlineStr">
        <is>
          <t>Antes-Projeto</t>
        </is>
      </c>
      <c r="C333" s="63" t="inlineStr">
        <is>
          <t>Exames Laboratoriais</t>
        </is>
      </c>
      <c r="D333" s="64" t="n">
        <v>462</v>
      </c>
      <c r="E333" s="64" t="n">
        <v>386</v>
      </c>
      <c r="F333" s="64" t="n">
        <v>505</v>
      </c>
      <c r="G333" s="64" t="n">
        <v>250</v>
      </c>
      <c r="H333" s="64" t="n">
        <v>130</v>
      </c>
      <c r="I333" s="64" t="n">
        <v>588</v>
      </c>
      <c r="J333" s="64" t="n">
        <v>128</v>
      </c>
      <c r="K333" s="64" t="n">
        <v>883</v>
      </c>
      <c r="L333" s="64" t="n">
        <v>485</v>
      </c>
      <c r="M333" s="64" t="n">
        <v>567</v>
      </c>
      <c r="N333" s="64" t="n">
        <v>424</v>
      </c>
      <c r="O333" s="64" t="n">
        <v>404</v>
      </c>
      <c r="P333" s="64" t="n">
        <v>405</v>
      </c>
    </row>
    <row r="334" ht="15.75" customHeight="1" s="45">
      <c r="A334" s="61" t="n">
        <v>46138</v>
      </c>
      <c r="B334" s="62" t="inlineStr">
        <is>
          <t>Antes-Projeto</t>
        </is>
      </c>
      <c r="C334" s="65" t="inlineStr">
        <is>
          <t>Radiografias</t>
        </is>
      </c>
      <c r="D334" s="66" t="n">
        <v>31</v>
      </c>
      <c r="E334" s="66" t="n">
        <v>27</v>
      </c>
      <c r="F334" s="66" t="n">
        <v>38</v>
      </c>
      <c r="G334" s="66" t="n">
        <v>3</v>
      </c>
      <c r="H334" s="66" t="n">
        <v>15</v>
      </c>
      <c r="I334" s="66" t="n">
        <v>45</v>
      </c>
      <c r="J334" s="66" t="n">
        <v>11</v>
      </c>
      <c r="K334" s="66" t="n">
        <v>2</v>
      </c>
      <c r="L334" s="67" t="n">
        <v>0</v>
      </c>
      <c r="M334" s="67" t="n">
        <v>0</v>
      </c>
      <c r="N334" s="66" t="n">
        <v>1</v>
      </c>
      <c r="O334" s="67" t="n">
        <v>0</v>
      </c>
      <c r="P334" s="66" t="n">
        <v>1</v>
      </c>
    </row>
    <row r="335" ht="15.75" customHeight="1" s="45">
      <c r="A335" s="61" t="n">
        <v>46138</v>
      </c>
      <c r="B335" s="62" t="inlineStr">
        <is>
          <t>Antes-Projeto</t>
        </is>
      </c>
      <c r="C335" s="63" t="inlineStr">
        <is>
          <t>Eletrocardiogramas</t>
        </is>
      </c>
      <c r="D335" s="64" t="n">
        <v>8</v>
      </c>
      <c r="E335" s="64" t="n">
        <v>6</v>
      </c>
      <c r="F335" s="64" t="n">
        <v>11</v>
      </c>
      <c r="G335" s="64" t="n">
        <v>10</v>
      </c>
      <c r="H335" s="64" t="n">
        <v>5</v>
      </c>
      <c r="I335" s="64" t="n">
        <v>25</v>
      </c>
      <c r="J335" s="64" t="n">
        <v>3</v>
      </c>
      <c r="K335" s="64" t="n">
        <v>9</v>
      </c>
      <c r="L335" s="64" t="n">
        <v>17</v>
      </c>
      <c r="M335" s="64" t="n">
        <v>17</v>
      </c>
      <c r="N335" s="64" t="n">
        <v>23</v>
      </c>
      <c r="O335" s="64" t="n">
        <v>18</v>
      </c>
      <c r="P335" s="64" t="n">
        <v>16</v>
      </c>
    </row>
    <row r="336" ht="15.75" customHeight="1" s="45">
      <c r="A336" s="61" t="n">
        <v>46138</v>
      </c>
      <c r="B336" s="62" t="inlineStr">
        <is>
          <t>Antes-Projeto</t>
        </is>
      </c>
      <c r="C336" s="68" t="inlineStr">
        <is>
          <t>GAEs Abertas</t>
        </is>
      </c>
      <c r="D336" s="69" t="n">
        <v>199</v>
      </c>
      <c r="E336" s="69" t="n">
        <v>124</v>
      </c>
      <c r="F336" s="69" t="n">
        <v>180</v>
      </c>
      <c r="G336" s="69" t="n">
        <v>119</v>
      </c>
      <c r="H336" s="69" t="n">
        <v>117</v>
      </c>
      <c r="I336" s="69" t="n">
        <v>191</v>
      </c>
      <c r="J336" s="69" t="n">
        <v>81</v>
      </c>
      <c r="K336" s="69" t="n">
        <v>332</v>
      </c>
      <c r="L336" s="69" t="n">
        <v>133</v>
      </c>
      <c r="M336" s="69" t="n">
        <v>238</v>
      </c>
      <c r="N336" s="69" t="n">
        <v>182</v>
      </c>
      <c r="O336" s="69" t="n">
        <v>247</v>
      </c>
      <c r="P336" s="69" t="n">
        <v>211</v>
      </c>
    </row>
    <row r="337" ht="15.75" customHeight="1" s="45">
      <c r="A337" s="61" t="n">
        <v>46138</v>
      </c>
      <c r="B337" s="62" t="inlineStr">
        <is>
          <t>Antes-Projeto</t>
        </is>
      </c>
      <c r="C337" s="68" t="inlineStr">
        <is>
          <t>GAEs Classificadas</t>
        </is>
      </c>
      <c r="D337" s="69" t="n">
        <v>195</v>
      </c>
      <c r="E337" s="69" t="n">
        <v>121</v>
      </c>
      <c r="F337" s="69" t="n">
        <v>169</v>
      </c>
      <c r="G337" s="69" t="n">
        <v>118</v>
      </c>
      <c r="H337" s="69" t="n">
        <v>115</v>
      </c>
      <c r="I337" s="69" t="n">
        <v>174</v>
      </c>
      <c r="J337" s="69" t="n">
        <v>77</v>
      </c>
      <c r="K337" s="69" t="n">
        <v>290</v>
      </c>
      <c r="L337" s="69" t="n">
        <v>124</v>
      </c>
      <c r="M337" s="69" t="n">
        <v>230</v>
      </c>
      <c r="N337" s="69" t="n">
        <v>174</v>
      </c>
      <c r="O337" s="69" t="n">
        <v>223</v>
      </c>
      <c r="P337" s="69" t="n">
        <v>199</v>
      </c>
    </row>
    <row r="338" ht="15.75" customHeight="1" s="45">
      <c r="A338" s="61" t="n">
        <v>46138</v>
      </c>
      <c r="B338" s="62" t="inlineStr">
        <is>
          <t>Antes-Projeto</t>
        </is>
      </c>
      <c r="C338" s="70" t="inlineStr">
        <is>
          <t>Percentual de GAEs abertas classificadas</t>
        </is>
      </c>
      <c r="D338" s="71">
        <f>IFERROR(D337/D336,"-")</f>
        <v/>
      </c>
      <c r="E338" s="71">
        <f>IFERROR(E337/E336,"-")</f>
        <v/>
      </c>
      <c r="F338" s="71">
        <f>IFERROR(F337/F336,"-")</f>
        <v/>
      </c>
      <c r="G338" s="71">
        <f>IFERROR(G337/G336,"-")</f>
        <v/>
      </c>
      <c r="H338" s="71">
        <f>IFERROR(H337/H336,"-")</f>
        <v/>
      </c>
      <c r="I338" s="71">
        <f>IFERROR(I337/I336,"-")</f>
        <v/>
      </c>
      <c r="J338" s="71">
        <f>IFERROR(J337/J336,"-")</f>
        <v/>
      </c>
      <c r="K338" s="71">
        <f>IFERROR(K337/K336,"-")</f>
        <v/>
      </c>
      <c r="L338" s="71">
        <f>IFERROR(L337/L336,"-")</f>
        <v/>
      </c>
      <c r="M338" s="71">
        <f>IFERROR(M337/M336,"-")</f>
        <v/>
      </c>
      <c r="N338" s="71">
        <f>IFERROR(N337/N336,"-")</f>
        <v/>
      </c>
      <c r="O338" s="71">
        <f>IFERROR(O337/O336,"-")</f>
        <v/>
      </c>
      <c r="P338" s="71">
        <f>IFERROR(P337/P336,"-")</f>
        <v/>
      </c>
    </row>
    <row r="339" ht="15.75" customHeight="1" s="45">
      <c r="A339" s="61" t="n">
        <v>46138</v>
      </c>
      <c r="B339" s="62" t="inlineStr">
        <is>
          <t>Antes-Projeto</t>
        </is>
      </c>
      <c r="C339" s="72" t="inlineStr">
        <is>
          <t>Tempo Médio — 🟡 Amarelo (hh:mm)</t>
        </is>
      </c>
      <c r="D339" s="73" t="n">
        <v>0.08877314814814814</v>
      </c>
      <c r="E339" s="73" t="n">
        <v>0.08395833333333333</v>
      </c>
      <c r="F339" s="73" t="n">
        <v>0.076875</v>
      </c>
      <c r="G339" s="73" t="n">
        <v>0.04265046296296297</v>
      </c>
      <c r="H339" s="73" t="n">
        <v>0.0403587962962963</v>
      </c>
      <c r="I339" s="73" t="n">
        <v>0.05576388888888889</v>
      </c>
      <c r="J339" s="73" t="n">
        <v>0.04271990740740741</v>
      </c>
      <c r="K339" s="73" t="n">
        <v>0.08939814814814814</v>
      </c>
      <c r="L339" s="73" t="n">
        <v>0.08259259259259259</v>
      </c>
      <c r="M339" s="73" t="n">
        <v>0.05834490740740741</v>
      </c>
      <c r="N339" s="73" t="n">
        <v>0.06435185185185185</v>
      </c>
      <c r="O339" s="73" t="n">
        <v>0.03875</v>
      </c>
      <c r="P339" s="73" t="n">
        <v>0.0453125</v>
      </c>
    </row>
    <row r="340" ht="15.75" customHeight="1" s="45">
      <c r="A340" s="61" t="n">
        <v>46138</v>
      </c>
      <c r="B340" s="62" t="inlineStr">
        <is>
          <t>Antes-Projeto</t>
        </is>
      </c>
      <c r="C340" s="74" t="inlineStr">
        <is>
          <t>Tempo Médio — 🟠 Laranja (hh:mm)</t>
        </is>
      </c>
      <c r="D340" s="75" t="n">
        <v>0.01087962962962963</v>
      </c>
      <c r="E340" s="75" t="n">
        <v>0.009166666666666667</v>
      </c>
      <c r="F340" s="75" t="n">
        <v>0.005358796296296296</v>
      </c>
      <c r="G340" s="75" t="n">
        <v>0.006724537037037037</v>
      </c>
      <c r="H340" s="75" t="n">
        <v>0.005949074074074075</v>
      </c>
      <c r="I340" s="75" t="n">
        <v>0.008842592592592593</v>
      </c>
      <c r="J340" s="75" t="n">
        <v>0.008854166666666666</v>
      </c>
      <c r="K340" s="75" t="n">
        <v>0.008437500000000001</v>
      </c>
      <c r="L340" s="75" t="n">
        <v>0.01085648148148148</v>
      </c>
      <c r="M340" s="75" t="n">
        <v>0.01282407407407407</v>
      </c>
      <c r="N340" s="75" t="n">
        <v>0.01050925925925926</v>
      </c>
      <c r="O340" s="75" t="n">
        <v>0.01260416666666667</v>
      </c>
      <c r="P340" s="75" t="n">
        <v>0.01778935185185185</v>
      </c>
    </row>
    <row r="341" ht="15.75" customHeight="1" s="45">
      <c r="A341" s="76" t="n">
        <v>46138</v>
      </c>
      <c r="B341" s="77" t="inlineStr">
        <is>
          <t>Antes-Projeto</t>
        </is>
      </c>
      <c r="C341" s="78" t="inlineStr">
        <is>
          <t>Tempo Médio — 🟢 Verde   (hh:mm)</t>
        </is>
      </c>
      <c r="D341" s="79" t="n">
        <v>0.1131481481481482</v>
      </c>
      <c r="E341" s="79" t="n">
        <v>0.09940972222222222</v>
      </c>
      <c r="F341" s="79" t="n">
        <v>0.1385300925925926</v>
      </c>
      <c r="G341" s="79" t="n">
        <v>0.2255324074074074</v>
      </c>
      <c r="H341" s="79" t="n">
        <v>0.06944444444444445</v>
      </c>
      <c r="I341" s="79" t="n">
        <v>0.1381944444444445</v>
      </c>
      <c r="J341" s="79" t="n">
        <v>0.1073032407407407</v>
      </c>
      <c r="K341" s="79" t="n">
        <v>0.09946759259259259</v>
      </c>
      <c r="L341" s="79" t="n">
        <v>0.175150462962963</v>
      </c>
      <c r="M341" s="79" t="n">
        <v>0.09230324074074074</v>
      </c>
      <c r="N341" s="79" t="n">
        <v>0.1583101851851852</v>
      </c>
      <c r="O341" s="79" t="n">
        <v>0.1</v>
      </c>
      <c r="P341" s="79" t="n">
        <v>0.1097222222222222</v>
      </c>
    </row>
    <row r="342" ht="15.75" customHeight="1" s="45">
      <c r="A342" s="57" t="n">
        <v>46139</v>
      </c>
      <c r="B342" s="58" t="inlineStr">
        <is>
          <t>Antes-Projeto</t>
        </is>
      </c>
      <c r="C342" s="59" t="inlineStr">
        <is>
          <t>Acolhim. + Atend. Urgência + Atend. UPA</t>
        </is>
      </c>
      <c r="D342" s="60">
        <f>SUM(D343:D345)</f>
        <v/>
      </c>
      <c r="E342" s="60">
        <f>SUM(E343:E345)</f>
        <v/>
      </c>
      <c r="F342" s="60">
        <f>SUM(F343:F345)</f>
        <v/>
      </c>
      <c r="G342" s="60">
        <f>SUM(G343:G345)</f>
        <v/>
      </c>
      <c r="H342" s="60">
        <f>SUM(H343:H345)</f>
        <v/>
      </c>
      <c r="I342" s="60">
        <f>SUM(I343:I345)</f>
        <v/>
      </c>
      <c r="J342" s="60">
        <f>SUM(J343:J345)</f>
        <v/>
      </c>
      <c r="K342" s="60">
        <f>SUM(K343:K345)</f>
        <v/>
      </c>
      <c r="L342" s="60">
        <f>SUM(L343:L345)</f>
        <v/>
      </c>
      <c r="M342" s="60">
        <f>SUM(M343:M345)</f>
        <v/>
      </c>
      <c r="N342" s="60">
        <f>SUM(N343:N345)</f>
        <v/>
      </c>
      <c r="O342" s="60">
        <f>SUM(O343:O345)</f>
        <v/>
      </c>
      <c r="P342" s="60">
        <f>SUM(P343:P345)</f>
        <v/>
      </c>
    </row>
    <row r="343" ht="15.75" customHeight="1" s="45">
      <c r="A343" s="61" t="n">
        <v>46139</v>
      </c>
      <c r="B343" s="62" t="inlineStr">
        <is>
          <t>Antes-Projeto</t>
        </is>
      </c>
      <c r="C343" s="63" t="inlineStr">
        <is>
          <t>Acolhimento c/ Classif. de Risco</t>
        </is>
      </c>
      <c r="D343" s="64" t="n">
        <v>238</v>
      </c>
      <c r="E343" s="64" t="n">
        <v>170</v>
      </c>
      <c r="F343" s="64" t="n">
        <v>204</v>
      </c>
      <c r="G343" s="64" t="n">
        <v>164</v>
      </c>
      <c r="H343" s="64" t="n">
        <v>157</v>
      </c>
      <c r="I343" s="64" t="n">
        <v>211</v>
      </c>
      <c r="J343" s="64" t="n">
        <v>103</v>
      </c>
      <c r="K343" s="64" t="n">
        <v>330</v>
      </c>
      <c r="L343" s="64" t="n">
        <v>166</v>
      </c>
      <c r="M343" s="64" t="n">
        <v>278</v>
      </c>
      <c r="N343" s="64" t="n">
        <v>40</v>
      </c>
      <c r="O343" s="64" t="n">
        <v>312</v>
      </c>
      <c r="P343" s="64" t="n">
        <v>311</v>
      </c>
    </row>
    <row r="344" ht="15.75" customHeight="1" s="45">
      <c r="A344" s="61" t="n">
        <v>46139</v>
      </c>
      <c r="B344" s="62" t="inlineStr">
        <is>
          <t>Antes-Projeto</t>
        </is>
      </c>
      <c r="C344" s="65" t="inlineStr">
        <is>
          <t>Atend. Urgência Obs. ≤ 24h</t>
        </is>
      </c>
      <c r="D344" s="66" t="n">
        <v>25</v>
      </c>
      <c r="E344" s="66" t="n">
        <v>15</v>
      </c>
      <c r="F344" s="66" t="n">
        <v>23</v>
      </c>
      <c r="G344" s="66" t="n">
        <v>40</v>
      </c>
      <c r="H344" s="66" t="n">
        <v>13</v>
      </c>
      <c r="I344" s="66" t="n">
        <v>49</v>
      </c>
      <c r="J344" s="66" t="n">
        <v>19</v>
      </c>
      <c r="K344" s="66" t="n">
        <v>43</v>
      </c>
      <c r="L344" s="66" t="n">
        <v>68</v>
      </c>
      <c r="M344" s="66" t="n">
        <v>68</v>
      </c>
      <c r="N344" s="66" t="n">
        <v>13</v>
      </c>
      <c r="O344" s="66" t="n">
        <v>22</v>
      </c>
      <c r="P344" s="66" t="n">
        <v>55</v>
      </c>
    </row>
    <row r="345" ht="15.75" customHeight="1" s="45">
      <c r="A345" s="61" t="n">
        <v>46139</v>
      </c>
      <c r="B345" s="62" t="inlineStr">
        <is>
          <t>Antes-Projeto</t>
        </is>
      </c>
      <c r="C345" s="63" t="inlineStr">
        <is>
          <t>Atend. Médico em UPA</t>
        </is>
      </c>
      <c r="D345" s="64" t="n">
        <v>186</v>
      </c>
      <c r="E345" s="64" t="n">
        <v>91</v>
      </c>
      <c r="F345" s="64" t="n">
        <v>101</v>
      </c>
      <c r="G345" s="64" t="n">
        <v>120</v>
      </c>
      <c r="H345" s="64" t="n">
        <v>100</v>
      </c>
      <c r="I345" s="64" t="n">
        <v>178</v>
      </c>
      <c r="J345" s="64" t="n">
        <v>51</v>
      </c>
      <c r="K345" s="64" t="n">
        <v>214</v>
      </c>
      <c r="L345" s="64" t="n">
        <v>96</v>
      </c>
      <c r="M345" s="64" t="n">
        <v>167</v>
      </c>
      <c r="N345" s="64" t="n">
        <v>83</v>
      </c>
      <c r="O345" s="64" t="n">
        <v>195</v>
      </c>
      <c r="P345" s="64" t="n">
        <v>173</v>
      </c>
    </row>
    <row r="346" ht="15.75" customHeight="1" s="45">
      <c r="A346" s="61" t="n">
        <v>46139</v>
      </c>
      <c r="B346" s="62" t="inlineStr">
        <is>
          <t>Antes-Projeto</t>
        </is>
      </c>
      <c r="C346" s="65" t="inlineStr">
        <is>
          <t>Exames Laboratoriais</t>
        </is>
      </c>
      <c r="D346" s="66" t="n">
        <v>742</v>
      </c>
      <c r="E346" s="66" t="n">
        <v>410</v>
      </c>
      <c r="F346" s="66" t="n">
        <v>473</v>
      </c>
      <c r="G346" s="66" t="n">
        <v>407</v>
      </c>
      <c r="H346" s="66" t="n">
        <v>480</v>
      </c>
      <c r="I346" s="66" t="n">
        <v>676</v>
      </c>
      <c r="J346" s="66" t="n">
        <v>241</v>
      </c>
      <c r="K346" s="66" t="n">
        <v>941</v>
      </c>
      <c r="L346" s="66" t="n">
        <v>741</v>
      </c>
      <c r="M346" s="66" t="n">
        <v>143</v>
      </c>
      <c r="N346" s="66" t="n">
        <v>287</v>
      </c>
      <c r="O346" s="66" t="n">
        <v>427</v>
      </c>
      <c r="P346" s="66" t="n">
        <v>760</v>
      </c>
    </row>
    <row r="347" ht="15.75" customHeight="1" s="45">
      <c r="A347" s="61" t="n">
        <v>46139</v>
      </c>
      <c r="B347" s="62" t="inlineStr">
        <is>
          <t>Antes-Projeto</t>
        </is>
      </c>
      <c r="C347" s="63" t="inlineStr">
        <is>
          <t>Radiografias</t>
        </is>
      </c>
      <c r="D347" s="64" t="n">
        <v>44</v>
      </c>
      <c r="E347" s="64" t="n">
        <v>26</v>
      </c>
      <c r="F347" s="64" t="n">
        <v>37</v>
      </c>
      <c r="G347" s="64" t="n">
        <v>2</v>
      </c>
      <c r="H347" s="64" t="n">
        <v>17</v>
      </c>
      <c r="I347" s="64" t="n">
        <v>33</v>
      </c>
      <c r="J347" s="64" t="n">
        <v>11</v>
      </c>
      <c r="K347" s="64" t="n">
        <v>2</v>
      </c>
      <c r="L347" s="64" t="n">
        <v>1</v>
      </c>
      <c r="M347" s="64" t="n">
        <v>3</v>
      </c>
      <c r="N347" s="67" t="n">
        <v>0</v>
      </c>
      <c r="O347" s="64" t="n">
        <v>1</v>
      </c>
      <c r="P347" s="64" t="n">
        <v>1</v>
      </c>
    </row>
    <row r="348" ht="15.75" customHeight="1" s="45">
      <c r="A348" s="61" t="n">
        <v>46139</v>
      </c>
      <c r="B348" s="62" t="inlineStr">
        <is>
          <t>Antes-Projeto</t>
        </is>
      </c>
      <c r="C348" s="65" t="inlineStr">
        <is>
          <t>Eletrocardiogramas</t>
        </is>
      </c>
      <c r="D348" s="66" t="n">
        <v>14</v>
      </c>
      <c r="E348" s="66" t="n">
        <v>9</v>
      </c>
      <c r="F348" s="66" t="n">
        <v>12</v>
      </c>
      <c r="G348" s="66" t="n">
        <v>17</v>
      </c>
      <c r="H348" s="66" t="n">
        <v>10</v>
      </c>
      <c r="I348" s="66" t="n">
        <v>20</v>
      </c>
      <c r="J348" s="66" t="n">
        <v>11</v>
      </c>
      <c r="K348" s="66" t="n">
        <v>17</v>
      </c>
      <c r="L348" s="66" t="n">
        <v>18</v>
      </c>
      <c r="M348" s="66" t="n">
        <v>11</v>
      </c>
      <c r="N348" s="66" t="n">
        <v>10</v>
      </c>
      <c r="O348" s="66" t="n">
        <v>12</v>
      </c>
      <c r="P348" s="66" t="n">
        <v>23</v>
      </c>
    </row>
    <row r="349" ht="15.75" customHeight="1" s="45">
      <c r="A349" s="61" t="n">
        <v>46139</v>
      </c>
      <c r="B349" s="62" t="inlineStr">
        <is>
          <t>Antes-Projeto</t>
        </is>
      </c>
      <c r="C349" s="68" t="inlineStr">
        <is>
          <t>GAEs Abertas</t>
        </is>
      </c>
      <c r="D349" s="69" t="n">
        <v>253</v>
      </c>
      <c r="E349" s="69" t="n">
        <v>183</v>
      </c>
      <c r="F349" s="69" t="n">
        <v>210</v>
      </c>
      <c r="G349" s="69" t="n">
        <v>169</v>
      </c>
      <c r="H349" s="69" t="n">
        <v>171</v>
      </c>
      <c r="I349" s="69" t="n">
        <v>225</v>
      </c>
      <c r="J349" s="69" t="n">
        <v>110</v>
      </c>
      <c r="K349" s="69" t="n">
        <v>383</v>
      </c>
      <c r="L349" s="69" t="n">
        <v>176</v>
      </c>
      <c r="M349" s="69" t="n">
        <v>293</v>
      </c>
      <c r="N349" s="69" t="n">
        <v>217</v>
      </c>
      <c r="O349" s="69" t="n">
        <v>337</v>
      </c>
      <c r="P349" s="69" t="n">
        <v>321</v>
      </c>
    </row>
    <row r="350" ht="15.75" customHeight="1" s="45">
      <c r="A350" s="61" t="n">
        <v>46139</v>
      </c>
      <c r="B350" s="62" t="inlineStr">
        <is>
          <t>Antes-Projeto</t>
        </is>
      </c>
      <c r="C350" s="68" t="inlineStr">
        <is>
          <t>GAEs Classificadas</t>
        </is>
      </c>
      <c r="D350" s="69" t="n">
        <v>239</v>
      </c>
      <c r="E350" s="69" t="n">
        <v>169</v>
      </c>
      <c r="F350" s="69" t="n">
        <v>202</v>
      </c>
      <c r="G350" s="69" t="n">
        <v>165</v>
      </c>
      <c r="H350" s="69" t="n">
        <v>157</v>
      </c>
      <c r="I350" s="69" t="n">
        <v>209</v>
      </c>
      <c r="J350" s="69" t="n">
        <v>102</v>
      </c>
      <c r="K350" s="69" t="n">
        <v>328</v>
      </c>
      <c r="L350" s="69" t="n">
        <v>165</v>
      </c>
      <c r="M350" s="69" t="n">
        <v>273</v>
      </c>
      <c r="N350" s="69" t="n">
        <v>34</v>
      </c>
      <c r="O350" s="69" t="n">
        <v>310</v>
      </c>
      <c r="P350" s="69" t="n">
        <v>312</v>
      </c>
    </row>
    <row r="351" ht="15.75" customHeight="1" s="45">
      <c r="A351" s="61" t="n">
        <v>46139</v>
      </c>
      <c r="B351" s="62" t="inlineStr">
        <is>
          <t>Antes-Projeto</t>
        </is>
      </c>
      <c r="C351" s="70" t="inlineStr">
        <is>
          <t>Percentual de GAEs abertas classificadas</t>
        </is>
      </c>
      <c r="D351" s="71">
        <f>IFERROR(D350/D349,"-")</f>
        <v/>
      </c>
      <c r="E351" s="71">
        <f>IFERROR(E350/E349,"-")</f>
        <v/>
      </c>
      <c r="F351" s="71">
        <f>IFERROR(F350/F349,"-")</f>
        <v/>
      </c>
      <c r="G351" s="71">
        <f>IFERROR(G350/G349,"-")</f>
        <v/>
      </c>
      <c r="H351" s="71">
        <f>IFERROR(H350/H349,"-")</f>
        <v/>
      </c>
      <c r="I351" s="71">
        <f>IFERROR(I350/I349,"-")</f>
        <v/>
      </c>
      <c r="J351" s="71">
        <f>IFERROR(J350/J349,"-")</f>
        <v/>
      </c>
      <c r="K351" s="71">
        <f>IFERROR(K350/K349,"-")</f>
        <v/>
      </c>
      <c r="L351" s="71">
        <f>IFERROR(L350/L349,"-")</f>
        <v/>
      </c>
      <c r="M351" s="71">
        <f>IFERROR(M350/M349,"-")</f>
        <v/>
      </c>
      <c r="N351" s="71">
        <f>IFERROR(N350/N349,"-")</f>
        <v/>
      </c>
      <c r="O351" s="71">
        <f>IFERROR(O350/O349,"-")</f>
        <v/>
      </c>
      <c r="P351" s="71">
        <f>IFERROR(P350/P349,"-")</f>
        <v/>
      </c>
    </row>
    <row r="352" ht="15.75" customHeight="1" s="45">
      <c r="A352" s="61" t="n">
        <v>46139</v>
      </c>
      <c r="B352" s="62" t="inlineStr">
        <is>
          <t>Antes-Projeto</t>
        </is>
      </c>
      <c r="C352" s="72" t="inlineStr">
        <is>
          <t>Tempo Médio — 🟡 Amarelo (hh:mm)</t>
        </is>
      </c>
      <c r="D352" s="73" t="n">
        <v>0.1067939814814815</v>
      </c>
      <c r="E352" s="73" t="n">
        <v>0.08415509259259259</v>
      </c>
      <c r="F352" s="73" t="n">
        <v>0.09988425925925926</v>
      </c>
      <c r="G352" s="73" t="n">
        <v>0.03472222222222222</v>
      </c>
      <c r="H352" s="73" t="n">
        <v>0.1060648148148148</v>
      </c>
      <c r="I352" s="73" t="n">
        <v>0.04568287037037037</v>
      </c>
      <c r="J352" s="73" t="n">
        <v>0.110625</v>
      </c>
      <c r="K352" s="73" t="n">
        <v>0.06744212962962963</v>
      </c>
      <c r="L352" s="73" t="n">
        <v>0.2069212962962963</v>
      </c>
      <c r="M352" s="73" t="n">
        <v>0.08263888888888889</v>
      </c>
      <c r="N352" s="73" t="n">
        <v>0.05461805555555556</v>
      </c>
      <c r="O352" s="73" t="n">
        <v>0.08681712962962963</v>
      </c>
      <c r="P352" s="73" t="n">
        <v>0.1018981481481482</v>
      </c>
    </row>
    <row r="353" ht="15.75" customHeight="1" s="45">
      <c r="A353" s="61" t="n">
        <v>46139</v>
      </c>
      <c r="B353" s="62" t="inlineStr">
        <is>
          <t>Antes-Projeto</t>
        </is>
      </c>
      <c r="C353" s="74" t="inlineStr">
        <is>
          <t>Tempo Médio — 🟠 Laranja (hh:mm)</t>
        </is>
      </c>
      <c r="D353" s="75" t="n">
        <v>0.01447916666666667</v>
      </c>
      <c r="E353" s="75" t="n">
        <v>0.008958333333333334</v>
      </c>
      <c r="F353" s="75" t="n">
        <v>0.007858796296296296</v>
      </c>
      <c r="G353" s="75" t="n">
        <v>0.006828703703703704</v>
      </c>
      <c r="H353" s="75" t="n">
        <v>0.005127314814814815</v>
      </c>
      <c r="I353" s="75" t="n">
        <v>0.006539351851851852</v>
      </c>
      <c r="J353" s="75" t="n">
        <v>0.008090277777777778</v>
      </c>
      <c r="K353" s="75" t="n">
        <v>0.01758101851851852</v>
      </c>
      <c r="L353" s="75" t="n">
        <v>0.01101851851851852</v>
      </c>
      <c r="M353" s="75" t="n">
        <v>0.0196412037037037</v>
      </c>
      <c r="N353" s="75" t="n">
        <v>0.03670138888888889</v>
      </c>
      <c r="O353" s="75" t="n">
        <v>0.01425925925925926</v>
      </c>
      <c r="P353" s="75" t="n">
        <v>0.01290509259259259</v>
      </c>
    </row>
    <row r="354" ht="15.75" customHeight="1" s="45">
      <c r="A354" s="76" t="n">
        <v>46139</v>
      </c>
      <c r="B354" s="77" t="inlineStr">
        <is>
          <t>Antes-Projeto</t>
        </is>
      </c>
      <c r="C354" s="78" t="inlineStr">
        <is>
          <t>Tempo Médio — 🟢 Verde   (hh:mm)</t>
        </is>
      </c>
      <c r="D354" s="79" t="n">
        <v>0.1583449074074074</v>
      </c>
      <c r="E354" s="79" t="n">
        <v>0.159849537037037</v>
      </c>
      <c r="F354" s="79" t="n">
        <v>0.08934027777777778</v>
      </c>
      <c r="G354" s="79" t="n">
        <v>0.1189583333333333</v>
      </c>
      <c r="H354" s="79" t="n">
        <v>0.1411689814814815</v>
      </c>
      <c r="I354" s="79" t="n">
        <v>0.1500694444444444</v>
      </c>
      <c r="J354" s="79" t="n">
        <v>0.1397916666666667</v>
      </c>
      <c r="K354" s="79" t="n">
        <v>0.1460300925925926</v>
      </c>
      <c r="L354" s="79" t="n">
        <v>0.1260300925925926</v>
      </c>
      <c r="M354" s="79" t="n">
        <v>0.1010416666666667</v>
      </c>
      <c r="N354" s="79" t="n">
        <v>0.5165393518518518</v>
      </c>
      <c r="O354" s="79" t="n">
        <v>0.1082986111111111</v>
      </c>
      <c r="P354" s="79" t="n">
        <v>0.1379166666666667</v>
      </c>
    </row>
    <row r="355" ht="15.75" customHeight="1" s="45">
      <c r="A355" s="57" t="n">
        <v>46140</v>
      </c>
      <c r="B355" s="58" t="inlineStr">
        <is>
          <t>Antes-Projeto</t>
        </is>
      </c>
      <c r="C355" s="59" t="inlineStr">
        <is>
          <t>Acolhim. + Atend. Urgência + Atend. UPA</t>
        </is>
      </c>
      <c r="D355" s="60">
        <f>SUM(D356:D358)</f>
        <v/>
      </c>
      <c r="E355" s="60">
        <f>SUM(E356:E358)</f>
        <v/>
      </c>
      <c r="F355" s="60">
        <f>SUM(F356:F358)</f>
        <v/>
      </c>
      <c r="G355" s="60">
        <f>SUM(G356:G358)</f>
        <v/>
      </c>
      <c r="H355" s="60">
        <f>SUM(H356:H358)</f>
        <v/>
      </c>
      <c r="I355" s="60">
        <f>SUM(I356:I358)</f>
        <v/>
      </c>
      <c r="J355" s="60">
        <f>SUM(J356:J358)</f>
        <v/>
      </c>
      <c r="K355" s="60">
        <f>SUM(K356:K358)</f>
        <v/>
      </c>
      <c r="L355" s="60">
        <f>SUM(L356:L358)</f>
        <v/>
      </c>
      <c r="M355" s="60">
        <f>SUM(M356:M358)</f>
        <v/>
      </c>
      <c r="N355" s="60">
        <f>SUM(N356:N358)</f>
        <v/>
      </c>
      <c r="O355" s="60">
        <f>SUM(O356:O358)</f>
        <v/>
      </c>
      <c r="P355" s="60">
        <f>SUM(P356:P358)</f>
        <v/>
      </c>
    </row>
    <row r="356" ht="15.75" customHeight="1" s="45">
      <c r="A356" s="61" t="n">
        <v>46140</v>
      </c>
      <c r="B356" s="62" t="inlineStr">
        <is>
          <t>Antes-Projeto</t>
        </is>
      </c>
      <c r="C356" s="65" t="inlineStr">
        <is>
          <t>Acolhimento c/ Classif. de Risco</t>
        </is>
      </c>
      <c r="D356" s="66" t="n">
        <v>251</v>
      </c>
      <c r="E356" s="66" t="n">
        <v>194</v>
      </c>
      <c r="F356" s="66" t="n">
        <v>174</v>
      </c>
      <c r="G356" s="66" t="n">
        <v>141</v>
      </c>
      <c r="H356" s="66" t="n">
        <v>175</v>
      </c>
      <c r="I356" s="66" t="n">
        <v>206</v>
      </c>
      <c r="J356" s="66" t="n">
        <v>140</v>
      </c>
      <c r="K356" s="66" t="n">
        <v>312</v>
      </c>
      <c r="L356" s="66" t="n">
        <v>149</v>
      </c>
      <c r="M356" s="66" t="n">
        <v>266</v>
      </c>
      <c r="N356" s="66" t="n">
        <v>220</v>
      </c>
      <c r="O356" s="66" t="n">
        <v>285</v>
      </c>
      <c r="P356" s="66" t="n">
        <v>272</v>
      </c>
    </row>
    <row r="357" ht="15.75" customHeight="1" s="45">
      <c r="A357" s="61" t="n">
        <v>46140</v>
      </c>
      <c r="B357" s="62" t="inlineStr">
        <is>
          <t>Antes-Projeto</t>
        </is>
      </c>
      <c r="C357" s="63" t="inlineStr">
        <is>
          <t>Atend. Urgência Obs. ≤ 24h</t>
        </is>
      </c>
      <c r="D357" s="64" t="n">
        <v>25</v>
      </c>
      <c r="E357" s="64" t="n">
        <v>56</v>
      </c>
      <c r="F357" s="64" t="n">
        <v>26</v>
      </c>
      <c r="G357" s="64" t="n">
        <v>14</v>
      </c>
      <c r="H357" s="64" t="n">
        <v>12</v>
      </c>
      <c r="I357" s="64" t="n">
        <v>25</v>
      </c>
      <c r="J357" s="64" t="n">
        <v>13</v>
      </c>
      <c r="K357" s="64" t="n">
        <v>54</v>
      </c>
      <c r="L357" s="64" t="n">
        <v>85</v>
      </c>
      <c r="M357" s="64" t="n">
        <v>39</v>
      </c>
      <c r="N357" s="64" t="n">
        <v>17</v>
      </c>
      <c r="O357" s="64" t="n">
        <v>12</v>
      </c>
      <c r="P357" s="64" t="n">
        <v>75</v>
      </c>
    </row>
    <row r="358" ht="15.75" customHeight="1" s="45">
      <c r="A358" s="61" t="n">
        <v>46140</v>
      </c>
      <c r="B358" s="62" t="inlineStr">
        <is>
          <t>Antes-Projeto</t>
        </is>
      </c>
      <c r="C358" s="65" t="inlineStr">
        <is>
          <t>Atend. Médico em UPA</t>
        </is>
      </c>
      <c r="D358" s="66" t="n">
        <v>215</v>
      </c>
      <c r="E358" s="66" t="n">
        <v>124</v>
      </c>
      <c r="F358" s="66" t="n">
        <v>76</v>
      </c>
      <c r="G358" s="66" t="n">
        <v>60</v>
      </c>
      <c r="H358" s="66" t="n">
        <v>109</v>
      </c>
      <c r="I358" s="66" t="n">
        <v>125</v>
      </c>
      <c r="J358" s="66" t="n">
        <v>96</v>
      </c>
      <c r="K358" s="66" t="n">
        <v>243</v>
      </c>
      <c r="L358" s="66" t="n">
        <v>82</v>
      </c>
      <c r="M358" s="66" t="n">
        <v>167</v>
      </c>
      <c r="N358" s="66" t="n">
        <v>151</v>
      </c>
      <c r="O358" s="66" t="n">
        <v>214</v>
      </c>
      <c r="P358" s="66" t="n">
        <v>146</v>
      </c>
    </row>
    <row r="359" ht="15.75" customHeight="1" s="45">
      <c r="A359" s="61" t="n">
        <v>46140</v>
      </c>
      <c r="B359" s="62" t="inlineStr">
        <is>
          <t>Antes-Projeto</t>
        </is>
      </c>
      <c r="C359" s="63" t="inlineStr">
        <is>
          <t>Exames Laboratoriais</t>
        </is>
      </c>
      <c r="D359" s="64" t="n">
        <v>962</v>
      </c>
      <c r="E359" s="64" t="n">
        <v>432</v>
      </c>
      <c r="F359" s="64" t="n">
        <v>593</v>
      </c>
      <c r="G359" s="64" t="n">
        <v>300</v>
      </c>
      <c r="H359" s="64" t="n">
        <v>329</v>
      </c>
      <c r="I359" s="64" t="n">
        <v>513</v>
      </c>
      <c r="J359" s="64" t="n">
        <v>290</v>
      </c>
      <c r="K359" s="64" t="n">
        <v>1004</v>
      </c>
      <c r="L359" s="64" t="n">
        <v>731</v>
      </c>
      <c r="M359" s="64" t="n">
        <v>567</v>
      </c>
      <c r="N359" s="64" t="n">
        <v>688</v>
      </c>
      <c r="O359" s="64" t="n">
        <v>364</v>
      </c>
      <c r="P359" s="64" t="n">
        <v>824</v>
      </c>
    </row>
    <row r="360" ht="15.75" customHeight="1" s="45">
      <c r="A360" s="61" t="n">
        <v>46140</v>
      </c>
      <c r="B360" s="62" t="inlineStr">
        <is>
          <t>Antes-Projeto</t>
        </is>
      </c>
      <c r="C360" s="65" t="inlineStr">
        <is>
          <t>Radiografias</t>
        </is>
      </c>
      <c r="D360" s="66" t="n">
        <v>37</v>
      </c>
      <c r="E360" s="66" t="n">
        <v>19</v>
      </c>
      <c r="F360" s="66" t="n">
        <v>31</v>
      </c>
      <c r="G360" s="66" t="n">
        <v>3</v>
      </c>
      <c r="H360" s="66" t="n">
        <v>28</v>
      </c>
      <c r="I360" s="66" t="n">
        <v>25</v>
      </c>
      <c r="J360" s="66" t="n">
        <v>38</v>
      </c>
      <c r="K360" s="66" t="n">
        <v>2</v>
      </c>
      <c r="L360" s="66" t="n">
        <v>1</v>
      </c>
      <c r="M360" s="66" t="n">
        <v>10</v>
      </c>
      <c r="N360" s="66" t="n">
        <v>5</v>
      </c>
      <c r="O360" s="66" t="n">
        <v>1</v>
      </c>
      <c r="P360" s="66" t="n">
        <v>1</v>
      </c>
    </row>
    <row r="361" ht="15.75" customHeight="1" s="45">
      <c r="A361" s="61" t="n">
        <v>46140</v>
      </c>
      <c r="B361" s="62" t="inlineStr">
        <is>
          <t>Antes-Projeto</t>
        </is>
      </c>
      <c r="C361" s="63" t="inlineStr">
        <is>
          <t>Eletrocardiogramas</t>
        </is>
      </c>
      <c r="D361" s="64" t="n">
        <v>18</v>
      </c>
      <c r="E361" s="64" t="n">
        <v>10</v>
      </c>
      <c r="F361" s="64" t="n">
        <v>18</v>
      </c>
      <c r="G361" s="64" t="n">
        <v>8</v>
      </c>
      <c r="H361" s="64" t="n">
        <v>4</v>
      </c>
      <c r="I361" s="64" t="n">
        <v>16</v>
      </c>
      <c r="J361" s="64" t="n">
        <v>12</v>
      </c>
      <c r="K361" s="64" t="n">
        <v>13</v>
      </c>
      <c r="L361" s="64" t="n">
        <v>17</v>
      </c>
      <c r="M361" s="64" t="n">
        <v>13</v>
      </c>
      <c r="N361" s="64" t="n">
        <v>18</v>
      </c>
      <c r="O361" s="64" t="n">
        <v>9</v>
      </c>
      <c r="P361" s="64" t="n">
        <v>22</v>
      </c>
    </row>
    <row r="362" ht="15.75" customHeight="1" s="45">
      <c r="A362" s="61" t="n">
        <v>46140</v>
      </c>
      <c r="B362" s="62" t="inlineStr">
        <is>
          <t>Antes-Projeto</t>
        </is>
      </c>
      <c r="C362" s="68" t="inlineStr">
        <is>
          <t>GAEs Abertas</t>
        </is>
      </c>
      <c r="D362" s="69" t="n">
        <v>258</v>
      </c>
      <c r="E362" s="69" t="n">
        <v>199</v>
      </c>
      <c r="F362" s="69" t="n">
        <v>181</v>
      </c>
      <c r="G362" s="69" t="n">
        <v>154</v>
      </c>
      <c r="H362" s="69" t="n">
        <v>180</v>
      </c>
      <c r="I362" s="69" t="n">
        <v>219</v>
      </c>
      <c r="J362" s="69" t="n">
        <v>150</v>
      </c>
      <c r="K362" s="69" t="n">
        <v>358</v>
      </c>
      <c r="L362" s="69" t="n">
        <v>158</v>
      </c>
      <c r="M362" s="69" t="n">
        <v>300</v>
      </c>
      <c r="N362" s="69" t="n">
        <v>253</v>
      </c>
      <c r="O362" s="69" t="n">
        <v>300</v>
      </c>
      <c r="P362" s="69" t="n">
        <v>287</v>
      </c>
    </row>
    <row r="363" ht="15.75" customHeight="1" s="45">
      <c r="A363" s="61" t="n">
        <v>46140</v>
      </c>
      <c r="B363" s="62" t="inlineStr">
        <is>
          <t>Antes-Projeto</t>
        </is>
      </c>
      <c r="C363" s="68" t="inlineStr">
        <is>
          <t>GAEs Classificadas</t>
        </is>
      </c>
      <c r="D363" s="69" t="n">
        <v>249</v>
      </c>
      <c r="E363" s="69" t="n">
        <v>193</v>
      </c>
      <c r="F363" s="69" t="n">
        <v>174</v>
      </c>
      <c r="G363" s="69" t="n">
        <v>143</v>
      </c>
      <c r="H363" s="69" t="n">
        <v>175</v>
      </c>
      <c r="I363" s="69" t="n">
        <v>206</v>
      </c>
      <c r="J363" s="69" t="n">
        <v>140</v>
      </c>
      <c r="K363" s="69" t="n">
        <v>309</v>
      </c>
      <c r="L363" s="69" t="n">
        <v>149</v>
      </c>
      <c r="M363" s="69" t="n">
        <v>270</v>
      </c>
      <c r="N363" s="69" t="n">
        <v>215</v>
      </c>
      <c r="O363" s="69" t="n">
        <v>288</v>
      </c>
      <c r="P363" s="69" t="n">
        <v>272</v>
      </c>
    </row>
    <row r="364" ht="15.75" customHeight="1" s="45">
      <c r="A364" s="61" t="n">
        <v>46140</v>
      </c>
      <c r="B364" s="62" t="inlineStr">
        <is>
          <t>Antes-Projeto</t>
        </is>
      </c>
      <c r="C364" s="70" t="inlineStr">
        <is>
          <t>Percentual de GAEs abertas classificadas</t>
        </is>
      </c>
      <c r="D364" s="71">
        <f>IFERROR(D363/D362,"-")</f>
        <v/>
      </c>
      <c r="E364" s="71">
        <f>IFERROR(E363/E362,"-")</f>
        <v/>
      </c>
      <c r="F364" s="71">
        <f>IFERROR(F363/F362,"-")</f>
        <v/>
      </c>
      <c r="G364" s="71">
        <f>IFERROR(G363/G362,"-")</f>
        <v/>
      </c>
      <c r="H364" s="71">
        <f>IFERROR(H363/H362,"-")</f>
        <v/>
      </c>
      <c r="I364" s="71">
        <f>IFERROR(I363/I362,"-")</f>
        <v/>
      </c>
      <c r="J364" s="71">
        <f>IFERROR(J363/J362,"-")</f>
        <v/>
      </c>
      <c r="K364" s="71">
        <f>IFERROR(K363/K362,"-")</f>
        <v/>
      </c>
      <c r="L364" s="71">
        <f>IFERROR(L363/L362,"-")</f>
        <v/>
      </c>
      <c r="M364" s="71">
        <f>IFERROR(M363/M362,"-")</f>
        <v/>
      </c>
      <c r="N364" s="71">
        <f>IFERROR(N363/N362,"-")</f>
        <v/>
      </c>
      <c r="O364" s="71">
        <f>IFERROR(O363/O362,"-")</f>
        <v/>
      </c>
      <c r="P364" s="71">
        <f>IFERROR(P363/P362,"-")</f>
        <v/>
      </c>
    </row>
    <row r="365" ht="15.75" customHeight="1" s="45">
      <c r="A365" s="61" t="n">
        <v>46140</v>
      </c>
      <c r="B365" s="62" t="inlineStr">
        <is>
          <t>Antes-Projeto</t>
        </is>
      </c>
      <c r="C365" s="72" t="inlineStr">
        <is>
          <t>Tempo Médio — 🟡 Amarelo (hh:mm)</t>
        </is>
      </c>
      <c r="D365" s="73" t="n">
        <v>0.06071759259259259</v>
      </c>
      <c r="E365" s="73" t="n">
        <v>0.0459375</v>
      </c>
      <c r="F365" s="73" t="n">
        <v>0.05615740740740741</v>
      </c>
      <c r="G365" s="73" t="n">
        <v>0.04167824074074074</v>
      </c>
      <c r="H365" s="73" t="n">
        <v>0.0803587962962963</v>
      </c>
      <c r="I365" s="73" t="n">
        <v>0.03122685185185185</v>
      </c>
      <c r="J365" s="73" t="n">
        <v>0.03041666666666667</v>
      </c>
      <c r="K365" s="73" t="n">
        <v>0.036875</v>
      </c>
      <c r="L365" s="73" t="n">
        <v>0.1226851851851852</v>
      </c>
      <c r="M365" s="73" t="n">
        <v>0.06710648148148148</v>
      </c>
      <c r="N365" s="73" t="n">
        <v>0.1389583333333333</v>
      </c>
      <c r="O365" s="73" t="n">
        <v>0.08333333333333333</v>
      </c>
      <c r="P365" s="73" t="n">
        <v>0.08489583333333334</v>
      </c>
    </row>
    <row r="366" ht="15.75" customHeight="1" s="45">
      <c r="A366" s="61" t="n">
        <v>46140</v>
      </c>
      <c r="B366" s="62" t="inlineStr">
        <is>
          <t>Antes-Projeto</t>
        </is>
      </c>
      <c r="C366" s="74" t="inlineStr">
        <is>
          <t>Tempo Médio — 🟠 Laranja (hh:mm)</t>
        </is>
      </c>
      <c r="D366" s="75" t="n">
        <v>0.008090277777777778</v>
      </c>
      <c r="E366" s="75" t="n">
        <v>0.01208333333333333</v>
      </c>
      <c r="F366" s="75" t="n">
        <v>0.01998842592592593</v>
      </c>
      <c r="G366" s="75" t="n">
        <v>0.01006944444444445</v>
      </c>
      <c r="H366" s="75" t="n">
        <v>0.008194444444444445</v>
      </c>
      <c r="I366" s="75" t="n">
        <v>0.007581018518518518</v>
      </c>
      <c r="J366" s="75" t="n">
        <v>0.006608796296296297</v>
      </c>
      <c r="K366" s="75" t="n">
        <v>0.01109953703703704</v>
      </c>
      <c r="L366" s="75" t="n">
        <v>0.01172453703703704</v>
      </c>
      <c r="M366" s="75" t="n">
        <v>0.01983796296296296</v>
      </c>
      <c r="N366" s="75" t="n">
        <v>0.01278935185185185</v>
      </c>
      <c r="O366" s="75" t="n">
        <v>0.01366898148148148</v>
      </c>
      <c r="P366" s="75" t="n">
        <v>0.01681712962962963</v>
      </c>
    </row>
    <row r="367" ht="15.75" customHeight="1" s="45">
      <c r="A367" s="76" t="n">
        <v>46140</v>
      </c>
      <c r="B367" s="77" t="inlineStr">
        <is>
          <t>Antes-Projeto</t>
        </is>
      </c>
      <c r="C367" s="78" t="inlineStr">
        <is>
          <t>Tempo Médio — 🟢 Verde   (hh:mm)</t>
        </is>
      </c>
      <c r="D367" s="79" t="n">
        <v>0.1502893518518519</v>
      </c>
      <c r="E367" s="79" t="n">
        <v>0.1803935185185185</v>
      </c>
      <c r="F367" s="79" t="n">
        <v>0.07365740740740741</v>
      </c>
      <c r="G367" s="79" t="n">
        <v>0.1850694444444445</v>
      </c>
      <c r="H367" s="79" t="n">
        <v>0.1191087962962963</v>
      </c>
      <c r="I367" s="79" t="n">
        <v>0.139375</v>
      </c>
      <c r="J367" s="79" t="n">
        <v>0.08078703703703703</v>
      </c>
      <c r="K367" s="79" t="n">
        <v>0.06806712962962963</v>
      </c>
      <c r="L367" s="79" t="n">
        <v>0.1407638888888889</v>
      </c>
      <c r="M367" s="79" t="n">
        <v>0.1091666666666667</v>
      </c>
      <c r="N367" s="79" t="n">
        <v>0.2211689814814815</v>
      </c>
      <c r="O367" s="79" t="n">
        <v>0.1633912037037037</v>
      </c>
      <c r="P367" s="79" t="n">
        <v>0.1228819444444444</v>
      </c>
    </row>
    <row r="368" ht="15.75" customHeight="1" s="45">
      <c r="A368" s="57" t="n">
        <v>46141</v>
      </c>
      <c r="B368" s="58" t="inlineStr">
        <is>
          <t>Antes-Projeto</t>
        </is>
      </c>
      <c r="C368" s="59" t="inlineStr">
        <is>
          <t>Acolhim. + Atend. Urgência + Atend. UPA</t>
        </is>
      </c>
      <c r="D368" s="60">
        <f>SUM(D369:D371)</f>
        <v/>
      </c>
      <c r="E368" s="60">
        <f>SUM(E369:E371)</f>
        <v/>
      </c>
      <c r="F368" s="60">
        <f>SUM(F369:F371)</f>
        <v/>
      </c>
      <c r="G368" s="60">
        <f>SUM(G369:G371)</f>
        <v/>
      </c>
      <c r="H368" s="60">
        <f>SUM(H369:H371)</f>
        <v/>
      </c>
      <c r="I368" s="60">
        <f>SUM(I369:I371)</f>
        <v/>
      </c>
      <c r="J368" s="60">
        <f>SUM(J369:J371)</f>
        <v/>
      </c>
      <c r="K368" s="60">
        <f>SUM(K369:K371)</f>
        <v/>
      </c>
      <c r="L368" s="60">
        <f>SUM(L369:L371)</f>
        <v/>
      </c>
      <c r="M368" s="60">
        <f>SUM(M369:M371)</f>
        <v/>
      </c>
      <c r="N368" s="60">
        <f>SUM(N369:N371)</f>
        <v/>
      </c>
      <c r="O368" s="60">
        <f>SUM(O369:O371)</f>
        <v/>
      </c>
      <c r="P368" s="60">
        <f>SUM(P369:P371)</f>
        <v/>
      </c>
    </row>
    <row r="369" ht="15.75" customHeight="1" s="45">
      <c r="A369" s="61" t="n">
        <v>46141</v>
      </c>
      <c r="B369" s="62" t="inlineStr">
        <is>
          <t>Antes-Projeto</t>
        </is>
      </c>
      <c r="C369" s="63" t="inlineStr">
        <is>
          <t>Acolhimento c/ Classif. de Risco</t>
        </is>
      </c>
      <c r="D369" s="64" t="n">
        <v>238</v>
      </c>
      <c r="E369" s="64" t="n">
        <v>154</v>
      </c>
      <c r="F369" s="64" t="n">
        <v>145</v>
      </c>
      <c r="G369" s="64" t="n">
        <v>115</v>
      </c>
      <c r="H369" s="64" t="n">
        <v>158</v>
      </c>
      <c r="I369" s="64" t="n">
        <v>193</v>
      </c>
      <c r="J369" s="64" t="n">
        <v>124</v>
      </c>
      <c r="K369" s="64" t="n">
        <v>286</v>
      </c>
      <c r="L369" s="64" t="n">
        <v>132</v>
      </c>
      <c r="M369" s="64" t="n">
        <v>273</v>
      </c>
      <c r="N369" s="64" t="n">
        <v>213</v>
      </c>
      <c r="O369" s="64" t="n">
        <v>298</v>
      </c>
      <c r="P369" s="64" t="n">
        <v>262</v>
      </c>
    </row>
    <row r="370" ht="15.75" customHeight="1" s="45">
      <c r="A370" s="61" t="n">
        <v>46141</v>
      </c>
      <c r="B370" s="62" t="inlineStr">
        <is>
          <t>Antes-Projeto</t>
        </is>
      </c>
      <c r="C370" s="65" t="inlineStr">
        <is>
          <t>Atend. Urgência Obs. ≤ 24h</t>
        </is>
      </c>
      <c r="D370" s="66" t="n">
        <v>25</v>
      </c>
      <c r="E370" s="66" t="n">
        <v>92</v>
      </c>
      <c r="F370" s="66" t="n">
        <v>22</v>
      </c>
      <c r="G370" s="66" t="n">
        <v>15</v>
      </c>
      <c r="H370" s="66" t="n">
        <v>4</v>
      </c>
      <c r="I370" s="66" t="n">
        <v>12</v>
      </c>
      <c r="J370" s="66" t="n">
        <v>10</v>
      </c>
      <c r="K370" s="66" t="n">
        <v>38</v>
      </c>
      <c r="L370" s="66" t="n">
        <v>56</v>
      </c>
      <c r="M370" s="66" t="n">
        <v>25</v>
      </c>
      <c r="N370" s="66" t="n">
        <v>24</v>
      </c>
      <c r="O370" s="66" t="n">
        <v>9</v>
      </c>
      <c r="P370" s="66" t="n">
        <v>61</v>
      </c>
    </row>
    <row r="371" ht="15.75" customHeight="1" s="45">
      <c r="A371" s="61" t="n">
        <v>46141</v>
      </c>
      <c r="B371" s="62" t="inlineStr">
        <is>
          <t>Antes-Projeto</t>
        </is>
      </c>
      <c r="C371" s="63" t="inlineStr">
        <is>
          <t>Atend. Médico em UPA</t>
        </is>
      </c>
      <c r="D371" s="64" t="n">
        <v>173</v>
      </c>
      <c r="E371" s="64" t="n">
        <v>56</v>
      </c>
      <c r="F371" s="64" t="n">
        <v>76</v>
      </c>
      <c r="G371" s="64" t="n">
        <v>65</v>
      </c>
      <c r="H371" s="64" t="n">
        <v>130</v>
      </c>
      <c r="I371" s="64" t="n">
        <v>148</v>
      </c>
      <c r="J371" s="64" t="n">
        <v>73</v>
      </c>
      <c r="K371" s="64" t="n">
        <v>173</v>
      </c>
      <c r="L371" s="64" t="n">
        <v>77</v>
      </c>
      <c r="M371" s="64" t="n">
        <v>132</v>
      </c>
      <c r="N371" s="64" t="n">
        <v>194</v>
      </c>
      <c r="O371" s="64" t="n">
        <v>172</v>
      </c>
      <c r="P371" s="64" t="n">
        <v>126</v>
      </c>
    </row>
    <row r="372" ht="15.75" customHeight="1" s="45">
      <c r="A372" s="61" t="n">
        <v>46141</v>
      </c>
      <c r="B372" s="62" t="inlineStr">
        <is>
          <t>Antes-Projeto</t>
        </is>
      </c>
      <c r="C372" s="65" t="inlineStr">
        <is>
          <t>Exames Laboratoriais</t>
        </is>
      </c>
      <c r="D372" s="66" t="n">
        <v>708</v>
      </c>
      <c r="E372" s="66" t="n">
        <v>354</v>
      </c>
      <c r="F372" s="66" t="n">
        <v>355</v>
      </c>
      <c r="G372" s="66" t="n">
        <v>226</v>
      </c>
      <c r="H372" s="66" t="n">
        <v>241</v>
      </c>
      <c r="I372" s="66" t="n">
        <v>574</v>
      </c>
      <c r="J372" s="66" t="n">
        <v>322</v>
      </c>
      <c r="K372" s="66" t="n">
        <v>871</v>
      </c>
      <c r="L372" s="66" t="n">
        <v>666</v>
      </c>
      <c r="M372" s="66" t="n">
        <v>645</v>
      </c>
      <c r="N372" s="66" t="n">
        <v>948</v>
      </c>
      <c r="O372" s="66" t="n">
        <v>436</v>
      </c>
      <c r="P372" s="66" t="n">
        <v>582</v>
      </c>
    </row>
    <row r="373" ht="15.75" customHeight="1" s="45">
      <c r="A373" s="61" t="n">
        <v>46141</v>
      </c>
      <c r="B373" s="62" t="inlineStr">
        <is>
          <t>Antes-Projeto</t>
        </is>
      </c>
      <c r="C373" s="63" t="inlineStr">
        <is>
          <t>Radiografias</t>
        </is>
      </c>
      <c r="D373" s="64" t="n">
        <v>43</v>
      </c>
      <c r="E373" s="64" t="n">
        <v>23</v>
      </c>
      <c r="F373" s="64" t="n">
        <v>21</v>
      </c>
      <c r="G373" s="64" t="n">
        <v>2</v>
      </c>
      <c r="H373" s="64" t="n">
        <v>24</v>
      </c>
      <c r="I373" s="64" t="n">
        <v>43</v>
      </c>
      <c r="J373" s="64" t="n">
        <v>15</v>
      </c>
      <c r="K373" s="64" t="n">
        <v>17</v>
      </c>
      <c r="L373" s="64" t="n">
        <v>9</v>
      </c>
      <c r="M373" s="64" t="n">
        <v>32</v>
      </c>
      <c r="N373" s="64" t="n">
        <v>2</v>
      </c>
      <c r="O373" s="64" t="n">
        <v>24</v>
      </c>
      <c r="P373" s="64" t="n">
        <v>37</v>
      </c>
    </row>
    <row r="374" ht="15.75" customHeight="1" s="45">
      <c r="A374" s="61" t="n">
        <v>46141</v>
      </c>
      <c r="B374" s="62" t="inlineStr">
        <is>
          <t>Antes-Projeto</t>
        </is>
      </c>
      <c r="C374" s="65" t="inlineStr">
        <is>
          <t>Eletrocardiogramas</t>
        </is>
      </c>
      <c r="D374" s="66" t="n">
        <v>20</v>
      </c>
      <c r="E374" s="66" t="n">
        <v>3</v>
      </c>
      <c r="F374" s="66" t="n">
        <v>23</v>
      </c>
      <c r="G374" s="66" t="n">
        <v>8</v>
      </c>
      <c r="H374" s="66" t="n">
        <v>7</v>
      </c>
      <c r="I374" s="66" t="n">
        <v>22</v>
      </c>
      <c r="J374" s="66" t="n">
        <v>8</v>
      </c>
      <c r="K374" s="66" t="n">
        <v>14</v>
      </c>
      <c r="L374" s="66" t="n">
        <v>19</v>
      </c>
      <c r="M374" s="66" t="n">
        <v>16</v>
      </c>
      <c r="N374" s="66" t="n">
        <v>31</v>
      </c>
      <c r="O374" s="66" t="n">
        <v>15</v>
      </c>
      <c r="P374" s="66" t="n">
        <v>22</v>
      </c>
    </row>
    <row r="375" ht="15.75" customHeight="1" s="45">
      <c r="A375" s="61" t="n">
        <v>46141</v>
      </c>
      <c r="B375" s="62" t="inlineStr">
        <is>
          <t>Antes-Projeto</t>
        </is>
      </c>
      <c r="C375" s="68" t="inlineStr">
        <is>
          <t>GAEs Abertas</t>
        </is>
      </c>
      <c r="D375" s="69" t="n">
        <v>258</v>
      </c>
      <c r="E375" s="69" t="n">
        <v>163</v>
      </c>
      <c r="F375" s="69" t="n">
        <v>183</v>
      </c>
      <c r="G375" s="69" t="n">
        <v>119</v>
      </c>
      <c r="H375" s="69" t="n">
        <v>163</v>
      </c>
      <c r="I375" s="69" t="n">
        <v>214</v>
      </c>
      <c r="J375" s="69" t="n">
        <v>127</v>
      </c>
      <c r="K375" s="69" t="n">
        <v>313</v>
      </c>
      <c r="L375" s="69" t="n">
        <v>143</v>
      </c>
      <c r="M375" s="69" t="n">
        <v>290</v>
      </c>
      <c r="N375" s="69" t="n">
        <v>219</v>
      </c>
      <c r="O375" s="69" t="n">
        <v>310</v>
      </c>
      <c r="P375" s="69" t="n">
        <v>277</v>
      </c>
    </row>
    <row r="376" ht="15.75" customHeight="1" s="45">
      <c r="A376" s="61" t="n">
        <v>46141</v>
      </c>
      <c r="B376" s="62" t="inlineStr">
        <is>
          <t>Antes-Projeto</t>
        </is>
      </c>
      <c r="C376" s="68" t="inlineStr">
        <is>
          <t>GAEs Classificadas</t>
        </is>
      </c>
      <c r="D376" s="69" t="n">
        <v>241</v>
      </c>
      <c r="E376" s="69" t="n">
        <v>154</v>
      </c>
      <c r="F376" s="69" t="n">
        <v>146</v>
      </c>
      <c r="G376" s="69" t="n">
        <v>115</v>
      </c>
      <c r="H376" s="69" t="n">
        <v>159</v>
      </c>
      <c r="I376" s="69" t="n">
        <v>192</v>
      </c>
      <c r="J376" s="69" t="n">
        <v>124</v>
      </c>
      <c r="K376" s="69" t="n">
        <v>289</v>
      </c>
      <c r="L376" s="69" t="n">
        <v>133</v>
      </c>
      <c r="M376" s="69" t="n">
        <v>272</v>
      </c>
      <c r="N376" s="69" t="n">
        <v>215</v>
      </c>
      <c r="O376" s="69" t="n">
        <v>295</v>
      </c>
      <c r="P376" s="69" t="n">
        <v>262</v>
      </c>
    </row>
    <row r="377" ht="15.75" customHeight="1" s="45">
      <c r="A377" s="61" t="n">
        <v>46141</v>
      </c>
      <c r="B377" s="62" t="inlineStr">
        <is>
          <t>Antes-Projeto</t>
        </is>
      </c>
      <c r="C377" s="70" t="inlineStr">
        <is>
          <t>Percentual de GAEs abertas classificadas</t>
        </is>
      </c>
      <c r="D377" s="71">
        <f>IFERROR(D376/D375,"-")</f>
        <v/>
      </c>
      <c r="E377" s="71">
        <f>IFERROR(E376/E375,"-")</f>
        <v/>
      </c>
      <c r="F377" s="71">
        <f>IFERROR(F376/F375,"-")</f>
        <v/>
      </c>
      <c r="G377" s="71">
        <f>IFERROR(G376/G375,"-")</f>
        <v/>
      </c>
      <c r="H377" s="71">
        <f>IFERROR(H376/H375,"-")</f>
        <v/>
      </c>
      <c r="I377" s="71">
        <f>IFERROR(I376/I375,"-")</f>
        <v/>
      </c>
      <c r="J377" s="71">
        <f>IFERROR(J376/J375,"-")</f>
        <v/>
      </c>
      <c r="K377" s="71">
        <f>IFERROR(K376/K375,"-")</f>
        <v/>
      </c>
      <c r="L377" s="71">
        <f>IFERROR(L376/L375,"-")</f>
        <v/>
      </c>
      <c r="M377" s="71">
        <f>IFERROR(M376/M375,"-")</f>
        <v/>
      </c>
      <c r="N377" s="71">
        <f>IFERROR(N376/N375,"-")</f>
        <v/>
      </c>
      <c r="O377" s="71">
        <f>IFERROR(O376/O375,"-")</f>
        <v/>
      </c>
      <c r="P377" s="71">
        <f>IFERROR(P376/P375,"-")</f>
        <v/>
      </c>
    </row>
    <row r="378" ht="15.75" customHeight="1" s="45">
      <c r="A378" s="61" t="n">
        <v>46141</v>
      </c>
      <c r="B378" s="62" t="inlineStr">
        <is>
          <t>Antes-Projeto</t>
        </is>
      </c>
      <c r="C378" s="72" t="inlineStr">
        <is>
          <t>Tempo Médio — 🟡 Amarelo (hh:mm)</t>
        </is>
      </c>
      <c r="D378" s="73" t="n">
        <v>0.09135416666666667</v>
      </c>
      <c r="E378" s="73" t="n">
        <v>0.1262384259259259</v>
      </c>
      <c r="F378" s="73" t="n">
        <v>0.1279166666666667</v>
      </c>
      <c r="G378" s="73" t="n">
        <v>0.03568287037037037</v>
      </c>
      <c r="H378" s="73" t="n">
        <v>0.06604166666666667</v>
      </c>
      <c r="I378" s="73" t="n">
        <v>0.07730324074074074</v>
      </c>
      <c r="J378" s="73" t="n">
        <v>0.06530092592592593</v>
      </c>
      <c r="K378" s="73" t="n">
        <v>0.09575231481481482</v>
      </c>
      <c r="L378" s="73" t="n">
        <v>0.1518171296296296</v>
      </c>
      <c r="M378" s="73" t="n">
        <v>0.03211805555555555</v>
      </c>
      <c r="N378" s="73" t="n">
        <v>0.07960648148148149</v>
      </c>
      <c r="O378" s="73" t="n">
        <v>0.07452546296296296</v>
      </c>
      <c r="P378" s="73" t="n">
        <v>0.101712962962963</v>
      </c>
    </row>
    <row r="379" ht="15.75" customHeight="1" s="45">
      <c r="A379" s="61" t="n">
        <v>46141</v>
      </c>
      <c r="B379" s="62" t="inlineStr">
        <is>
          <t>Antes-Projeto</t>
        </is>
      </c>
      <c r="C379" s="74" t="inlineStr">
        <is>
          <t>Tempo Médio — 🟠 Laranja (hh:mm)</t>
        </is>
      </c>
      <c r="D379" s="75" t="n">
        <v>0.008425925925925925</v>
      </c>
      <c r="E379" s="75" t="n">
        <v>0.009363425925925926</v>
      </c>
      <c r="F379" s="80" t="n">
        <v>0</v>
      </c>
      <c r="G379" s="75" t="n">
        <v>0.006979166666666667</v>
      </c>
      <c r="H379" s="75" t="n">
        <v>0.006504629629629629</v>
      </c>
      <c r="I379" s="75" t="n">
        <v>0.009305555555555555</v>
      </c>
      <c r="J379" s="75" t="n">
        <v>0.01046296296296296</v>
      </c>
      <c r="K379" s="75" t="n">
        <v>0.01425925925925926</v>
      </c>
      <c r="L379" s="75" t="n">
        <v>0.01914351851851852</v>
      </c>
      <c r="M379" s="75" t="n">
        <v>0.01049768518518518</v>
      </c>
      <c r="N379" s="75" t="n">
        <v>0.01083333333333333</v>
      </c>
      <c r="O379" s="75" t="n">
        <v>0.01328703703703704</v>
      </c>
      <c r="P379" s="80" t="n">
        <v>0</v>
      </c>
    </row>
    <row r="380" ht="15.75" customHeight="1" s="45">
      <c r="A380" s="76" t="n">
        <v>46141</v>
      </c>
      <c r="B380" s="77" t="inlineStr">
        <is>
          <t>Antes-Projeto</t>
        </is>
      </c>
      <c r="C380" s="78" t="inlineStr">
        <is>
          <t>Tempo Médio — 🟢 Verde   (hh:mm)</t>
        </is>
      </c>
      <c r="D380" s="79" t="n">
        <v>0.1246296296296296</v>
      </c>
      <c r="E380" s="79" t="n">
        <v>0.2183449074074074</v>
      </c>
      <c r="F380" s="79" t="n">
        <v>0.133125</v>
      </c>
      <c r="G380" s="79" t="n">
        <v>0.127962962962963</v>
      </c>
      <c r="H380" s="79" t="n">
        <v>0.1469097222222222</v>
      </c>
      <c r="I380" s="79" t="n">
        <v>0.240625</v>
      </c>
      <c r="J380" s="79" t="n">
        <v>0.1319444444444444</v>
      </c>
      <c r="K380" s="79" t="n">
        <v>0.1534143518518518</v>
      </c>
      <c r="L380" s="79" t="n">
        <v>0.208287037037037</v>
      </c>
      <c r="M380" s="79" t="n">
        <v>0.1329976851851852</v>
      </c>
      <c r="N380" s="79" t="n">
        <v>0.1221759259259259</v>
      </c>
      <c r="O380" s="79" t="n">
        <v>0.1591782407407407</v>
      </c>
      <c r="P380" s="79" t="n">
        <v>0.1082638888888889</v>
      </c>
    </row>
    <row r="381" ht="15.75" customHeight="1" s="45">
      <c r="A381" s="57" t="n">
        <v>46142</v>
      </c>
      <c r="B381" s="58" t="inlineStr">
        <is>
          <t>Antes-Projeto</t>
        </is>
      </c>
      <c r="C381" s="59" t="inlineStr">
        <is>
          <t>Acolhim. + Atend. Urgência + Atend. UPA</t>
        </is>
      </c>
      <c r="D381" s="60">
        <f>SUM(D382:D384)</f>
        <v/>
      </c>
      <c r="E381" s="60">
        <f>SUM(E382:E384)</f>
        <v/>
      </c>
      <c r="F381" s="60">
        <f>SUM(F382:F384)</f>
        <v/>
      </c>
      <c r="G381" s="60">
        <f>SUM(G382:G384)</f>
        <v/>
      </c>
      <c r="H381" s="60">
        <f>SUM(H382:H384)</f>
        <v/>
      </c>
      <c r="I381" s="60">
        <f>SUM(I382:I384)</f>
        <v/>
      </c>
      <c r="J381" s="60">
        <f>SUM(J382:J384)</f>
        <v/>
      </c>
      <c r="K381" s="60">
        <f>SUM(K382:K384)</f>
        <v/>
      </c>
      <c r="L381" s="60">
        <f>SUM(L382:L384)</f>
        <v/>
      </c>
      <c r="M381" s="60">
        <f>SUM(M382:M384)</f>
        <v/>
      </c>
      <c r="N381" s="60">
        <f>SUM(N382:N384)</f>
        <v/>
      </c>
      <c r="O381" s="60">
        <f>SUM(O382:O384)</f>
        <v/>
      </c>
      <c r="P381" s="60">
        <f>SUM(P382:P384)</f>
        <v/>
      </c>
    </row>
    <row r="382" ht="15.75" customHeight="1" s="45">
      <c r="A382" s="61" t="n">
        <v>46142</v>
      </c>
      <c r="B382" s="62" t="inlineStr">
        <is>
          <t>Antes-Projeto</t>
        </is>
      </c>
      <c r="C382" s="65" t="inlineStr">
        <is>
          <t>Acolhimento c/ Classif. de Risco</t>
        </is>
      </c>
      <c r="D382" s="66" t="n">
        <v>208</v>
      </c>
      <c r="E382" s="66" t="n">
        <v>136</v>
      </c>
      <c r="F382" s="66" t="n">
        <v>149</v>
      </c>
      <c r="G382" s="66" t="n">
        <v>117</v>
      </c>
      <c r="H382" s="66" t="n">
        <v>100</v>
      </c>
      <c r="I382" s="66" t="n">
        <v>194</v>
      </c>
      <c r="J382" s="66" t="n">
        <v>120</v>
      </c>
      <c r="K382" s="66" t="n">
        <v>275</v>
      </c>
      <c r="L382" s="66" t="n">
        <v>134</v>
      </c>
      <c r="M382" s="66" t="n">
        <v>272</v>
      </c>
      <c r="N382" s="66" t="n">
        <v>195</v>
      </c>
      <c r="O382" s="66" t="n">
        <v>256</v>
      </c>
      <c r="P382" s="66" t="n">
        <v>247</v>
      </c>
    </row>
    <row r="383" ht="15.75" customHeight="1" s="45">
      <c r="A383" s="61" t="n">
        <v>46142</v>
      </c>
      <c r="B383" s="62" t="inlineStr">
        <is>
          <t>Antes-Projeto</t>
        </is>
      </c>
      <c r="C383" s="63" t="inlineStr">
        <is>
          <t>Atend. Urgência Obs. ≤ 24h</t>
        </is>
      </c>
      <c r="D383" s="64" t="n">
        <v>24</v>
      </c>
      <c r="E383" s="64" t="n">
        <v>105</v>
      </c>
      <c r="F383" s="64" t="n">
        <v>23</v>
      </c>
      <c r="G383" s="64" t="n">
        <v>10</v>
      </c>
      <c r="H383" s="64" t="n">
        <v>3</v>
      </c>
      <c r="I383" s="64" t="n">
        <v>16</v>
      </c>
      <c r="J383" s="64" t="n">
        <v>23</v>
      </c>
      <c r="K383" s="64" t="n">
        <v>34</v>
      </c>
      <c r="L383" s="64" t="n">
        <v>38</v>
      </c>
      <c r="M383" s="64" t="n">
        <v>14</v>
      </c>
      <c r="N383" s="64" t="n">
        <v>24</v>
      </c>
      <c r="O383" s="64" t="n">
        <v>9</v>
      </c>
      <c r="P383" s="64" t="n">
        <v>85</v>
      </c>
    </row>
    <row r="384" ht="15.75" customHeight="1" s="45">
      <c r="A384" s="61" t="n">
        <v>46142</v>
      </c>
      <c r="B384" s="62" t="inlineStr">
        <is>
          <t>Antes-Projeto</t>
        </is>
      </c>
      <c r="C384" s="65" t="inlineStr">
        <is>
          <t>Atend. Médico em UPA</t>
        </is>
      </c>
      <c r="D384" s="66" t="n">
        <v>184</v>
      </c>
      <c r="E384" s="66" t="n">
        <v>77</v>
      </c>
      <c r="F384" s="66" t="n">
        <v>115</v>
      </c>
      <c r="G384" s="66" t="n">
        <v>78</v>
      </c>
      <c r="H384" s="66" t="n">
        <v>24</v>
      </c>
      <c r="I384" s="66" t="n">
        <v>179</v>
      </c>
      <c r="J384" s="66" t="n">
        <v>90</v>
      </c>
      <c r="K384" s="66" t="n">
        <v>205</v>
      </c>
      <c r="L384" s="66" t="n">
        <v>95</v>
      </c>
      <c r="M384" s="66" t="n">
        <v>108</v>
      </c>
      <c r="N384" s="66" t="n">
        <v>166</v>
      </c>
      <c r="O384" s="66" t="n">
        <v>211</v>
      </c>
      <c r="P384" s="66" t="n">
        <v>110</v>
      </c>
    </row>
    <row r="385" ht="15.75" customHeight="1" s="45">
      <c r="A385" s="61" t="n">
        <v>46142</v>
      </c>
      <c r="B385" s="62" t="inlineStr">
        <is>
          <t>Antes-Projeto</t>
        </is>
      </c>
      <c r="C385" s="63" t="inlineStr">
        <is>
          <t>Exames Laboratoriais</t>
        </is>
      </c>
      <c r="D385" s="64" t="n">
        <v>673</v>
      </c>
      <c r="E385" s="64" t="n">
        <v>433</v>
      </c>
      <c r="F385" s="64" t="n">
        <v>662</v>
      </c>
      <c r="G385" s="64" t="n">
        <v>398</v>
      </c>
      <c r="H385" s="64" t="n">
        <v>144</v>
      </c>
      <c r="I385" s="64" t="n">
        <v>557</v>
      </c>
      <c r="J385" s="64" t="n">
        <v>346</v>
      </c>
      <c r="K385" s="64" t="n">
        <v>1008</v>
      </c>
      <c r="L385" s="64" t="n">
        <v>684</v>
      </c>
      <c r="M385" s="64" t="n">
        <v>622</v>
      </c>
      <c r="N385" s="64" t="n">
        <v>788</v>
      </c>
      <c r="O385" s="64" t="n">
        <v>408</v>
      </c>
      <c r="P385" s="64" t="n">
        <v>544</v>
      </c>
    </row>
    <row r="386" ht="15.75" customHeight="1" s="45">
      <c r="A386" s="61" t="n">
        <v>46142</v>
      </c>
      <c r="B386" s="62" t="inlineStr">
        <is>
          <t>Antes-Projeto</t>
        </is>
      </c>
      <c r="C386" s="65" t="inlineStr">
        <is>
          <t>Radiografias</t>
        </is>
      </c>
      <c r="D386" s="66" t="n">
        <v>31</v>
      </c>
      <c r="E386" s="66" t="n">
        <v>20</v>
      </c>
      <c r="F386" s="66" t="n">
        <v>35</v>
      </c>
      <c r="G386" s="66" t="n">
        <v>4</v>
      </c>
      <c r="H386" s="66" t="n">
        <v>10</v>
      </c>
      <c r="I386" s="66" t="n">
        <v>20</v>
      </c>
      <c r="J386" s="66" t="n">
        <v>29</v>
      </c>
      <c r="K386" s="66" t="n">
        <v>29</v>
      </c>
      <c r="L386" s="66" t="n">
        <v>25</v>
      </c>
      <c r="M386" s="66" t="n">
        <v>46</v>
      </c>
      <c r="N386" s="66" t="n">
        <v>17</v>
      </c>
      <c r="O386" s="66" t="n">
        <v>41</v>
      </c>
      <c r="P386" s="66" t="n">
        <v>39</v>
      </c>
    </row>
    <row r="387" ht="15.75" customHeight="1" s="45">
      <c r="A387" s="61" t="n">
        <v>46142</v>
      </c>
      <c r="B387" s="62" t="inlineStr">
        <is>
          <t>Antes-Projeto</t>
        </is>
      </c>
      <c r="C387" s="63" t="inlineStr">
        <is>
          <t>Eletrocardiogramas</t>
        </is>
      </c>
      <c r="D387" s="64" t="n">
        <v>29</v>
      </c>
      <c r="E387" s="64" t="n">
        <v>5</v>
      </c>
      <c r="F387" s="64" t="n">
        <v>17</v>
      </c>
      <c r="G387" s="64" t="n">
        <v>6</v>
      </c>
      <c r="H387" s="64" t="n">
        <v>5</v>
      </c>
      <c r="I387" s="64" t="n">
        <v>11</v>
      </c>
      <c r="J387" s="64" t="n">
        <v>24</v>
      </c>
      <c r="K387" s="67" t="n">
        <v>0</v>
      </c>
      <c r="L387" s="64" t="n">
        <v>12</v>
      </c>
      <c r="M387" s="64" t="n">
        <v>8</v>
      </c>
      <c r="N387" s="64" t="n">
        <v>28</v>
      </c>
      <c r="O387" s="64" t="n">
        <v>10</v>
      </c>
      <c r="P387" s="64" t="n">
        <v>19</v>
      </c>
    </row>
    <row r="388" ht="15.75" customHeight="1" s="45">
      <c r="A388" s="61" t="n">
        <v>46142</v>
      </c>
      <c r="B388" s="62" t="inlineStr">
        <is>
          <t>Antes-Projeto</t>
        </is>
      </c>
      <c r="C388" s="68" t="inlineStr">
        <is>
          <t>GAEs Abertas</t>
        </is>
      </c>
      <c r="D388" s="69" t="n">
        <v>206</v>
      </c>
      <c r="E388" s="69" t="n">
        <v>139</v>
      </c>
      <c r="F388" s="69" t="n">
        <v>151</v>
      </c>
      <c r="G388" s="69" t="n">
        <v>120</v>
      </c>
      <c r="H388" s="69" t="n">
        <v>113</v>
      </c>
      <c r="I388" s="69" t="n">
        <v>203</v>
      </c>
      <c r="J388" s="69" t="n">
        <v>120</v>
      </c>
      <c r="K388" s="69" t="n">
        <v>286</v>
      </c>
      <c r="L388" s="69" t="n">
        <v>137</v>
      </c>
      <c r="M388" s="69" t="n">
        <v>280</v>
      </c>
      <c r="N388" s="69" t="n">
        <v>201</v>
      </c>
      <c r="O388" s="69" t="n">
        <v>259</v>
      </c>
      <c r="P388" s="69" t="n">
        <v>253</v>
      </c>
    </row>
    <row r="389" ht="15.75" customHeight="1" s="45">
      <c r="A389" s="61" t="n">
        <v>46142</v>
      </c>
      <c r="B389" s="62" t="inlineStr">
        <is>
          <t>Antes-Projeto</t>
        </is>
      </c>
      <c r="C389" s="68" t="inlineStr">
        <is>
          <t>GAEs Classificadas</t>
        </is>
      </c>
      <c r="D389" s="69" t="n">
        <v>203</v>
      </c>
      <c r="E389" s="69" t="n">
        <v>135</v>
      </c>
      <c r="F389" s="69" t="n">
        <v>147</v>
      </c>
      <c r="G389" s="69" t="n">
        <v>117</v>
      </c>
      <c r="H389" s="69" t="n">
        <v>99</v>
      </c>
      <c r="I389" s="69" t="n">
        <v>197</v>
      </c>
      <c r="J389" s="69" t="n">
        <v>120</v>
      </c>
      <c r="K389" s="69" t="n">
        <v>267</v>
      </c>
      <c r="L389" s="69" t="n">
        <v>132</v>
      </c>
      <c r="M389" s="69" t="n">
        <v>268</v>
      </c>
      <c r="N389" s="69" t="n">
        <v>191</v>
      </c>
      <c r="O389" s="69" t="n">
        <v>255</v>
      </c>
      <c r="P389" s="69" t="n">
        <v>246</v>
      </c>
    </row>
    <row r="390" ht="15.75" customHeight="1" s="45">
      <c r="A390" s="61" t="n">
        <v>46142</v>
      </c>
      <c r="B390" s="62" t="inlineStr">
        <is>
          <t>Antes-Projeto</t>
        </is>
      </c>
      <c r="C390" s="70" t="inlineStr">
        <is>
          <t>Percentual de GAEs abertas classificadas</t>
        </is>
      </c>
      <c r="D390" s="71">
        <f>IFERROR(D389/D388,"-")</f>
        <v/>
      </c>
      <c r="E390" s="71">
        <f>IFERROR(E389/E388,"-")</f>
        <v/>
      </c>
      <c r="F390" s="71">
        <f>IFERROR(F389/F388,"-")</f>
        <v/>
      </c>
      <c r="G390" s="71">
        <f>IFERROR(G389/G388,"-")</f>
        <v/>
      </c>
      <c r="H390" s="71">
        <f>IFERROR(H389/H388,"-")</f>
        <v/>
      </c>
      <c r="I390" s="71">
        <f>IFERROR(I389/I388,"-")</f>
        <v/>
      </c>
      <c r="J390" s="71">
        <f>IFERROR(J389/J388,"-")</f>
        <v/>
      </c>
      <c r="K390" s="71">
        <f>IFERROR(K389/K388,"-")</f>
        <v/>
      </c>
      <c r="L390" s="71">
        <f>IFERROR(L389/L388,"-")</f>
        <v/>
      </c>
      <c r="M390" s="71">
        <f>IFERROR(M389/M388,"-")</f>
        <v/>
      </c>
      <c r="N390" s="71">
        <f>IFERROR(N389/N388,"-")</f>
        <v/>
      </c>
      <c r="O390" s="71">
        <f>IFERROR(O389/O388,"-")</f>
        <v/>
      </c>
      <c r="P390" s="71">
        <f>IFERROR(P389/P388,"-")</f>
        <v/>
      </c>
    </row>
    <row r="391" ht="15.75" customHeight="1" s="45">
      <c r="A391" s="61" t="n">
        <v>46142</v>
      </c>
      <c r="B391" s="62" t="inlineStr">
        <is>
          <t>Antes-Projeto</t>
        </is>
      </c>
      <c r="C391" s="72" t="inlineStr">
        <is>
          <t>Tempo Médio — 🟡 Amarelo (hh:mm)</t>
        </is>
      </c>
      <c r="D391" s="73" t="n">
        <v>0.02199074074074074</v>
      </c>
      <c r="E391" s="73" t="n">
        <v>0.1118055555555556</v>
      </c>
      <c r="F391" s="73" t="n">
        <v>0.04726851851851852</v>
      </c>
      <c r="G391" s="73" t="n">
        <v>0.03447916666666666</v>
      </c>
      <c r="H391" s="73" t="n">
        <v>0.07666666666666666</v>
      </c>
      <c r="I391" s="73" t="n">
        <v>0.0553125</v>
      </c>
      <c r="J391" s="73" t="n">
        <v>0.03435185185185185</v>
      </c>
      <c r="K391" s="73" t="n">
        <v>0.07055555555555555</v>
      </c>
      <c r="L391" s="73" t="n">
        <v>0.1348611111111111</v>
      </c>
      <c r="M391" s="73" t="n">
        <v>0.05056712962962963</v>
      </c>
      <c r="N391" s="73" t="n">
        <v>0.07353009259259259</v>
      </c>
      <c r="O391" s="73" t="n">
        <v>0.02788194444444445</v>
      </c>
      <c r="P391" s="73" t="n">
        <v>0.1298611111111111</v>
      </c>
    </row>
    <row r="392" ht="15.75" customHeight="1" s="45">
      <c r="A392" s="61" t="n">
        <v>46142</v>
      </c>
      <c r="B392" s="62" t="inlineStr">
        <is>
          <t>Antes-Projeto</t>
        </is>
      </c>
      <c r="C392" s="74" t="inlineStr">
        <is>
          <t>Tempo Médio — 🟠 Laranja (hh:mm)</t>
        </is>
      </c>
      <c r="D392" s="75" t="n">
        <v>0.009351851851851853</v>
      </c>
      <c r="E392" s="75" t="n">
        <v>0.005763888888888889</v>
      </c>
      <c r="F392" s="75" t="n">
        <v>0.01137731481481481</v>
      </c>
      <c r="G392" s="75" t="n">
        <v>0.01204861111111111</v>
      </c>
      <c r="H392" s="75" t="n">
        <v>0.01203703703703704</v>
      </c>
      <c r="I392" s="75" t="n">
        <v>0.007534722222222222</v>
      </c>
      <c r="J392" s="75" t="n">
        <v>0.00886574074074074</v>
      </c>
      <c r="K392" s="75" t="n">
        <v>0.01775462962962963</v>
      </c>
      <c r="L392" s="75" t="n">
        <v>0.02611111111111111</v>
      </c>
      <c r="M392" s="75" t="n">
        <v>0.001284722222222222</v>
      </c>
      <c r="N392" s="75" t="n">
        <v>0.02481481481481481</v>
      </c>
      <c r="O392" s="75" t="n">
        <v>0.00974537037037037</v>
      </c>
      <c r="P392" s="75" t="n">
        <v>0.01813657407407408</v>
      </c>
    </row>
    <row r="393" ht="15.75" customHeight="1" s="45">
      <c r="A393" s="76" t="n">
        <v>46142</v>
      </c>
      <c r="B393" s="77" t="inlineStr">
        <is>
          <t>Antes-Projeto</t>
        </is>
      </c>
      <c r="C393" s="78" t="inlineStr">
        <is>
          <t>Tempo Médio — 🟢 Verde   (hh:mm)</t>
        </is>
      </c>
      <c r="D393" s="79" t="n">
        <v>0.04811342592592593</v>
      </c>
      <c r="E393" s="79" t="n">
        <v>0.2758333333333333</v>
      </c>
      <c r="F393" s="79" t="n">
        <v>0.06230324074074074</v>
      </c>
      <c r="G393" s="79" t="n">
        <v>0.06614583333333333</v>
      </c>
      <c r="H393" s="79" t="n">
        <v>0.03806712962962963</v>
      </c>
      <c r="I393" s="79" t="n">
        <v>0.1081365740740741</v>
      </c>
      <c r="J393" s="79" t="n">
        <v>0.06283564814814815</v>
      </c>
      <c r="K393" s="79" t="n">
        <v>0.135462962962963</v>
      </c>
      <c r="L393" s="79" t="n">
        <v>0.2102199074074074</v>
      </c>
      <c r="M393" s="79" t="n">
        <v>0.1135185185185185</v>
      </c>
      <c r="N393" s="79" t="n">
        <v>0.08</v>
      </c>
      <c r="O393" s="79" t="n">
        <v>0.09414351851851852</v>
      </c>
      <c r="P393" s="79" t="n">
        <v>0.09559027777777777</v>
      </c>
    </row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</sheetData>
  <autoFilter ref="A3:P393"/>
  <mergeCells count="4">
    <mergeCell ref="K2:P2"/>
    <mergeCell ref="A1:P1"/>
    <mergeCell ref="A2:C2"/>
    <mergeCell ref="D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4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  <selection pane="bottomLeft" activeCell="D395" activeCellId="0" sqref="D395"/>
    </sheetView>
  </sheetViews>
  <sheetFormatPr baseColWidth="8" defaultColWidth="8.6796875" defaultRowHeight="15" zeroHeight="0" outlineLevelRow="0"/>
  <cols>
    <col width="13" customWidth="1" style="44" min="1" max="1"/>
    <col width="12" customWidth="1" style="44" min="2" max="2"/>
    <col width="36.71" customWidth="1" style="44" min="3" max="3"/>
    <col width="15" customWidth="1" style="44" min="4" max="16"/>
  </cols>
  <sheetData>
    <row r="1" ht="31.5" customHeight="1" s="45">
      <c r="A1" s="46" t="inlineStr">
        <is>
          <t>ANÁLISE COMPARATIVA DE INDICADORES — UPAs PORTE I e PORTE III — ANTES e APÓS O PROJETO</t>
        </is>
      </c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8" t="n"/>
    </row>
    <row r="2" ht="25.5" customHeight="1" s="45">
      <c r="A2" s="49" t="inlineStr">
        <is>
          <t>Obs.: O indicador TAXA DE MORTALIDADE é de responsabilidade da SUPPH.</t>
        </is>
      </c>
      <c r="B2" s="47" t="n"/>
      <c r="C2" s="50" t="n"/>
      <c r="D2" s="51" t="inlineStr">
        <is>
          <t>— PORTE I —</t>
        </is>
      </c>
      <c r="E2" s="47" t="n"/>
      <c r="F2" s="47" t="n"/>
      <c r="G2" s="47" t="n"/>
      <c r="H2" s="47" t="n"/>
      <c r="I2" s="47" t="n"/>
      <c r="J2" s="50" t="n"/>
      <c r="K2" s="52" t="inlineStr">
        <is>
          <t>— PORTE III —</t>
        </is>
      </c>
      <c r="L2" s="47" t="n"/>
      <c r="M2" s="47" t="n"/>
      <c r="N2" s="47" t="n"/>
      <c r="O2" s="47" t="n"/>
      <c r="P2" s="53" t="n"/>
    </row>
    <row r="3" ht="36" customHeight="1" s="45">
      <c r="A3" s="54" t="inlineStr">
        <is>
          <t>Data</t>
        </is>
      </c>
      <c r="B3" s="54" t="inlineStr">
        <is>
          <t>Fase</t>
        </is>
      </c>
      <c r="C3" s="54" t="inlineStr">
        <is>
          <t>Indicador</t>
        </is>
      </c>
      <c r="D3" s="55" t="inlineStr">
        <is>
          <t>UPA
CEILÂNDIA II</t>
        </is>
      </c>
      <c r="E3" s="55" t="inlineStr">
        <is>
          <t>UPA
PARANOÁ</t>
        </is>
      </c>
      <c r="F3" s="55" t="inlineStr">
        <is>
          <t>UPA
GAMA</t>
        </is>
      </c>
      <c r="G3" s="55" t="inlineStr">
        <is>
          <t>UPA
PLANALTINA</t>
        </is>
      </c>
      <c r="H3" s="55" t="inlineStr">
        <is>
          <t>UPA RIACHO FUNDO II</t>
        </is>
      </c>
      <c r="I3" s="55" t="inlineStr">
        <is>
          <t>UPA VICENTE PIRES</t>
        </is>
      </c>
      <c r="J3" s="55" t="inlineStr">
        <is>
          <t>UPA BRAZLÂNDIA</t>
        </is>
      </c>
      <c r="K3" s="56" t="inlineStr">
        <is>
          <t>UPA
CEILÂNDIA</t>
        </is>
      </c>
      <c r="L3" s="56" t="inlineStr">
        <is>
          <t>UPA NÚCLEO BANDEIRANTE</t>
        </is>
      </c>
      <c r="M3" s="56" t="inlineStr">
        <is>
          <t>UPA RECANTO DAS EMAS</t>
        </is>
      </c>
      <c r="N3" s="56" t="inlineStr">
        <is>
          <t>UPA SAMAMBAIA</t>
        </is>
      </c>
      <c r="O3" s="56" t="inlineStr">
        <is>
          <t>UPA
SÃO SEBASTIÃO</t>
        </is>
      </c>
      <c r="P3" s="56" t="inlineStr">
        <is>
          <t>UPA SOBRADINHO</t>
        </is>
      </c>
    </row>
    <row r="4" ht="15.75" customHeight="1" s="45">
      <c r="A4" s="57" t="n">
        <v>46143</v>
      </c>
      <c r="B4" s="58" t="inlineStr">
        <is>
          <t>Antes-Projeto</t>
        </is>
      </c>
      <c r="C4" s="59" t="inlineStr">
        <is>
          <t>Acolhim. + Atend. Urgência + Atend. UPA</t>
        </is>
      </c>
      <c r="D4" s="60">
        <f>SUM(D5:D7)</f>
        <v/>
      </c>
      <c r="E4" s="60">
        <f>SUM(E5:E7)</f>
        <v/>
      </c>
      <c r="F4" s="60">
        <f>SUM(F5:F7)</f>
        <v/>
      </c>
      <c r="G4" s="60">
        <f>SUM(G5:G7)</f>
        <v/>
      </c>
      <c r="H4" s="60">
        <f>SUM(H5:H7)</f>
        <v/>
      </c>
      <c r="I4" s="60">
        <f>SUM(I5:I7)</f>
        <v/>
      </c>
      <c r="J4" s="60">
        <f>SUM(J5:J7)</f>
        <v/>
      </c>
      <c r="K4" s="60">
        <f>SUM(K5:K7)</f>
        <v/>
      </c>
      <c r="L4" s="60">
        <f>SUM(L5:L7)</f>
        <v/>
      </c>
      <c r="M4" s="60">
        <f>SUM(M5:M7)</f>
        <v/>
      </c>
      <c r="N4" s="60">
        <f>SUM(N5:N7)</f>
        <v/>
      </c>
      <c r="O4" s="60">
        <f>SUM(O5:O7)</f>
        <v/>
      </c>
      <c r="P4" s="60">
        <f>SUM(P5:P7)</f>
        <v/>
      </c>
    </row>
    <row r="5" ht="15.75" customHeight="1" s="45">
      <c r="A5" s="61" t="n">
        <v>46143</v>
      </c>
      <c r="B5" s="62" t="inlineStr">
        <is>
          <t>Antes-Projeto</t>
        </is>
      </c>
      <c r="C5" s="63" t="inlineStr">
        <is>
          <t>Acolhimento c/ Classif. de Risco</t>
        </is>
      </c>
      <c r="D5" s="64" t="n">
        <v>198</v>
      </c>
      <c r="E5" s="64" t="n">
        <v>141</v>
      </c>
      <c r="F5" s="64" t="n">
        <v>152</v>
      </c>
      <c r="G5" s="64" t="n">
        <v>132</v>
      </c>
      <c r="H5" s="64" t="n">
        <v>117</v>
      </c>
      <c r="I5" s="64" t="n">
        <v>191</v>
      </c>
      <c r="J5" s="64" t="n">
        <v>113</v>
      </c>
      <c r="K5" s="64" t="n">
        <v>296</v>
      </c>
      <c r="L5" s="64" t="n">
        <v>160</v>
      </c>
      <c r="M5" s="64" t="n">
        <v>247</v>
      </c>
      <c r="N5" s="64" t="n">
        <v>167</v>
      </c>
      <c r="O5" s="64" t="n">
        <v>250</v>
      </c>
      <c r="P5" s="64" t="n">
        <v>236</v>
      </c>
    </row>
    <row r="6" ht="15.75" customHeight="1" s="45">
      <c r="A6" s="61" t="n">
        <v>46143</v>
      </c>
      <c r="B6" s="62" t="inlineStr">
        <is>
          <t>Antes-Projeto</t>
        </is>
      </c>
      <c r="C6" s="65" t="inlineStr">
        <is>
          <t>Atend. Urgência Obs. ≤ 24h</t>
        </is>
      </c>
      <c r="D6" s="66" t="n">
        <v>48</v>
      </c>
      <c r="E6" s="66" t="n">
        <v>11</v>
      </c>
      <c r="F6" s="66" t="n">
        <v>29</v>
      </c>
      <c r="G6" s="66" t="n">
        <v>76</v>
      </c>
      <c r="H6" s="66" t="n">
        <v>19</v>
      </c>
      <c r="I6" s="66" t="n">
        <v>7</v>
      </c>
      <c r="J6" s="66" t="n">
        <v>138</v>
      </c>
      <c r="K6" s="66" t="n">
        <v>355</v>
      </c>
      <c r="L6" s="66" t="n">
        <v>13</v>
      </c>
      <c r="M6" s="66" t="n">
        <v>133</v>
      </c>
      <c r="N6" s="66" t="n">
        <v>115</v>
      </c>
      <c r="O6" s="66" t="n">
        <v>15</v>
      </c>
      <c r="P6" s="66" t="n">
        <v>34</v>
      </c>
    </row>
    <row r="7" ht="15.75" customHeight="1" s="45">
      <c r="A7" s="61" t="n">
        <v>46143</v>
      </c>
      <c r="B7" s="62" t="inlineStr">
        <is>
          <t>Antes-Projeto</t>
        </is>
      </c>
      <c r="C7" s="63" t="inlineStr">
        <is>
          <t>Atend. Médico em UPA</t>
        </is>
      </c>
      <c r="D7" s="64" t="n">
        <v>152</v>
      </c>
      <c r="E7" s="64" t="n">
        <v>76</v>
      </c>
      <c r="F7" s="64" t="n">
        <v>89</v>
      </c>
      <c r="G7" s="64" t="n">
        <v>68</v>
      </c>
      <c r="H7" s="64" t="n">
        <v>65</v>
      </c>
      <c r="I7" s="64" t="n">
        <v>181</v>
      </c>
      <c r="J7" s="64" t="n">
        <v>67</v>
      </c>
      <c r="K7" s="64" t="n">
        <v>118</v>
      </c>
      <c r="L7" s="64" t="n">
        <v>80</v>
      </c>
      <c r="M7" s="64" t="n">
        <v>160</v>
      </c>
      <c r="N7" s="64" t="n">
        <v>204</v>
      </c>
      <c r="O7" s="64" t="n">
        <v>154</v>
      </c>
      <c r="P7" s="64" t="n">
        <v>148</v>
      </c>
    </row>
    <row r="8" ht="15.75" customHeight="1" s="45">
      <c r="A8" s="61" t="n">
        <v>46143</v>
      </c>
      <c r="B8" s="62" t="inlineStr">
        <is>
          <t>Antes-Projeto</t>
        </is>
      </c>
      <c r="C8" s="65" t="inlineStr">
        <is>
          <t>Exames Laboratoriais</t>
        </is>
      </c>
      <c r="D8" s="66" t="n">
        <v>558</v>
      </c>
      <c r="E8" s="66" t="n">
        <v>344</v>
      </c>
      <c r="F8" s="66" t="n">
        <v>600</v>
      </c>
      <c r="G8" s="66" t="n">
        <v>319</v>
      </c>
      <c r="H8" s="66" t="n">
        <v>138</v>
      </c>
      <c r="I8" s="66" t="n">
        <v>522</v>
      </c>
      <c r="J8" s="66" t="n">
        <v>370</v>
      </c>
      <c r="K8" s="66" t="n">
        <v>771</v>
      </c>
      <c r="L8" s="66" t="n">
        <v>559</v>
      </c>
      <c r="M8" s="66" t="n">
        <v>577</v>
      </c>
      <c r="N8" s="66" t="n">
        <v>384</v>
      </c>
      <c r="O8" s="66" t="n">
        <v>408</v>
      </c>
      <c r="P8" s="66" t="n">
        <v>312</v>
      </c>
    </row>
    <row r="9" ht="15.75" customHeight="1" s="45">
      <c r="A9" s="61" t="n">
        <v>46143</v>
      </c>
      <c r="B9" s="62" t="inlineStr">
        <is>
          <t>Antes-Projeto</t>
        </is>
      </c>
      <c r="C9" s="63" t="inlineStr">
        <is>
          <t>Radiografias</t>
        </is>
      </c>
      <c r="D9" s="64" t="n">
        <v>19</v>
      </c>
      <c r="E9" s="64" t="n">
        <v>21</v>
      </c>
      <c r="F9" s="64" t="n">
        <v>17</v>
      </c>
      <c r="G9" s="67" t="n">
        <v>0</v>
      </c>
      <c r="H9" s="64" t="n">
        <v>13</v>
      </c>
      <c r="I9" s="64" t="n">
        <v>27</v>
      </c>
      <c r="J9" s="64" t="n">
        <v>28</v>
      </c>
      <c r="K9" s="64" t="n">
        <v>14</v>
      </c>
      <c r="L9" s="64" t="n">
        <v>15</v>
      </c>
      <c r="M9" s="64" t="n">
        <v>36</v>
      </c>
      <c r="N9" s="64" t="n">
        <v>26</v>
      </c>
      <c r="O9" s="64" t="n">
        <v>38</v>
      </c>
      <c r="P9" s="64" t="n">
        <v>45</v>
      </c>
    </row>
    <row r="10" ht="15.75" customHeight="1" s="45">
      <c r="A10" s="61" t="n">
        <v>46143</v>
      </c>
      <c r="B10" s="62" t="inlineStr">
        <is>
          <t>Antes-Projeto</t>
        </is>
      </c>
      <c r="C10" s="65" t="inlineStr">
        <is>
          <t>Eletrocardiogramas</t>
        </is>
      </c>
      <c r="D10" s="66" t="n">
        <v>16</v>
      </c>
      <c r="E10" s="66" t="n">
        <v>19</v>
      </c>
      <c r="F10" s="66" t="n">
        <v>19</v>
      </c>
      <c r="G10" s="66" t="n">
        <v>13</v>
      </c>
      <c r="H10" s="66" t="n">
        <v>4</v>
      </c>
      <c r="I10" s="66" t="n">
        <v>10</v>
      </c>
      <c r="J10" s="66" t="n">
        <v>10</v>
      </c>
      <c r="K10" s="66" t="n">
        <v>9</v>
      </c>
      <c r="L10" s="66" t="n">
        <v>12</v>
      </c>
      <c r="M10" s="66" t="n">
        <v>4</v>
      </c>
      <c r="N10" s="66" t="n">
        <v>21</v>
      </c>
      <c r="O10" s="66" t="n">
        <v>14</v>
      </c>
      <c r="P10" s="66" t="n">
        <v>12</v>
      </c>
    </row>
    <row r="11" ht="15.75" customHeight="1" s="45">
      <c r="A11" s="61" t="n">
        <v>46143</v>
      </c>
      <c r="B11" s="62" t="inlineStr">
        <is>
          <t>Antes-Projeto</t>
        </is>
      </c>
      <c r="C11" s="68" t="inlineStr">
        <is>
          <t>GAEs Abertas</t>
        </is>
      </c>
      <c r="D11" s="69" t="n">
        <v>215</v>
      </c>
      <c r="E11" s="69" t="n">
        <v>152</v>
      </c>
      <c r="F11" s="69" t="n">
        <v>169</v>
      </c>
      <c r="G11" s="69" t="n">
        <v>137</v>
      </c>
      <c r="H11" s="69" t="n">
        <v>123</v>
      </c>
      <c r="I11" s="69" t="n">
        <v>204</v>
      </c>
      <c r="J11" s="69" t="n">
        <v>116</v>
      </c>
      <c r="K11" s="69" t="n">
        <v>328</v>
      </c>
      <c r="L11" s="69" t="n">
        <v>168</v>
      </c>
      <c r="M11" s="69" t="n">
        <v>279</v>
      </c>
      <c r="N11" s="69" t="n">
        <v>203</v>
      </c>
      <c r="O11" s="69" t="n">
        <v>262</v>
      </c>
      <c r="P11" s="69" t="n">
        <v>251</v>
      </c>
    </row>
    <row r="12" ht="15.75" customHeight="1" s="45">
      <c r="A12" s="61" t="n">
        <v>46143</v>
      </c>
      <c r="B12" s="62" t="inlineStr">
        <is>
          <t>Antes-Projeto</t>
        </is>
      </c>
      <c r="C12" s="68" t="inlineStr">
        <is>
          <t>GAEs Classificadas</t>
        </is>
      </c>
      <c r="D12" s="69" t="n">
        <v>200</v>
      </c>
      <c r="E12" s="69" t="n">
        <v>141</v>
      </c>
      <c r="F12" s="69" t="n">
        <v>158</v>
      </c>
      <c r="G12" s="69" t="n">
        <v>135</v>
      </c>
      <c r="H12" s="69" t="n">
        <v>117</v>
      </c>
      <c r="I12" s="69" t="n">
        <v>190</v>
      </c>
      <c r="J12" s="69" t="n">
        <v>113</v>
      </c>
      <c r="K12" s="69" t="n">
        <v>299</v>
      </c>
      <c r="L12" s="69" t="n">
        <v>160</v>
      </c>
      <c r="M12" s="69" t="n">
        <v>254</v>
      </c>
      <c r="N12" s="69" t="n">
        <v>159</v>
      </c>
      <c r="O12" s="69" t="n">
        <v>251</v>
      </c>
      <c r="P12" s="69" t="n">
        <v>239</v>
      </c>
    </row>
    <row r="13" ht="15.75" customHeight="1" s="45">
      <c r="A13" s="61" t="n">
        <v>46143</v>
      </c>
      <c r="B13" s="62" t="inlineStr">
        <is>
          <t>Antes-Projeto</t>
        </is>
      </c>
      <c r="C13" s="70" t="inlineStr">
        <is>
          <t>Percentual de GAEs abertas classificadas</t>
        </is>
      </c>
      <c r="D13" s="71">
        <f>IFERROR(D12/D11,"-")</f>
        <v/>
      </c>
      <c r="E13" s="71">
        <f>IFERROR(E12/E11,"-")</f>
        <v/>
      </c>
      <c r="F13" s="71">
        <f>IFERROR(F12/F11,"-")</f>
        <v/>
      </c>
      <c r="G13" s="71">
        <f>IFERROR(G12/G11,"-")</f>
        <v/>
      </c>
      <c r="H13" s="71">
        <f>IFERROR(H12/H11,"-")</f>
        <v/>
      </c>
      <c r="I13" s="71">
        <f>IFERROR(I12/I11,"-")</f>
        <v/>
      </c>
      <c r="J13" s="71">
        <f>IFERROR(J12/J11,"-")</f>
        <v/>
      </c>
      <c r="K13" s="71">
        <f>IFERROR(K12/K11,"-")</f>
        <v/>
      </c>
      <c r="L13" s="71">
        <f>IFERROR(L12/L11,"-")</f>
        <v/>
      </c>
      <c r="M13" s="71">
        <f>IFERROR(M12/M11,"-")</f>
        <v/>
      </c>
      <c r="N13" s="71">
        <f>IFERROR(N12/N11,"-")</f>
        <v/>
      </c>
      <c r="O13" s="71">
        <f>IFERROR(O12/O11,"-")</f>
        <v/>
      </c>
      <c r="P13" s="71">
        <f>IFERROR(P12/P11,"-")</f>
        <v/>
      </c>
    </row>
    <row r="14" ht="15.75" customHeight="1" s="45">
      <c r="A14" s="61" t="n">
        <v>46143</v>
      </c>
      <c r="B14" s="62" t="inlineStr">
        <is>
          <t>Antes-Projeto</t>
        </is>
      </c>
      <c r="C14" s="72" t="inlineStr">
        <is>
          <t>Tempo Médio — 🟡 Amarelo (hh:mm)</t>
        </is>
      </c>
      <c r="D14" s="73" t="n">
        <v>0.08546296296296296</v>
      </c>
      <c r="E14" s="73" t="n">
        <v>0.0506712962962963</v>
      </c>
      <c r="F14" s="73" t="n">
        <v>0.07600694444444445</v>
      </c>
      <c r="G14" s="73" t="n">
        <v>0.03674768518518518</v>
      </c>
      <c r="H14" s="73" t="n">
        <v>0.07626157407407408</v>
      </c>
      <c r="I14" s="73" t="n">
        <v>0.04412037037037037</v>
      </c>
      <c r="J14" s="73" t="n">
        <v>0.01929398148148148</v>
      </c>
      <c r="K14" s="73" t="n">
        <v>0.06177083333333333</v>
      </c>
      <c r="L14" s="73" t="n">
        <v>0.4100810185185185</v>
      </c>
      <c r="M14" s="73" t="n">
        <v>0.12125</v>
      </c>
      <c r="N14" s="73" t="n">
        <v>0.07146990740740741</v>
      </c>
      <c r="O14" s="73" t="n">
        <v>0.05868055555555556</v>
      </c>
      <c r="P14" s="73" t="n">
        <v>0.04369212962962963</v>
      </c>
    </row>
    <row r="15" ht="15.75" customHeight="1" s="45">
      <c r="A15" s="61" t="n">
        <v>46143</v>
      </c>
      <c r="B15" s="62" t="inlineStr">
        <is>
          <t>Antes-Projeto</t>
        </is>
      </c>
      <c r="C15" s="74" t="inlineStr">
        <is>
          <t>Tempo Médio — 🟠 Laranja (hh:mm)</t>
        </is>
      </c>
      <c r="D15" s="75" t="n">
        <v>0.0125</v>
      </c>
      <c r="E15" s="75" t="n">
        <v>0.007407407407407408</v>
      </c>
      <c r="F15" s="75" t="n">
        <v>0.004652777777777777</v>
      </c>
      <c r="G15" s="75" t="n">
        <v>0.003287037037037037</v>
      </c>
      <c r="H15" s="75" t="n">
        <v>0.001180555555555556</v>
      </c>
      <c r="I15" s="75" t="n">
        <v>0.0046875</v>
      </c>
      <c r="J15" s="75" t="n">
        <v>0.01144675925925926</v>
      </c>
      <c r="K15" s="75" t="n">
        <v>0.02846064814814815</v>
      </c>
      <c r="L15" s="75" t="n">
        <v>0.02402777777777778</v>
      </c>
      <c r="M15" s="75" t="n">
        <v>0.01021990740740741</v>
      </c>
      <c r="N15" s="75" t="n">
        <v>0.01434027777777778</v>
      </c>
      <c r="O15" s="75" t="n">
        <v>0.01027777777777778</v>
      </c>
      <c r="P15" s="75" t="n">
        <v>0.008981481481481481</v>
      </c>
    </row>
    <row r="16" ht="15.75" customHeight="1" s="45">
      <c r="A16" s="76" t="n">
        <v>46143</v>
      </c>
      <c r="B16" s="77" t="inlineStr">
        <is>
          <t>Antes-Projeto</t>
        </is>
      </c>
      <c r="C16" s="78" t="inlineStr">
        <is>
          <t>Tempo Médio — 🟢 Verde   (hh:mm)</t>
        </is>
      </c>
      <c r="D16" s="79" t="n">
        <v>0.05751157407407408</v>
      </c>
      <c r="E16" s="79" t="n">
        <v>0.141099537037037</v>
      </c>
      <c r="F16" s="79" t="n">
        <v>0.07572916666666667</v>
      </c>
      <c r="G16" s="79" t="n">
        <v>0.08326388888888889</v>
      </c>
      <c r="H16" s="79" t="n">
        <v>0.08364583333333334</v>
      </c>
      <c r="I16" s="79" t="n">
        <v>0.07700231481481482</v>
      </c>
      <c r="J16" s="79" t="n">
        <v>0.03938657407407407</v>
      </c>
      <c r="K16" s="79" t="n">
        <v>0.1018518518518518</v>
      </c>
      <c r="L16" s="79" t="n">
        <v>0.2402546296296296</v>
      </c>
      <c r="M16" s="79" t="n">
        <v>0.08833333333333333</v>
      </c>
      <c r="N16" s="79" t="n">
        <v>0.09333333333333334</v>
      </c>
      <c r="O16" s="79" t="n">
        <v>0.0875462962962963</v>
      </c>
      <c r="P16" s="79" t="n">
        <v>0.08230324074074075</v>
      </c>
    </row>
    <row r="17" ht="15.75" customHeight="1" s="45">
      <c r="A17" s="57" t="n">
        <v>46144</v>
      </c>
      <c r="B17" s="58" t="inlineStr">
        <is>
          <t>Antes-Projeto</t>
        </is>
      </c>
      <c r="C17" s="59" t="inlineStr">
        <is>
          <t>Acolhim. + Atend. Urgência + Atend. UPA</t>
        </is>
      </c>
      <c r="D17" s="60">
        <f>SUM(D18:D20)</f>
        <v/>
      </c>
      <c r="E17" s="60">
        <f>SUM(E18:E20)</f>
        <v/>
      </c>
      <c r="F17" s="60">
        <f>SUM(F18:F20)</f>
        <v/>
      </c>
      <c r="G17" s="60">
        <f>SUM(G18:G20)</f>
        <v/>
      </c>
      <c r="H17" s="60">
        <f>SUM(H18:H20)</f>
        <v/>
      </c>
      <c r="I17" s="60">
        <f>SUM(I18:I20)</f>
        <v/>
      </c>
      <c r="J17" s="60">
        <f>SUM(J18:J20)</f>
        <v/>
      </c>
      <c r="K17" s="60">
        <f>SUM(K18:K20)</f>
        <v/>
      </c>
      <c r="L17" s="60">
        <f>SUM(L18:L20)</f>
        <v/>
      </c>
      <c r="M17" s="60">
        <f>SUM(M18:M20)</f>
        <v/>
      </c>
      <c r="N17" s="60">
        <f>SUM(N18:N20)</f>
        <v/>
      </c>
      <c r="O17" s="60">
        <f>SUM(O18:O20)</f>
        <v/>
      </c>
      <c r="P17" s="60">
        <f>SUM(P18:P20)</f>
        <v/>
      </c>
    </row>
    <row r="18" ht="15.75" customHeight="1" s="45">
      <c r="A18" s="61" t="n">
        <v>46144</v>
      </c>
      <c r="B18" s="62" t="inlineStr">
        <is>
          <t>Antes-Projeto</t>
        </is>
      </c>
      <c r="C18" s="65" t="inlineStr">
        <is>
          <t>Acolhimento c/ Classif. de Risco</t>
        </is>
      </c>
      <c r="D18" s="66" t="n">
        <v>195</v>
      </c>
      <c r="E18" s="66" t="n">
        <v>154</v>
      </c>
      <c r="F18" s="66" t="n">
        <v>151</v>
      </c>
      <c r="G18" s="66" t="n">
        <v>124</v>
      </c>
      <c r="H18" s="66" t="n">
        <v>105</v>
      </c>
      <c r="I18" s="66" t="n">
        <v>185</v>
      </c>
      <c r="J18" s="66" t="n">
        <v>88</v>
      </c>
      <c r="K18" s="66" t="n">
        <v>266</v>
      </c>
      <c r="L18" s="66" t="n">
        <v>108</v>
      </c>
      <c r="M18" s="66" t="n">
        <v>247</v>
      </c>
      <c r="N18" s="66" t="n">
        <v>177</v>
      </c>
      <c r="O18" s="66" t="n">
        <v>235</v>
      </c>
      <c r="P18" s="66" t="n">
        <v>189</v>
      </c>
    </row>
    <row r="19" ht="15.75" customHeight="1" s="45">
      <c r="A19" s="61" t="n">
        <v>46144</v>
      </c>
      <c r="B19" s="62" t="inlineStr">
        <is>
          <t>Antes-Projeto</t>
        </is>
      </c>
      <c r="C19" s="63" t="inlineStr">
        <is>
          <t>Atend. Urgência Obs. ≤ 24h</t>
        </is>
      </c>
      <c r="D19" s="64" t="n">
        <v>20</v>
      </c>
      <c r="E19" s="64" t="n">
        <v>23</v>
      </c>
      <c r="F19" s="64" t="n">
        <v>31</v>
      </c>
      <c r="G19" s="64" t="n">
        <v>20</v>
      </c>
      <c r="H19" s="64" t="n">
        <v>5</v>
      </c>
      <c r="I19" s="64" t="n">
        <v>32</v>
      </c>
      <c r="J19" s="64" t="n">
        <v>30</v>
      </c>
      <c r="K19" s="64" t="n">
        <v>151</v>
      </c>
      <c r="L19" s="64" t="n">
        <v>59</v>
      </c>
      <c r="M19" s="64" t="n">
        <v>44</v>
      </c>
      <c r="N19" s="64" t="n">
        <v>32</v>
      </c>
      <c r="O19" s="64" t="n">
        <v>8</v>
      </c>
      <c r="P19" s="64" t="n">
        <v>49</v>
      </c>
    </row>
    <row r="20" ht="15.75" customHeight="1" s="45">
      <c r="A20" s="61" t="n">
        <v>46144</v>
      </c>
      <c r="B20" s="62" t="inlineStr">
        <is>
          <t>Antes-Projeto</t>
        </is>
      </c>
      <c r="C20" s="65" t="inlineStr">
        <is>
          <t>Atend. Médico em UPA</t>
        </is>
      </c>
      <c r="D20" s="66" t="n">
        <v>161</v>
      </c>
      <c r="E20" s="66" t="n">
        <v>115</v>
      </c>
      <c r="F20" s="66" t="n">
        <v>86</v>
      </c>
      <c r="G20" s="66" t="n">
        <v>115</v>
      </c>
      <c r="H20" s="66" t="n">
        <v>75</v>
      </c>
      <c r="I20" s="66" t="n">
        <v>154</v>
      </c>
      <c r="J20" s="66" t="n">
        <v>31</v>
      </c>
      <c r="K20" s="66" t="n">
        <v>146</v>
      </c>
      <c r="L20" s="66" t="n">
        <v>50</v>
      </c>
      <c r="M20" s="66" t="n">
        <v>122</v>
      </c>
      <c r="N20" s="66" t="n">
        <v>149</v>
      </c>
      <c r="O20" s="66" t="n">
        <v>161</v>
      </c>
      <c r="P20" s="66" t="n">
        <v>105</v>
      </c>
    </row>
    <row r="21" ht="15.75" customHeight="1" s="45">
      <c r="A21" s="61" t="n">
        <v>46144</v>
      </c>
      <c r="B21" s="62" t="inlineStr">
        <is>
          <t>Antes-Projeto</t>
        </is>
      </c>
      <c r="C21" s="63" t="inlineStr">
        <is>
          <t>Exames Laboratoriais</t>
        </is>
      </c>
      <c r="D21" s="64" t="n">
        <v>789</v>
      </c>
      <c r="E21" s="64" t="n">
        <v>394</v>
      </c>
      <c r="F21" s="64" t="n">
        <v>507</v>
      </c>
      <c r="G21" s="64" t="n">
        <v>417</v>
      </c>
      <c r="H21" s="64" t="n">
        <v>229</v>
      </c>
      <c r="I21" s="64" t="n">
        <v>514</v>
      </c>
      <c r="J21" s="64" t="n">
        <v>261</v>
      </c>
      <c r="K21" s="64" t="n">
        <v>825</v>
      </c>
      <c r="L21" s="64" t="n">
        <v>529</v>
      </c>
      <c r="M21" s="64" t="n">
        <v>418</v>
      </c>
      <c r="N21" s="64" t="n">
        <v>505</v>
      </c>
      <c r="O21" s="64" t="n">
        <v>447</v>
      </c>
      <c r="P21" s="64" t="n">
        <v>346</v>
      </c>
    </row>
    <row r="22" ht="15.75" customHeight="1" s="45">
      <c r="A22" s="61" t="n">
        <v>46144</v>
      </c>
      <c r="B22" s="62" t="inlineStr">
        <is>
          <t>Antes-Projeto</t>
        </is>
      </c>
      <c r="C22" s="65" t="inlineStr">
        <is>
          <t>Radiografias</t>
        </is>
      </c>
      <c r="D22" s="66" t="n">
        <v>35</v>
      </c>
      <c r="E22" s="66" t="n">
        <v>29</v>
      </c>
      <c r="F22" s="66" t="n">
        <v>25</v>
      </c>
      <c r="G22" s="67" t="n">
        <v>0</v>
      </c>
      <c r="H22" s="66" t="n">
        <v>8</v>
      </c>
      <c r="I22" s="66" t="n">
        <v>31</v>
      </c>
      <c r="J22" s="66" t="n">
        <v>13</v>
      </c>
      <c r="K22" s="66" t="n">
        <v>32</v>
      </c>
      <c r="L22" s="66" t="n">
        <v>10</v>
      </c>
      <c r="M22" s="66" t="n">
        <v>30</v>
      </c>
      <c r="N22" s="66" t="n">
        <v>26</v>
      </c>
      <c r="O22" s="66" t="n">
        <v>34</v>
      </c>
      <c r="P22" s="66" t="n">
        <v>44</v>
      </c>
    </row>
    <row r="23" ht="15.75" customHeight="1" s="45">
      <c r="A23" s="61" t="n">
        <v>46144</v>
      </c>
      <c r="B23" s="62" t="inlineStr">
        <is>
          <t>Antes-Projeto</t>
        </is>
      </c>
      <c r="C23" s="63" t="inlineStr">
        <is>
          <t>Eletrocardiogramas</t>
        </is>
      </c>
      <c r="D23" s="64" t="n">
        <v>23</v>
      </c>
      <c r="E23" s="64" t="n">
        <v>7</v>
      </c>
      <c r="F23" s="64" t="n">
        <v>31</v>
      </c>
      <c r="G23" s="64" t="n">
        <v>12</v>
      </c>
      <c r="H23" s="64" t="n">
        <v>6</v>
      </c>
      <c r="I23" s="64" t="n">
        <v>12</v>
      </c>
      <c r="J23" s="64" t="n">
        <v>4</v>
      </c>
      <c r="K23" s="64" t="n">
        <v>21</v>
      </c>
      <c r="L23" s="64" t="n">
        <v>13</v>
      </c>
      <c r="M23" s="64" t="n">
        <v>11</v>
      </c>
      <c r="N23" s="64" t="n">
        <v>22</v>
      </c>
      <c r="O23" s="64" t="n">
        <v>9</v>
      </c>
      <c r="P23" s="64" t="n">
        <v>18</v>
      </c>
    </row>
    <row r="24" ht="15.75" customHeight="1" s="45">
      <c r="A24" s="61" t="n">
        <v>46144</v>
      </c>
      <c r="B24" s="62" t="inlineStr">
        <is>
          <t>Antes-Projeto</t>
        </is>
      </c>
      <c r="C24" s="68" t="inlineStr">
        <is>
          <t>GAEs Abertas</t>
        </is>
      </c>
      <c r="D24" s="69" t="n">
        <v>205</v>
      </c>
      <c r="E24" s="69" t="n">
        <v>158</v>
      </c>
      <c r="F24" s="69" t="n">
        <v>161</v>
      </c>
      <c r="G24" s="69" t="n">
        <v>123</v>
      </c>
      <c r="H24" s="69" t="n">
        <v>109</v>
      </c>
      <c r="I24" s="69" t="n">
        <v>194</v>
      </c>
      <c r="J24" s="69" t="n">
        <v>90</v>
      </c>
      <c r="K24" s="69" t="n">
        <v>292</v>
      </c>
      <c r="L24" s="69" t="n">
        <v>129</v>
      </c>
      <c r="M24" s="69" t="n">
        <v>274</v>
      </c>
      <c r="N24" s="69" t="n">
        <v>183</v>
      </c>
      <c r="O24" s="69" t="n">
        <v>252</v>
      </c>
      <c r="P24" s="69" t="n">
        <v>194</v>
      </c>
    </row>
    <row r="25" ht="15.75" customHeight="1" s="45">
      <c r="A25" s="61" t="n">
        <v>46144</v>
      </c>
      <c r="B25" s="62" t="inlineStr">
        <is>
          <t>Antes-Projeto</t>
        </is>
      </c>
      <c r="C25" s="68" t="inlineStr">
        <is>
          <t>GAEs Classificadas</t>
        </is>
      </c>
      <c r="D25" s="69" t="n">
        <v>194</v>
      </c>
      <c r="E25" s="69" t="n">
        <v>154</v>
      </c>
      <c r="F25" s="69" t="n">
        <v>156</v>
      </c>
      <c r="G25" s="69" t="n">
        <v>123</v>
      </c>
      <c r="H25" s="69" t="n">
        <v>105</v>
      </c>
      <c r="I25" s="69" t="n">
        <v>186</v>
      </c>
      <c r="J25" s="69" t="n">
        <v>88</v>
      </c>
      <c r="K25" s="69" t="n">
        <v>263</v>
      </c>
      <c r="L25" s="69" t="n">
        <v>108</v>
      </c>
      <c r="M25" s="69" t="n">
        <v>245</v>
      </c>
      <c r="N25" s="69" t="n">
        <v>174</v>
      </c>
      <c r="O25" s="69" t="n">
        <v>237</v>
      </c>
      <c r="P25" s="69" t="n">
        <v>188</v>
      </c>
    </row>
    <row r="26" ht="15.75" customHeight="1" s="45">
      <c r="A26" s="61" t="n">
        <v>46144</v>
      </c>
      <c r="B26" s="62" t="inlineStr">
        <is>
          <t>Antes-Projeto</t>
        </is>
      </c>
      <c r="C26" s="70" t="inlineStr">
        <is>
          <t>Percentual de GAEs abertas classificadas</t>
        </is>
      </c>
      <c r="D26" s="71">
        <f>IFERROR(D25/D24,"-")</f>
        <v/>
      </c>
      <c r="E26" s="71">
        <f>IFERROR(E25/E24,"-")</f>
        <v/>
      </c>
      <c r="F26" s="71">
        <f>IFERROR(F25/F24,"-")</f>
        <v/>
      </c>
      <c r="G26" s="71">
        <f>IFERROR(G25/G24,"-")</f>
        <v/>
      </c>
      <c r="H26" s="71">
        <f>IFERROR(H25/H24,"-")</f>
        <v/>
      </c>
      <c r="I26" s="71">
        <f>IFERROR(I25/I24,"-")</f>
        <v/>
      </c>
      <c r="J26" s="71">
        <f>IFERROR(J25/J24,"-")</f>
        <v/>
      </c>
      <c r="K26" s="71">
        <f>IFERROR(K25/K24,"-")</f>
        <v/>
      </c>
      <c r="L26" s="71">
        <f>IFERROR(L25/L24,"-")</f>
        <v/>
      </c>
      <c r="M26" s="71">
        <f>IFERROR(M25/M24,"-")</f>
        <v/>
      </c>
      <c r="N26" s="71">
        <f>IFERROR(N25/N24,"-")</f>
        <v/>
      </c>
      <c r="O26" s="71">
        <f>IFERROR(O25/O24,"-")</f>
        <v/>
      </c>
      <c r="P26" s="71">
        <f>IFERROR(P25/P24,"-")</f>
        <v/>
      </c>
    </row>
    <row r="27" ht="15.75" customHeight="1" s="45">
      <c r="A27" s="61" t="n">
        <v>46144</v>
      </c>
      <c r="B27" s="62" t="inlineStr">
        <is>
          <t>Antes-Projeto</t>
        </is>
      </c>
      <c r="C27" s="72" t="inlineStr">
        <is>
          <t>Tempo Médio — 🟡 Amarelo (hh:mm)</t>
        </is>
      </c>
      <c r="D27" s="73" t="n">
        <v>0.03868055555555556</v>
      </c>
      <c r="E27" s="73" t="n">
        <v>0.06523148148148149</v>
      </c>
      <c r="F27" s="73" t="n">
        <v>0.06223379629629629</v>
      </c>
      <c r="G27" s="73" t="n">
        <v>0.05168981481481481</v>
      </c>
      <c r="H27" s="73" t="n">
        <v>0.03128472222222222</v>
      </c>
      <c r="I27" s="73" t="n">
        <v>0.0330787037037037</v>
      </c>
      <c r="J27" s="73" t="n">
        <v>0.1373726851851852</v>
      </c>
      <c r="K27" s="73" t="n">
        <v>0.1979513888888889</v>
      </c>
      <c r="L27" s="73" t="n">
        <v>0.2709143518518519</v>
      </c>
      <c r="M27" s="73" t="n">
        <v>0.1189467592592593</v>
      </c>
      <c r="N27" s="73" t="n">
        <v>0.0712037037037037</v>
      </c>
      <c r="O27" s="73" t="n">
        <v>0.05340277777777778</v>
      </c>
      <c r="P27" s="73" t="n">
        <v>0.06207175925925926</v>
      </c>
    </row>
    <row r="28" ht="15.75" customHeight="1" s="45">
      <c r="A28" s="61" t="n">
        <v>46144</v>
      </c>
      <c r="B28" s="62" t="inlineStr">
        <is>
          <t>Antes-Projeto</t>
        </is>
      </c>
      <c r="C28" s="74" t="inlineStr">
        <is>
          <t>Tempo Médio — 🟠 Laranja (hh:mm)</t>
        </is>
      </c>
      <c r="D28" s="75" t="n">
        <v>0.01030092592592593</v>
      </c>
      <c r="E28" s="75" t="n">
        <v>0.007152777777777778</v>
      </c>
      <c r="F28" s="75" t="n">
        <v>0.007372685185185185</v>
      </c>
      <c r="G28" s="75" t="n">
        <v>0.00380787037037037</v>
      </c>
      <c r="H28" s="75" t="n">
        <v>0.002754629629629629</v>
      </c>
      <c r="I28" s="75" t="n">
        <v>0.005717592592592593</v>
      </c>
      <c r="J28" s="75" t="n">
        <v>0.03973379629629629</v>
      </c>
      <c r="K28" s="75" t="n">
        <v>0.02362268518518518</v>
      </c>
      <c r="L28" s="75" t="n">
        <v>0.01706018518518519</v>
      </c>
      <c r="M28" s="75" t="n">
        <v>0.01133101851851852</v>
      </c>
      <c r="N28" s="75" t="n">
        <v>0.01063657407407407</v>
      </c>
      <c r="O28" s="75" t="n">
        <v>0.01059027777777778</v>
      </c>
      <c r="P28" s="75" t="n">
        <v>0.008819444444444444</v>
      </c>
    </row>
    <row r="29" ht="15.75" customHeight="1" s="45">
      <c r="A29" s="76" t="n">
        <v>46144</v>
      </c>
      <c r="B29" s="77" t="inlineStr">
        <is>
          <t>Antes-Projeto</t>
        </is>
      </c>
      <c r="C29" s="78" t="inlineStr">
        <is>
          <t>Tempo Médio — 🟢 Verde   (hh:mm)</t>
        </is>
      </c>
      <c r="D29" s="79" t="n">
        <v>0.0999074074074074</v>
      </c>
      <c r="E29" s="79" t="n">
        <v>0.1611689814814815</v>
      </c>
      <c r="F29" s="79" t="n">
        <v>0.2190856481481482</v>
      </c>
      <c r="G29" s="79" t="n">
        <v>0.1825694444444445</v>
      </c>
      <c r="H29" s="79" t="n">
        <v>0.08773148148148148</v>
      </c>
      <c r="I29" s="79" t="n">
        <v>0.1188310185185185</v>
      </c>
      <c r="J29" s="79" t="n">
        <v>0.2902546296296296</v>
      </c>
      <c r="K29" s="79" t="n">
        <v>0.29625</v>
      </c>
      <c r="L29" s="79" t="n">
        <v>0.3274421296296297</v>
      </c>
      <c r="M29" s="79" t="n">
        <v>0.115</v>
      </c>
      <c r="N29" s="79" t="n">
        <v>0.2026273148148148</v>
      </c>
      <c r="O29" s="79" t="n">
        <v>0.1360069444444444</v>
      </c>
      <c r="P29" s="79" t="n">
        <v>0.09085648148148148</v>
      </c>
    </row>
    <row r="30" ht="15.75" customHeight="1" s="45">
      <c r="A30" s="57" t="n">
        <v>46145</v>
      </c>
      <c r="B30" s="58" t="inlineStr">
        <is>
          <t>Antes-Projeto</t>
        </is>
      </c>
      <c r="C30" s="59" t="inlineStr">
        <is>
          <t>Acolhim. + Atend. Urgência + Atend. UPA</t>
        </is>
      </c>
      <c r="D30" s="60">
        <f>SUM(D31:D33)</f>
        <v/>
      </c>
      <c r="E30" s="60">
        <f>SUM(E31:E33)</f>
        <v/>
      </c>
      <c r="F30" s="60">
        <f>SUM(F31:F33)</f>
        <v/>
      </c>
      <c r="G30" s="60">
        <f>SUM(G31:G33)</f>
        <v/>
      </c>
      <c r="H30" s="60">
        <f>SUM(H31:H33)</f>
        <v/>
      </c>
      <c r="I30" s="60">
        <f>SUM(I31:I33)</f>
        <v/>
      </c>
      <c r="J30" s="60">
        <f>SUM(J31:J33)</f>
        <v/>
      </c>
      <c r="K30" s="60">
        <f>SUM(K31:K33)</f>
        <v/>
      </c>
      <c r="L30" s="60">
        <f>SUM(L31:L33)</f>
        <v/>
      </c>
      <c r="M30" s="60">
        <f>SUM(M31:M33)</f>
        <v/>
      </c>
      <c r="N30" s="60">
        <f>SUM(N31:N33)</f>
        <v/>
      </c>
      <c r="O30" s="60">
        <f>SUM(O31:O33)</f>
        <v/>
      </c>
      <c r="P30" s="60">
        <f>SUM(P31:P33)</f>
        <v/>
      </c>
    </row>
    <row r="31" ht="15.75" customHeight="1" s="45">
      <c r="A31" s="61" t="n">
        <v>46145</v>
      </c>
      <c r="B31" s="62" t="inlineStr">
        <is>
          <t>Antes-Projeto</t>
        </is>
      </c>
      <c r="C31" s="63" t="inlineStr">
        <is>
          <t>Acolhimento c/ Classif. de Risco</t>
        </is>
      </c>
      <c r="D31" s="64" t="n">
        <v>184</v>
      </c>
      <c r="E31" s="64" t="n">
        <v>130</v>
      </c>
      <c r="F31" s="64" t="n">
        <v>134</v>
      </c>
      <c r="G31" s="64" t="n">
        <v>116</v>
      </c>
      <c r="H31" s="64" t="n">
        <v>99</v>
      </c>
      <c r="I31" s="64" t="n">
        <v>166</v>
      </c>
      <c r="J31" s="64" t="n">
        <v>107</v>
      </c>
      <c r="K31" s="64" t="n">
        <v>238</v>
      </c>
      <c r="L31" s="64" t="n">
        <v>109</v>
      </c>
      <c r="M31" s="64" t="n">
        <v>252</v>
      </c>
      <c r="N31" s="64" t="n">
        <v>184</v>
      </c>
      <c r="O31" s="64" t="n">
        <v>228</v>
      </c>
      <c r="P31" s="64" t="n">
        <v>225</v>
      </c>
    </row>
    <row r="32" ht="15.75" customHeight="1" s="45">
      <c r="A32" s="61" t="n">
        <v>46145</v>
      </c>
      <c r="B32" s="62" t="inlineStr">
        <is>
          <t>Antes-Projeto</t>
        </is>
      </c>
      <c r="C32" s="65" t="inlineStr">
        <is>
          <t>Atend. Urgência Obs. ≤ 24h</t>
        </is>
      </c>
      <c r="D32" s="66" t="n">
        <v>17</v>
      </c>
      <c r="E32" s="66" t="n">
        <v>24</v>
      </c>
      <c r="F32" s="66" t="n">
        <v>26</v>
      </c>
      <c r="G32" s="66" t="n">
        <v>37</v>
      </c>
      <c r="H32" s="66" t="n">
        <v>12</v>
      </c>
      <c r="I32" s="66" t="n">
        <v>51</v>
      </c>
      <c r="J32" s="66" t="n">
        <v>9</v>
      </c>
      <c r="K32" s="66" t="n">
        <v>135</v>
      </c>
      <c r="L32" s="66" t="n">
        <v>63</v>
      </c>
      <c r="M32" s="66" t="n">
        <v>69</v>
      </c>
      <c r="N32" s="66" t="n">
        <v>43</v>
      </c>
      <c r="O32" s="66" t="n">
        <v>11</v>
      </c>
      <c r="P32" s="66" t="n">
        <v>43</v>
      </c>
    </row>
    <row r="33" ht="15.75" customHeight="1" s="45">
      <c r="A33" s="61" t="n">
        <v>46145</v>
      </c>
      <c r="B33" s="62" t="inlineStr">
        <is>
          <t>Antes-Projeto</t>
        </is>
      </c>
      <c r="C33" s="63" t="inlineStr">
        <is>
          <t>Atend. Médico em UPA</t>
        </is>
      </c>
      <c r="D33" s="64" t="n">
        <v>93</v>
      </c>
      <c r="E33" s="64" t="n">
        <v>97</v>
      </c>
      <c r="F33" s="64" t="n">
        <v>116</v>
      </c>
      <c r="G33" s="64" t="n">
        <v>60</v>
      </c>
      <c r="H33" s="64" t="n">
        <v>37</v>
      </c>
      <c r="I33" s="64" t="n">
        <v>93</v>
      </c>
      <c r="J33" s="64" t="n">
        <v>72</v>
      </c>
      <c r="K33" s="64" t="n">
        <v>162</v>
      </c>
      <c r="L33" s="64" t="n">
        <v>55</v>
      </c>
      <c r="M33" s="64" t="n">
        <v>162</v>
      </c>
      <c r="N33" s="64" t="n">
        <v>186</v>
      </c>
      <c r="O33" s="64" t="n">
        <v>194</v>
      </c>
      <c r="P33" s="64" t="n">
        <v>143</v>
      </c>
    </row>
    <row r="34" ht="15.75" customHeight="1" s="45">
      <c r="A34" s="61" t="n">
        <v>46145</v>
      </c>
      <c r="B34" s="62" t="inlineStr">
        <is>
          <t>Antes-Projeto</t>
        </is>
      </c>
      <c r="C34" s="65" t="inlineStr">
        <is>
          <t>Exames Laboratoriais</t>
        </is>
      </c>
      <c r="D34" s="66" t="n">
        <v>554</v>
      </c>
      <c r="E34" s="66" t="n">
        <v>328</v>
      </c>
      <c r="F34" s="66" t="n">
        <v>407</v>
      </c>
      <c r="G34" s="66" t="n">
        <v>276</v>
      </c>
      <c r="H34" s="66" t="n">
        <v>179</v>
      </c>
      <c r="I34" s="66" t="n">
        <v>519</v>
      </c>
      <c r="J34" s="66" t="n">
        <v>188</v>
      </c>
      <c r="K34" s="66" t="n">
        <v>837</v>
      </c>
      <c r="L34" s="66" t="n">
        <v>516</v>
      </c>
      <c r="M34" s="66" t="n">
        <v>699</v>
      </c>
      <c r="N34" s="66" t="n">
        <v>396</v>
      </c>
      <c r="O34" s="66" t="n">
        <v>282</v>
      </c>
      <c r="P34" s="66" t="n">
        <v>300</v>
      </c>
    </row>
    <row r="35" ht="15.75" customHeight="1" s="45">
      <c r="A35" s="61" t="n">
        <v>46145</v>
      </c>
      <c r="B35" s="62" t="inlineStr">
        <is>
          <t>Antes-Projeto</t>
        </is>
      </c>
      <c r="C35" s="63" t="inlineStr">
        <is>
          <t>Radiografias</t>
        </is>
      </c>
      <c r="D35" s="64" t="n">
        <v>24</v>
      </c>
      <c r="E35" s="64" t="n">
        <v>26</v>
      </c>
      <c r="F35" s="64" t="n">
        <v>34</v>
      </c>
      <c r="G35" s="67" t="n">
        <v>0</v>
      </c>
      <c r="H35" s="64" t="n">
        <v>1</v>
      </c>
      <c r="I35" s="64" t="n">
        <v>20</v>
      </c>
      <c r="J35" s="64" t="n">
        <v>19</v>
      </c>
      <c r="K35" s="64" t="n">
        <v>24</v>
      </c>
      <c r="L35" s="67" t="n">
        <v>0</v>
      </c>
      <c r="M35" s="64" t="n">
        <v>49</v>
      </c>
      <c r="N35" s="64" t="n">
        <v>24</v>
      </c>
      <c r="O35" s="64" t="n">
        <v>7</v>
      </c>
      <c r="P35" s="64" t="n">
        <v>62</v>
      </c>
    </row>
    <row r="36" ht="15.75" customHeight="1" s="45">
      <c r="A36" s="61" t="n">
        <v>46145</v>
      </c>
      <c r="B36" s="62" t="inlineStr">
        <is>
          <t>Antes-Projeto</t>
        </is>
      </c>
      <c r="C36" s="65" t="inlineStr">
        <is>
          <t>Eletrocardiogramas</t>
        </is>
      </c>
      <c r="D36" s="66" t="n">
        <v>6</v>
      </c>
      <c r="E36" s="66" t="n">
        <v>5</v>
      </c>
      <c r="F36" s="66" t="n">
        <v>20</v>
      </c>
      <c r="G36" s="66" t="n">
        <v>13</v>
      </c>
      <c r="H36" s="66" t="n">
        <v>5</v>
      </c>
      <c r="I36" s="66" t="n">
        <v>7</v>
      </c>
      <c r="J36" s="66" t="n">
        <v>8</v>
      </c>
      <c r="K36" s="66" t="n">
        <v>18</v>
      </c>
      <c r="L36" s="66" t="n">
        <v>11</v>
      </c>
      <c r="M36" s="66" t="n">
        <v>19</v>
      </c>
      <c r="N36" s="66" t="n">
        <v>16</v>
      </c>
      <c r="O36" s="66" t="n">
        <v>9</v>
      </c>
      <c r="P36" s="66" t="n">
        <v>12</v>
      </c>
    </row>
    <row r="37" ht="15.75" customHeight="1" s="45">
      <c r="A37" s="61" t="n">
        <v>46145</v>
      </c>
      <c r="B37" s="62" t="inlineStr">
        <is>
          <t>Antes-Projeto</t>
        </is>
      </c>
      <c r="C37" s="68" t="inlineStr">
        <is>
          <t>GAEs Abertas</t>
        </is>
      </c>
      <c r="D37" s="69" t="n">
        <v>201</v>
      </c>
      <c r="E37" s="69" t="n">
        <v>143</v>
      </c>
      <c r="F37" s="69" t="n">
        <v>139</v>
      </c>
      <c r="G37" s="69" t="n">
        <v>122</v>
      </c>
      <c r="H37" s="69" t="n">
        <v>109</v>
      </c>
      <c r="I37" s="69" t="n">
        <v>177</v>
      </c>
      <c r="J37" s="69" t="n">
        <v>112</v>
      </c>
      <c r="K37" s="69" t="n">
        <v>274</v>
      </c>
      <c r="L37" s="69" t="n">
        <v>123</v>
      </c>
      <c r="M37" s="69" t="n">
        <v>260</v>
      </c>
      <c r="N37" s="69" t="n">
        <v>193</v>
      </c>
      <c r="O37" s="69" t="n">
        <v>234</v>
      </c>
      <c r="P37" s="69" t="n">
        <v>233</v>
      </c>
    </row>
    <row r="38" ht="15.75" customHeight="1" s="45">
      <c r="A38" s="61" t="n">
        <v>46145</v>
      </c>
      <c r="B38" s="62" t="inlineStr">
        <is>
          <t>Antes-Projeto</t>
        </is>
      </c>
      <c r="C38" s="68" t="inlineStr">
        <is>
          <t>GAEs Classificadas</t>
        </is>
      </c>
      <c r="D38" s="69" t="n">
        <v>185</v>
      </c>
      <c r="E38" s="69" t="n">
        <v>130</v>
      </c>
      <c r="F38" s="69" t="n">
        <v>134</v>
      </c>
      <c r="G38" s="69" t="n">
        <v>116</v>
      </c>
      <c r="H38" s="69" t="n">
        <v>100</v>
      </c>
      <c r="I38" s="69" t="n">
        <v>164</v>
      </c>
      <c r="J38" s="69" t="n">
        <v>108</v>
      </c>
      <c r="K38" s="69" t="n">
        <v>239</v>
      </c>
      <c r="L38" s="69" t="n">
        <v>110</v>
      </c>
      <c r="M38" s="69" t="n">
        <v>248</v>
      </c>
      <c r="N38" s="69" t="n">
        <v>183</v>
      </c>
      <c r="O38" s="69" t="n">
        <v>226</v>
      </c>
      <c r="P38" s="69" t="n">
        <v>227</v>
      </c>
    </row>
    <row r="39" ht="15.75" customHeight="1" s="45">
      <c r="A39" s="61" t="n">
        <v>46145</v>
      </c>
      <c r="B39" s="62" t="inlineStr">
        <is>
          <t>Antes-Projeto</t>
        </is>
      </c>
      <c r="C39" s="70" t="inlineStr">
        <is>
          <t>Percentual de GAEs abertas classificadas</t>
        </is>
      </c>
      <c r="D39" s="71">
        <f>IFERROR(D38/D37,"-")</f>
        <v/>
      </c>
      <c r="E39" s="71">
        <f>IFERROR(E38/E37,"-")</f>
        <v/>
      </c>
      <c r="F39" s="71">
        <f>IFERROR(F38/F37,"-")</f>
        <v/>
      </c>
      <c r="G39" s="71">
        <f>IFERROR(G38/G37,"-")</f>
        <v/>
      </c>
      <c r="H39" s="71">
        <f>IFERROR(H38/H37,"-")</f>
        <v/>
      </c>
      <c r="I39" s="71">
        <f>IFERROR(I38/I37,"-")</f>
        <v/>
      </c>
      <c r="J39" s="71">
        <f>IFERROR(J38/J37,"-")</f>
        <v/>
      </c>
      <c r="K39" s="71">
        <f>IFERROR(K38/K37,"-")</f>
        <v/>
      </c>
      <c r="L39" s="71">
        <f>IFERROR(L38/L37,"-")</f>
        <v/>
      </c>
      <c r="M39" s="71">
        <f>IFERROR(M38/M37,"-")</f>
        <v/>
      </c>
      <c r="N39" s="71">
        <f>IFERROR(N38/N37,"-")</f>
        <v/>
      </c>
      <c r="O39" s="71">
        <f>IFERROR(O38/O37,"-")</f>
        <v/>
      </c>
      <c r="P39" s="71">
        <f>IFERROR(P38/P37,"-")</f>
        <v/>
      </c>
    </row>
    <row r="40" ht="15.75" customHeight="1" s="45">
      <c r="A40" s="61" t="n">
        <v>46145</v>
      </c>
      <c r="B40" s="62" t="inlineStr">
        <is>
          <t>Antes-Projeto</t>
        </is>
      </c>
      <c r="C40" s="72" t="inlineStr">
        <is>
          <t>Tempo Médio — 🟡 Amarelo (hh:mm)</t>
        </is>
      </c>
      <c r="D40" s="73" t="n">
        <v>0.05943287037037037</v>
      </c>
      <c r="E40" s="73" t="n">
        <v>0.0713425925925926</v>
      </c>
      <c r="F40" s="73" t="n">
        <v>0.04261574074074074</v>
      </c>
      <c r="G40" s="73" t="n">
        <v>0.04273148148148148</v>
      </c>
      <c r="H40" s="73" t="n">
        <v>0.06699074074074074</v>
      </c>
      <c r="I40" s="73" t="n">
        <v>0.02773148148148148</v>
      </c>
      <c r="J40" s="73" t="n">
        <v>0.05363425925925926</v>
      </c>
      <c r="K40" s="73" t="n">
        <v>0.120474537037037</v>
      </c>
      <c r="L40" s="73" t="n">
        <v>0.2279166666666667</v>
      </c>
      <c r="M40" s="73" t="n">
        <v>0.06142361111111111</v>
      </c>
      <c r="N40" s="73" t="n">
        <v>0.06432870370370371</v>
      </c>
      <c r="O40" s="73" t="n">
        <v>0.05493055555555556</v>
      </c>
      <c r="P40" s="73" t="n">
        <v>0.06320601851851852</v>
      </c>
    </row>
    <row r="41" ht="15.75" customHeight="1" s="45">
      <c r="A41" s="61" t="n">
        <v>46145</v>
      </c>
      <c r="B41" s="62" t="inlineStr">
        <is>
          <t>Antes-Projeto</t>
        </is>
      </c>
      <c r="C41" s="74" t="inlineStr">
        <is>
          <t>Tempo Médio — 🟠 Laranja (hh:mm)</t>
        </is>
      </c>
      <c r="D41" s="75" t="n">
        <v>0.015</v>
      </c>
      <c r="E41" s="75" t="n">
        <v>0.0106712962962963</v>
      </c>
      <c r="F41" s="75" t="n">
        <v>0.007060185185185185</v>
      </c>
      <c r="G41" s="75" t="n">
        <v>0.007777777777777778</v>
      </c>
      <c r="H41" s="75" t="n">
        <v>0.01613425925925926</v>
      </c>
      <c r="I41" s="75" t="n">
        <v>0.007291666666666667</v>
      </c>
      <c r="J41" s="75" t="n">
        <v>0.02663194444444444</v>
      </c>
      <c r="K41" s="75" t="n">
        <v>0.01483796296296296</v>
      </c>
      <c r="L41" s="75" t="n">
        <v>0.03921296296296296</v>
      </c>
      <c r="M41" s="75" t="n">
        <v>0.008750000000000001</v>
      </c>
      <c r="N41" s="75" t="n">
        <v>0.009074074074074075</v>
      </c>
      <c r="O41" s="75" t="n">
        <v>0.01284722222222222</v>
      </c>
      <c r="P41" s="75" t="n">
        <v>0.0156712962962963</v>
      </c>
    </row>
    <row r="42" ht="15.75" customHeight="1" s="45">
      <c r="A42" s="76" t="n">
        <v>46145</v>
      </c>
      <c r="B42" s="77" t="inlineStr">
        <is>
          <t>Antes-Projeto</t>
        </is>
      </c>
      <c r="C42" s="78" t="inlineStr">
        <is>
          <t>Tempo Médio — 🟢 Verde   (hh:mm)</t>
        </is>
      </c>
      <c r="D42" s="79" t="n">
        <v>0.07993055555555556</v>
      </c>
      <c r="E42" s="79" t="n">
        <v>0.2000810185185185</v>
      </c>
      <c r="F42" s="79" t="n">
        <v>0.104375</v>
      </c>
      <c r="G42" s="79" t="n">
        <v>0.1474768518518519</v>
      </c>
      <c r="H42" s="79" t="n">
        <v>0.1231018518518519</v>
      </c>
      <c r="I42" s="79" t="n">
        <v>0.1301041666666667</v>
      </c>
      <c r="J42" s="79" t="n">
        <v>0.1293981481481482</v>
      </c>
      <c r="K42" s="79" t="n">
        <v>0.1209259259259259</v>
      </c>
      <c r="L42" s="79" t="n">
        <v>0.1348842592592593</v>
      </c>
      <c r="M42" s="79" t="n">
        <v>0.112662037037037</v>
      </c>
      <c r="N42" s="79" t="n">
        <v>0.2017939814814815</v>
      </c>
      <c r="O42" s="79" t="n">
        <v>0.1126157407407407</v>
      </c>
      <c r="P42" s="79" t="n">
        <v>0.1474537037037037</v>
      </c>
    </row>
    <row r="43" ht="15.75" customHeight="1" s="45">
      <c r="A43" s="57" t="n">
        <v>46146</v>
      </c>
      <c r="B43" s="58" t="inlineStr">
        <is>
          <t>Antes-Projeto</t>
        </is>
      </c>
      <c r="C43" s="59" t="inlineStr">
        <is>
          <t>Acolhim. + Atend. Urgência + Atend. UPA</t>
        </is>
      </c>
      <c r="D43" s="60">
        <f>SUM(D44:D46)</f>
        <v/>
      </c>
      <c r="E43" s="60">
        <f>SUM(E44:E46)</f>
        <v/>
      </c>
      <c r="F43" s="60">
        <f>SUM(F44:F46)</f>
        <v/>
      </c>
      <c r="G43" s="60">
        <f>SUM(G44:G46)</f>
        <v/>
      </c>
      <c r="H43" s="60">
        <f>SUM(H44:H46)</f>
        <v/>
      </c>
      <c r="I43" s="60">
        <f>SUM(I44:I46)</f>
        <v/>
      </c>
      <c r="J43" s="60">
        <f>SUM(J44:J46)</f>
        <v/>
      </c>
      <c r="K43" s="60">
        <f>SUM(K44:K46)</f>
        <v/>
      </c>
      <c r="L43" s="60">
        <f>SUM(L44:L46)</f>
        <v/>
      </c>
      <c r="M43" s="60">
        <f>SUM(M44:M46)</f>
        <v/>
      </c>
      <c r="N43" s="60">
        <f>SUM(N44:N46)</f>
        <v/>
      </c>
      <c r="O43" s="60">
        <f>SUM(O44:O46)</f>
        <v/>
      </c>
      <c r="P43" s="60">
        <f>SUM(P44:P46)</f>
        <v/>
      </c>
    </row>
    <row r="44" ht="15.75" customHeight="1" s="45">
      <c r="A44" s="61" t="n">
        <v>46146</v>
      </c>
      <c r="B44" s="62" t="inlineStr">
        <is>
          <t>Antes-Projeto</t>
        </is>
      </c>
      <c r="C44" s="65" t="inlineStr">
        <is>
          <t>Acolhimento c/ Classif. de Risco</t>
        </is>
      </c>
      <c r="D44" s="66" t="n">
        <v>264</v>
      </c>
      <c r="E44" s="66" t="n">
        <v>175</v>
      </c>
      <c r="F44" s="66" t="n">
        <v>184</v>
      </c>
      <c r="G44" s="66" t="n">
        <v>172</v>
      </c>
      <c r="H44" s="66" t="n">
        <v>144</v>
      </c>
      <c r="I44" s="66" t="n">
        <v>224</v>
      </c>
      <c r="J44" s="66" t="n">
        <v>155</v>
      </c>
      <c r="K44" s="66" t="n">
        <v>319</v>
      </c>
      <c r="L44" s="66" t="n">
        <v>176</v>
      </c>
      <c r="M44" s="66" t="n">
        <v>320</v>
      </c>
      <c r="N44" s="66" t="n">
        <v>227</v>
      </c>
      <c r="O44" s="66" t="n">
        <v>306</v>
      </c>
      <c r="P44" s="66" t="n">
        <v>279</v>
      </c>
    </row>
    <row r="45" ht="15.75" customHeight="1" s="45">
      <c r="A45" s="61" t="n">
        <v>46146</v>
      </c>
      <c r="B45" s="62" t="inlineStr">
        <is>
          <t>Antes-Projeto</t>
        </is>
      </c>
      <c r="C45" s="63" t="inlineStr">
        <is>
          <t>Atend. Urgência Obs. ≤ 24h</t>
        </is>
      </c>
      <c r="D45" s="64" t="n">
        <v>27</v>
      </c>
      <c r="E45" s="64" t="n">
        <v>36</v>
      </c>
      <c r="F45" s="64" t="n">
        <v>20</v>
      </c>
      <c r="G45" s="64" t="n">
        <v>67</v>
      </c>
      <c r="H45" s="64" t="n">
        <v>20</v>
      </c>
      <c r="I45" s="64" t="n">
        <v>59</v>
      </c>
      <c r="J45" s="64" t="n">
        <v>13</v>
      </c>
      <c r="K45" s="64" t="n">
        <v>220</v>
      </c>
      <c r="L45" s="64" t="n">
        <v>57</v>
      </c>
      <c r="M45" s="64" t="n">
        <v>63</v>
      </c>
      <c r="N45" s="64" t="n">
        <v>34</v>
      </c>
      <c r="O45" s="64" t="n">
        <v>9</v>
      </c>
      <c r="P45" s="64" t="n">
        <v>59</v>
      </c>
    </row>
    <row r="46" ht="15.75" customHeight="1" s="45">
      <c r="A46" s="61" t="n">
        <v>46146</v>
      </c>
      <c r="B46" s="62" t="inlineStr">
        <is>
          <t>Antes-Projeto</t>
        </is>
      </c>
      <c r="C46" s="65" t="inlineStr">
        <is>
          <t>Atend. Médico em UPA</t>
        </is>
      </c>
      <c r="D46" s="66" t="n">
        <v>209</v>
      </c>
      <c r="E46" s="66" t="n">
        <v>101</v>
      </c>
      <c r="F46" s="66" t="n">
        <v>133</v>
      </c>
      <c r="G46" s="66" t="n">
        <v>93</v>
      </c>
      <c r="H46" s="66" t="n">
        <v>81</v>
      </c>
      <c r="I46" s="66" t="n">
        <v>198</v>
      </c>
      <c r="J46" s="66" t="n">
        <v>112</v>
      </c>
      <c r="K46" s="66" t="n">
        <v>190</v>
      </c>
      <c r="L46" s="66" t="n">
        <v>85</v>
      </c>
      <c r="M46" s="66" t="n">
        <v>205</v>
      </c>
      <c r="N46" s="66" t="n">
        <v>211</v>
      </c>
      <c r="O46" s="66" t="n">
        <v>247</v>
      </c>
      <c r="P46" s="66" t="n">
        <v>137</v>
      </c>
    </row>
    <row r="47" ht="15.75" customHeight="1" s="45">
      <c r="A47" s="61" t="n">
        <v>46146</v>
      </c>
      <c r="B47" s="62" t="inlineStr">
        <is>
          <t>Antes-Projeto</t>
        </is>
      </c>
      <c r="C47" s="63" t="inlineStr">
        <is>
          <t>Exames Laboratoriais</t>
        </is>
      </c>
      <c r="D47" s="64" t="n">
        <v>587</v>
      </c>
      <c r="E47" s="64" t="n">
        <v>321</v>
      </c>
      <c r="F47" s="64" t="n">
        <v>468</v>
      </c>
      <c r="G47" s="64" t="n">
        <v>351</v>
      </c>
      <c r="H47" s="64" t="n">
        <v>320</v>
      </c>
      <c r="I47" s="64" t="n">
        <v>555</v>
      </c>
      <c r="J47" s="64" t="n">
        <v>352</v>
      </c>
      <c r="K47" s="64" t="n">
        <v>887</v>
      </c>
      <c r="L47" s="64" t="n">
        <v>550</v>
      </c>
      <c r="M47" s="64" t="n">
        <v>631</v>
      </c>
      <c r="N47" s="64" t="n">
        <v>627</v>
      </c>
      <c r="O47" s="64" t="n">
        <v>412</v>
      </c>
      <c r="P47" s="64" t="n">
        <v>771</v>
      </c>
    </row>
    <row r="48" ht="15.75" customHeight="1" s="45">
      <c r="A48" s="61" t="n">
        <v>46146</v>
      </c>
      <c r="B48" s="62" t="inlineStr">
        <is>
          <t>Antes-Projeto</t>
        </is>
      </c>
      <c r="C48" s="65" t="inlineStr">
        <is>
          <t>Radiografias</t>
        </is>
      </c>
      <c r="D48" s="66" t="n">
        <v>47</v>
      </c>
      <c r="E48" s="66" t="n">
        <v>27</v>
      </c>
      <c r="F48" s="66" t="n">
        <v>28</v>
      </c>
      <c r="G48" s="67" t="n">
        <v>0</v>
      </c>
      <c r="H48" s="66" t="n">
        <v>16</v>
      </c>
      <c r="I48" s="66" t="n">
        <v>28</v>
      </c>
      <c r="J48" s="66" t="n">
        <v>24</v>
      </c>
      <c r="K48" s="66" t="n">
        <v>33</v>
      </c>
      <c r="L48" s="66" t="n">
        <v>15</v>
      </c>
      <c r="M48" s="66" t="n">
        <v>61</v>
      </c>
      <c r="N48" s="66" t="n">
        <v>30</v>
      </c>
      <c r="O48" s="66" t="n">
        <v>46</v>
      </c>
      <c r="P48" s="66" t="n">
        <v>84</v>
      </c>
    </row>
    <row r="49" ht="15.75" customHeight="1" s="45">
      <c r="A49" s="61" t="n">
        <v>46146</v>
      </c>
      <c r="B49" s="62" t="inlineStr">
        <is>
          <t>Antes-Projeto</t>
        </is>
      </c>
      <c r="C49" s="63" t="inlineStr">
        <is>
          <t>Eletrocardiogramas</t>
        </is>
      </c>
      <c r="D49" s="64" t="n">
        <v>20</v>
      </c>
      <c r="E49" s="64" t="n">
        <v>11</v>
      </c>
      <c r="F49" s="64" t="n">
        <v>28</v>
      </c>
      <c r="G49" s="64" t="n">
        <v>7</v>
      </c>
      <c r="H49" s="64" t="n">
        <v>5</v>
      </c>
      <c r="I49" s="64" t="n">
        <v>19</v>
      </c>
      <c r="J49" s="64" t="n">
        <v>10</v>
      </c>
      <c r="K49" s="64" t="n">
        <v>21</v>
      </c>
      <c r="L49" s="64" t="n">
        <v>14</v>
      </c>
      <c r="M49" s="64" t="n">
        <v>17</v>
      </c>
      <c r="N49" s="64" t="n">
        <v>22</v>
      </c>
      <c r="O49" s="64" t="n">
        <v>10</v>
      </c>
      <c r="P49" s="64" t="n">
        <v>20</v>
      </c>
    </row>
    <row r="50" ht="15.75" customHeight="1" s="45">
      <c r="A50" s="61" t="n">
        <v>46146</v>
      </c>
      <c r="B50" s="62" t="inlineStr">
        <is>
          <t>Antes-Projeto</t>
        </is>
      </c>
      <c r="C50" s="68" t="inlineStr">
        <is>
          <t>GAEs Abertas</t>
        </is>
      </c>
      <c r="D50" s="69" t="n">
        <v>280</v>
      </c>
      <c r="E50" s="69" t="n">
        <v>181</v>
      </c>
      <c r="F50" s="69" t="n">
        <v>191</v>
      </c>
      <c r="G50" s="69" t="n">
        <v>178</v>
      </c>
      <c r="H50" s="69" t="n">
        <v>149</v>
      </c>
      <c r="I50" s="69" t="n">
        <v>235</v>
      </c>
      <c r="J50" s="69" t="n">
        <v>157</v>
      </c>
      <c r="K50" s="69" t="n">
        <v>378</v>
      </c>
      <c r="L50" s="69" t="n">
        <v>186</v>
      </c>
      <c r="M50" s="69" t="n">
        <v>334</v>
      </c>
      <c r="N50" s="69" t="n">
        <v>238</v>
      </c>
      <c r="O50" s="69" t="n">
        <v>320</v>
      </c>
      <c r="P50" s="69" t="n">
        <v>286</v>
      </c>
    </row>
    <row r="51" ht="15.75" customHeight="1" s="45">
      <c r="A51" s="61" t="n">
        <v>46146</v>
      </c>
      <c r="B51" s="62" t="inlineStr">
        <is>
          <t>Antes-Projeto</t>
        </is>
      </c>
      <c r="C51" s="68" t="inlineStr">
        <is>
          <t>GAEs Classificadas</t>
        </is>
      </c>
      <c r="D51" s="69" t="n">
        <v>263</v>
      </c>
      <c r="E51" s="69" t="n">
        <v>175</v>
      </c>
      <c r="F51" s="69" t="n">
        <v>184</v>
      </c>
      <c r="G51" s="69" t="n">
        <v>174</v>
      </c>
      <c r="H51" s="69" t="n">
        <v>143</v>
      </c>
      <c r="I51" s="69" t="n">
        <v>223</v>
      </c>
      <c r="J51" s="69" t="n">
        <v>155</v>
      </c>
      <c r="K51" s="69" t="n">
        <v>315</v>
      </c>
      <c r="L51" s="69" t="n">
        <v>177</v>
      </c>
      <c r="M51" s="69" t="n">
        <v>320</v>
      </c>
      <c r="N51" s="69" t="n">
        <v>224</v>
      </c>
      <c r="O51" s="69" t="n">
        <v>306</v>
      </c>
      <c r="P51" s="69" t="n">
        <v>277</v>
      </c>
    </row>
    <row r="52" ht="15.75" customHeight="1" s="45">
      <c r="A52" s="61" t="n">
        <v>46146</v>
      </c>
      <c r="B52" s="62" t="inlineStr">
        <is>
          <t>Antes-Projeto</t>
        </is>
      </c>
      <c r="C52" s="70" t="inlineStr">
        <is>
          <t>Percentual de GAEs abertas classificadas</t>
        </is>
      </c>
      <c r="D52" s="71">
        <f>IFERROR(D51/D50,"-")</f>
        <v/>
      </c>
      <c r="E52" s="71">
        <f>IFERROR(E51/E50,"-")</f>
        <v/>
      </c>
      <c r="F52" s="71">
        <f>IFERROR(F51/F50,"-")</f>
        <v/>
      </c>
      <c r="G52" s="71">
        <f>IFERROR(G51/G50,"-")</f>
        <v/>
      </c>
      <c r="H52" s="71">
        <f>IFERROR(H51/H50,"-")</f>
        <v/>
      </c>
      <c r="I52" s="71">
        <f>IFERROR(I51/I50,"-")</f>
        <v/>
      </c>
      <c r="J52" s="71">
        <f>IFERROR(J51/J50,"-")</f>
        <v/>
      </c>
      <c r="K52" s="71">
        <f>IFERROR(K51/K50,"-")</f>
        <v/>
      </c>
      <c r="L52" s="71">
        <f>IFERROR(L51/L50,"-")</f>
        <v/>
      </c>
      <c r="M52" s="71">
        <f>IFERROR(M51/M50,"-")</f>
        <v/>
      </c>
      <c r="N52" s="71">
        <f>IFERROR(N51/N50,"-")</f>
        <v/>
      </c>
      <c r="O52" s="71">
        <f>IFERROR(O51/O50,"-")</f>
        <v/>
      </c>
      <c r="P52" s="71">
        <f>IFERROR(P51/P50,"-")</f>
        <v/>
      </c>
    </row>
    <row r="53" ht="15.75" customHeight="1" s="45">
      <c r="A53" s="61" t="n">
        <v>46146</v>
      </c>
      <c r="B53" s="62" t="inlineStr">
        <is>
          <t>Antes-Projeto</t>
        </is>
      </c>
      <c r="C53" s="72" t="inlineStr">
        <is>
          <t>Tempo Médio — 🟡 Amarelo (hh:mm)</t>
        </is>
      </c>
      <c r="D53" s="73" t="n">
        <v>0.06778935185185185</v>
      </c>
      <c r="E53" s="73" t="n">
        <v>0.06046296296296296</v>
      </c>
      <c r="F53" s="73" t="n">
        <v>0.0487037037037037</v>
      </c>
      <c r="G53" s="73" t="n">
        <v>0.03739583333333334</v>
      </c>
      <c r="H53" s="73" t="n">
        <v>0.02924768518518519</v>
      </c>
      <c r="I53" s="73" t="n">
        <v>0.02743055555555556</v>
      </c>
      <c r="J53" s="73" t="n">
        <v>0.04065972222222222</v>
      </c>
      <c r="K53" s="73" t="n">
        <v>0.118275462962963</v>
      </c>
      <c r="L53" s="73" t="n">
        <v>0.05068287037037037</v>
      </c>
      <c r="M53" s="73" t="n">
        <v>0.03600694444444445</v>
      </c>
      <c r="N53" s="73" t="n">
        <v>0.04826388888888889</v>
      </c>
      <c r="O53" s="73" t="n">
        <v>0.06805555555555555</v>
      </c>
      <c r="P53" s="73" t="n">
        <v>0.08344907407407408</v>
      </c>
    </row>
    <row r="54" ht="15.75" customHeight="1" s="45">
      <c r="A54" s="61" t="n">
        <v>46146</v>
      </c>
      <c r="B54" s="62" t="inlineStr">
        <is>
          <t>Antes-Projeto</t>
        </is>
      </c>
      <c r="C54" s="74" t="inlineStr">
        <is>
          <t>Tempo Médio — 🟠 Laranja (hh:mm)</t>
        </is>
      </c>
      <c r="D54" s="75" t="n">
        <v>0.007013888888888889</v>
      </c>
      <c r="E54" s="75" t="n">
        <v>0.009837962962962963</v>
      </c>
      <c r="F54" s="75" t="n">
        <v>0.008877314814814815</v>
      </c>
      <c r="G54" s="75" t="n">
        <v>0.004826388888888889</v>
      </c>
      <c r="H54" s="75" t="n">
        <v>0.002974537037037037</v>
      </c>
      <c r="I54" s="75" t="n">
        <v>0.005069444444444444</v>
      </c>
      <c r="J54" s="75" t="n">
        <v>0.005324074074074074</v>
      </c>
      <c r="K54" s="75" t="n">
        <v>0.02606481481481481</v>
      </c>
      <c r="L54" s="75" t="n">
        <v>0.01380787037037037</v>
      </c>
      <c r="M54" s="75" t="n">
        <v>0.008935185185185185</v>
      </c>
      <c r="N54" s="75" t="n">
        <v>0.01115740740740741</v>
      </c>
      <c r="O54" s="75" t="n">
        <v>0.009525462962962963</v>
      </c>
      <c r="P54" s="75" t="n">
        <v>0.006909722222222222</v>
      </c>
    </row>
    <row r="55" ht="15.75" customHeight="1" s="45">
      <c r="A55" s="76" t="n">
        <v>46146</v>
      </c>
      <c r="B55" s="77" t="inlineStr">
        <is>
          <t>Antes-Projeto</t>
        </is>
      </c>
      <c r="C55" s="78" t="inlineStr">
        <is>
          <t>Tempo Médio — 🟢 Verde   (hh:mm)</t>
        </is>
      </c>
      <c r="D55" s="79" t="n">
        <v>0.1122800925925926</v>
      </c>
      <c r="E55" s="79" t="n">
        <v>0.1402662037037037</v>
      </c>
      <c r="F55" s="79" t="n">
        <v>0.1554976851851852</v>
      </c>
      <c r="G55" s="79" t="n">
        <v>0.1240393518518518</v>
      </c>
      <c r="H55" s="79" t="n">
        <v>0.09020833333333333</v>
      </c>
      <c r="I55" s="79" t="n">
        <v>0.1520949074074074</v>
      </c>
      <c r="J55" s="79" t="n">
        <v>0.08596064814814815</v>
      </c>
      <c r="K55" s="79" t="n">
        <v>0.1268402777777778</v>
      </c>
      <c r="L55" s="79" t="n">
        <v>0.1480208333333333</v>
      </c>
      <c r="M55" s="79" t="n">
        <v>0.1036921296296296</v>
      </c>
      <c r="N55" s="79" t="n">
        <v>0.1159375</v>
      </c>
      <c r="O55" s="79" t="n">
        <v>0.1083796296296296</v>
      </c>
      <c r="P55" s="79" t="n">
        <v>0.1797916666666667</v>
      </c>
    </row>
    <row r="56" ht="15.75" customHeight="1" s="45">
      <c r="A56" s="57" t="n">
        <v>46147</v>
      </c>
      <c r="B56" s="58" t="inlineStr">
        <is>
          <t>Antes-Projeto</t>
        </is>
      </c>
      <c r="C56" s="59" t="inlineStr">
        <is>
          <t>Acolhim. + Atend. Urgência + Atend. UPA</t>
        </is>
      </c>
      <c r="D56" s="60">
        <f>SUM(D57:D59)</f>
        <v/>
      </c>
      <c r="E56" s="60">
        <f>SUM(E57:E59)</f>
        <v/>
      </c>
      <c r="F56" s="60">
        <f>SUM(F57:F59)</f>
        <v/>
      </c>
      <c r="G56" s="60">
        <f>SUM(G57:G59)</f>
        <v/>
      </c>
      <c r="H56" s="60">
        <f>SUM(H57:H59)</f>
        <v/>
      </c>
      <c r="I56" s="60">
        <f>SUM(I57:I59)</f>
        <v/>
      </c>
      <c r="J56" s="60">
        <f>SUM(J57:J59)</f>
        <v/>
      </c>
      <c r="K56" s="60">
        <f>SUM(K57:K59)</f>
        <v/>
      </c>
      <c r="L56" s="60">
        <f>SUM(L57:L59)</f>
        <v/>
      </c>
      <c r="M56" s="60">
        <f>SUM(M57:M59)</f>
        <v/>
      </c>
      <c r="N56" s="60">
        <f>SUM(N57:N59)</f>
        <v/>
      </c>
      <c r="O56" s="60">
        <f>SUM(O57:O59)</f>
        <v/>
      </c>
      <c r="P56" s="60">
        <f>SUM(P57:P59)</f>
        <v/>
      </c>
    </row>
    <row r="57" ht="15.75" customHeight="1" s="45">
      <c r="A57" s="61" t="n">
        <v>46147</v>
      </c>
      <c r="B57" s="62" t="inlineStr">
        <is>
          <t>Antes-Projeto</t>
        </is>
      </c>
      <c r="C57" s="63" t="inlineStr">
        <is>
          <t>Acolhimento c/ Classif. de Risco</t>
        </is>
      </c>
      <c r="D57" s="64" t="n">
        <v>220</v>
      </c>
      <c r="E57" s="64" t="n">
        <v>152</v>
      </c>
      <c r="F57" s="64" t="n">
        <v>164</v>
      </c>
      <c r="G57" s="64" t="n">
        <v>137</v>
      </c>
      <c r="H57" s="64" t="n">
        <v>149</v>
      </c>
      <c r="I57" s="64" t="n">
        <v>191</v>
      </c>
      <c r="J57" s="64" t="n">
        <v>132</v>
      </c>
      <c r="K57" s="64" t="n">
        <v>302</v>
      </c>
      <c r="L57" s="64" t="n">
        <v>141</v>
      </c>
      <c r="M57" s="64" t="n">
        <v>260</v>
      </c>
      <c r="N57" s="64" t="n">
        <v>197</v>
      </c>
      <c r="O57" s="64" t="n">
        <v>268</v>
      </c>
      <c r="P57" s="64" t="n">
        <v>234</v>
      </c>
    </row>
    <row r="58" ht="15.75" customHeight="1" s="45">
      <c r="A58" s="61" t="n">
        <v>46147</v>
      </c>
      <c r="B58" s="62" t="inlineStr">
        <is>
          <t>Antes-Projeto</t>
        </is>
      </c>
      <c r="C58" s="65" t="inlineStr">
        <is>
          <t>Atend. Urgência Obs. ≤ 24h</t>
        </is>
      </c>
      <c r="D58" s="66" t="n">
        <v>21</v>
      </c>
      <c r="E58" s="66" t="n">
        <v>54</v>
      </c>
      <c r="F58" s="66" t="n">
        <v>22</v>
      </c>
      <c r="G58" s="66" t="n">
        <v>39</v>
      </c>
      <c r="H58" s="66" t="n">
        <v>19</v>
      </c>
      <c r="I58" s="66" t="n">
        <v>27</v>
      </c>
      <c r="J58" s="66" t="n">
        <v>45</v>
      </c>
      <c r="K58" s="66" t="n">
        <v>177</v>
      </c>
      <c r="L58" s="66" t="n">
        <v>28</v>
      </c>
      <c r="M58" s="66" t="n">
        <v>53</v>
      </c>
      <c r="N58" s="66" t="n">
        <v>27</v>
      </c>
      <c r="O58" s="66" t="n">
        <v>40</v>
      </c>
      <c r="P58" s="66" t="n">
        <v>44</v>
      </c>
    </row>
    <row r="59" ht="15.75" customHeight="1" s="45">
      <c r="A59" s="61" t="n">
        <v>46147</v>
      </c>
      <c r="B59" s="62" t="inlineStr">
        <is>
          <t>Antes-Projeto</t>
        </is>
      </c>
      <c r="C59" s="63" t="inlineStr">
        <is>
          <t>Atend. Médico em UPA</t>
        </is>
      </c>
      <c r="D59" s="64" t="n">
        <v>194</v>
      </c>
      <c r="E59" s="64" t="n">
        <v>116</v>
      </c>
      <c r="F59" s="64" t="n">
        <v>108</v>
      </c>
      <c r="G59" s="64" t="n">
        <v>114</v>
      </c>
      <c r="H59" s="64" t="n">
        <v>99</v>
      </c>
      <c r="I59" s="64" t="n">
        <v>132</v>
      </c>
      <c r="J59" s="64" t="n">
        <v>75</v>
      </c>
      <c r="K59" s="64" t="n">
        <v>199</v>
      </c>
      <c r="L59" s="64" t="n">
        <v>54</v>
      </c>
      <c r="M59" s="64" t="n">
        <v>162</v>
      </c>
      <c r="N59" s="64" t="n">
        <v>204</v>
      </c>
      <c r="O59" s="64" t="n">
        <v>186</v>
      </c>
      <c r="P59" s="64" t="n">
        <v>157</v>
      </c>
    </row>
    <row r="60" ht="15.75" customHeight="1" s="45">
      <c r="A60" s="61" t="n">
        <v>46147</v>
      </c>
      <c r="B60" s="62" t="inlineStr">
        <is>
          <t>Antes-Projeto</t>
        </is>
      </c>
      <c r="C60" s="65" t="inlineStr">
        <is>
          <t>Exames Laboratoriais</t>
        </is>
      </c>
      <c r="D60" s="66" t="n">
        <v>702</v>
      </c>
      <c r="E60" s="66" t="n">
        <v>246</v>
      </c>
      <c r="F60" s="66" t="n">
        <v>291</v>
      </c>
      <c r="G60" s="66" t="n">
        <v>260</v>
      </c>
      <c r="H60" s="66" t="n">
        <v>358</v>
      </c>
      <c r="I60" s="66" t="n">
        <v>543</v>
      </c>
      <c r="J60" s="66" t="n">
        <v>419</v>
      </c>
      <c r="K60" s="66" t="n">
        <v>1027</v>
      </c>
      <c r="L60" s="66" t="n">
        <v>577</v>
      </c>
      <c r="M60" s="66" t="n">
        <v>809</v>
      </c>
      <c r="N60" s="66" t="n">
        <v>543</v>
      </c>
      <c r="O60" s="66" t="n">
        <v>469</v>
      </c>
      <c r="P60" s="66" t="n">
        <v>433</v>
      </c>
    </row>
    <row r="61" ht="15.75" customHeight="1" s="45">
      <c r="A61" s="61" t="n">
        <v>46147</v>
      </c>
      <c r="B61" s="62" t="inlineStr">
        <is>
          <t>Antes-Projeto</t>
        </is>
      </c>
      <c r="C61" s="63" t="inlineStr">
        <is>
          <t>Radiografias</t>
        </is>
      </c>
      <c r="D61" s="64" t="n">
        <v>34</v>
      </c>
      <c r="E61" s="64" t="n">
        <v>22</v>
      </c>
      <c r="F61" s="64" t="n">
        <v>36</v>
      </c>
      <c r="G61" s="67" t="n">
        <v>0</v>
      </c>
      <c r="H61" s="64" t="n">
        <v>17</v>
      </c>
      <c r="I61" s="64" t="n">
        <v>22</v>
      </c>
      <c r="J61" s="64" t="n">
        <v>13</v>
      </c>
      <c r="K61" s="64" t="n">
        <v>60</v>
      </c>
      <c r="L61" s="64" t="n">
        <v>10</v>
      </c>
      <c r="M61" s="64" t="n">
        <v>38</v>
      </c>
      <c r="N61" s="64" t="n">
        <v>28</v>
      </c>
      <c r="O61" s="64" t="n">
        <v>44</v>
      </c>
      <c r="P61" s="64" t="n">
        <v>51</v>
      </c>
    </row>
    <row r="62" ht="15.75" customHeight="1" s="45">
      <c r="A62" s="61" t="n">
        <v>46147</v>
      </c>
      <c r="B62" s="62" t="inlineStr">
        <is>
          <t>Antes-Projeto</t>
        </is>
      </c>
      <c r="C62" s="65" t="inlineStr">
        <is>
          <t>Eletrocardiogramas</t>
        </is>
      </c>
      <c r="D62" s="66" t="n">
        <v>15</v>
      </c>
      <c r="E62" s="66" t="n">
        <v>8</v>
      </c>
      <c r="F62" s="66" t="n">
        <v>28</v>
      </c>
      <c r="G62" s="66" t="n">
        <v>12</v>
      </c>
      <c r="H62" s="66" t="n">
        <v>8</v>
      </c>
      <c r="I62" s="66" t="n">
        <v>8</v>
      </c>
      <c r="J62" s="66" t="n">
        <v>12</v>
      </c>
      <c r="K62" s="66" t="n">
        <v>16</v>
      </c>
      <c r="L62" s="66" t="n">
        <v>6</v>
      </c>
      <c r="M62" s="66" t="n">
        <v>17</v>
      </c>
      <c r="N62" s="66" t="n">
        <v>16</v>
      </c>
      <c r="O62" s="66" t="n">
        <v>6</v>
      </c>
      <c r="P62" s="66" t="n">
        <v>21</v>
      </c>
    </row>
    <row r="63" ht="15.75" customHeight="1" s="45">
      <c r="A63" s="61" t="n">
        <v>46147</v>
      </c>
      <c r="B63" s="62" t="inlineStr">
        <is>
          <t>Antes-Projeto</t>
        </is>
      </c>
      <c r="C63" s="68" t="inlineStr">
        <is>
          <t>GAEs Abertas</t>
        </is>
      </c>
      <c r="D63" s="69" t="n">
        <v>226</v>
      </c>
      <c r="E63" s="69" t="n">
        <v>156</v>
      </c>
      <c r="F63" s="69" t="n">
        <v>170</v>
      </c>
      <c r="G63" s="69" t="n">
        <v>146</v>
      </c>
      <c r="H63" s="69" t="n">
        <v>162</v>
      </c>
      <c r="I63" s="69" t="n">
        <v>206</v>
      </c>
      <c r="J63" s="69" t="n">
        <v>134</v>
      </c>
      <c r="K63" s="69" t="n">
        <v>330</v>
      </c>
      <c r="L63" s="69" t="n">
        <v>151</v>
      </c>
      <c r="M63" s="69" t="n">
        <v>280</v>
      </c>
      <c r="N63" s="69" t="n">
        <v>202</v>
      </c>
      <c r="O63" s="69" t="n">
        <v>276</v>
      </c>
      <c r="P63" s="69" t="n">
        <v>239</v>
      </c>
    </row>
    <row r="64" ht="15.75" customHeight="1" s="45">
      <c r="A64" s="61" t="n">
        <v>46147</v>
      </c>
      <c r="B64" s="62" t="inlineStr">
        <is>
          <t>Antes-Projeto</t>
        </is>
      </c>
      <c r="C64" s="68" t="inlineStr">
        <is>
          <t>GAEs Classificadas</t>
        </is>
      </c>
      <c r="D64" s="69" t="n">
        <v>219</v>
      </c>
      <c r="E64" s="69" t="n">
        <v>153</v>
      </c>
      <c r="F64" s="69" t="n">
        <v>162</v>
      </c>
      <c r="G64" s="69" t="n">
        <v>138</v>
      </c>
      <c r="H64" s="69" t="n">
        <v>150</v>
      </c>
      <c r="I64" s="69" t="n">
        <v>190</v>
      </c>
      <c r="J64" s="69" t="n">
        <v>130</v>
      </c>
      <c r="K64" s="69" t="n">
        <v>302</v>
      </c>
      <c r="L64" s="69" t="n">
        <v>140</v>
      </c>
      <c r="M64" s="69" t="n">
        <v>260</v>
      </c>
      <c r="N64" s="69" t="n">
        <v>197</v>
      </c>
      <c r="O64" s="69" t="n">
        <v>267</v>
      </c>
      <c r="P64" s="69" t="n">
        <v>235</v>
      </c>
    </row>
    <row r="65" ht="15.75" customHeight="1" s="45">
      <c r="A65" s="61" t="n">
        <v>46147</v>
      </c>
      <c r="B65" s="62" t="inlineStr">
        <is>
          <t>Antes-Projeto</t>
        </is>
      </c>
      <c r="C65" s="70" t="inlineStr">
        <is>
          <t>Percentual de GAEs abertas classificadas</t>
        </is>
      </c>
      <c r="D65" s="71">
        <f>IFERROR(D64/D63,"-")</f>
        <v/>
      </c>
      <c r="E65" s="71">
        <f>IFERROR(E64/E63,"-")</f>
        <v/>
      </c>
      <c r="F65" s="71">
        <f>IFERROR(F64/F63,"-")</f>
        <v/>
      </c>
      <c r="G65" s="71">
        <f>IFERROR(G64/G63,"-")</f>
        <v/>
      </c>
      <c r="H65" s="71">
        <f>IFERROR(H64/H63,"-")</f>
        <v/>
      </c>
      <c r="I65" s="71">
        <f>IFERROR(I64/I63,"-")</f>
        <v/>
      </c>
      <c r="J65" s="71">
        <f>IFERROR(J64/J63,"-")</f>
        <v/>
      </c>
      <c r="K65" s="71">
        <f>IFERROR(K64/K63,"-")</f>
        <v/>
      </c>
      <c r="L65" s="71">
        <f>IFERROR(L64/L63,"-")</f>
        <v/>
      </c>
      <c r="M65" s="71">
        <f>IFERROR(M64/M63,"-")</f>
        <v/>
      </c>
      <c r="N65" s="71">
        <f>IFERROR(N64/N63,"-")</f>
        <v/>
      </c>
      <c r="O65" s="71">
        <f>IFERROR(O64/O63,"-")</f>
        <v/>
      </c>
      <c r="P65" s="71">
        <f>IFERROR(P64/P63,"-")</f>
        <v/>
      </c>
    </row>
    <row r="66" ht="15.75" customHeight="1" s="45">
      <c r="A66" s="61" t="n">
        <v>46147</v>
      </c>
      <c r="B66" s="62" t="inlineStr">
        <is>
          <t>Antes-Projeto</t>
        </is>
      </c>
      <c r="C66" s="72" t="inlineStr">
        <is>
          <t>Tempo Médio — 🟡 Amarelo (hh:mm)</t>
        </is>
      </c>
      <c r="D66" s="73" t="n">
        <v>0.03009259259259259</v>
      </c>
      <c r="E66" s="73" t="n">
        <v>0.03726851851851852</v>
      </c>
      <c r="F66" s="73" t="n">
        <v>0.06449074074074074</v>
      </c>
      <c r="G66" s="73" t="n">
        <v>0.05041666666666667</v>
      </c>
      <c r="H66" s="73" t="n">
        <v>0.05841435185185185</v>
      </c>
      <c r="I66" s="73" t="n">
        <v>0.03214120370370371</v>
      </c>
      <c r="J66" s="73" t="n">
        <v>0.1191898148148148</v>
      </c>
      <c r="K66" s="73" t="n">
        <v>0.05907407407407408</v>
      </c>
      <c r="L66" s="73" t="n">
        <v>0.190474537037037</v>
      </c>
      <c r="M66" s="73" t="n">
        <v>0.04261574074074074</v>
      </c>
      <c r="N66" s="73" t="n">
        <v>0.05041666666666667</v>
      </c>
      <c r="O66" s="73" t="n">
        <v>0.03967592592592593</v>
      </c>
      <c r="P66" s="73" t="n">
        <v>0.03929398148148148</v>
      </c>
    </row>
    <row r="67" ht="15.75" customHeight="1" s="45">
      <c r="A67" s="61" t="n">
        <v>46147</v>
      </c>
      <c r="B67" s="62" t="inlineStr">
        <is>
          <t>Antes-Projeto</t>
        </is>
      </c>
      <c r="C67" s="74" t="inlineStr">
        <is>
          <t>Tempo Médio — 🟠 Laranja (hh:mm)</t>
        </is>
      </c>
      <c r="D67" s="75" t="n">
        <v>0.008113425925925927</v>
      </c>
      <c r="E67" s="75" t="n">
        <v>0.01322916666666667</v>
      </c>
      <c r="F67" s="75" t="n">
        <v>0.01065972222222222</v>
      </c>
      <c r="G67" s="75" t="n">
        <v>0.01554398148148148</v>
      </c>
      <c r="H67" s="75" t="n">
        <v>0.006886574074074074</v>
      </c>
      <c r="I67" s="75" t="n">
        <v>0.006226851851851851</v>
      </c>
      <c r="J67" s="75" t="n">
        <v>0.02965277777777778</v>
      </c>
      <c r="K67" s="75" t="n">
        <v>0.01040509259259259</v>
      </c>
      <c r="L67" s="75" t="n">
        <v>0.0259837962962963</v>
      </c>
      <c r="M67" s="75" t="n">
        <v>0.01230324074074074</v>
      </c>
      <c r="N67" s="75" t="n">
        <v>0.005057870370370371</v>
      </c>
      <c r="O67" s="75" t="n">
        <v>0.01408564814814815</v>
      </c>
      <c r="P67" s="75" t="n">
        <v>0.009895833333333333</v>
      </c>
    </row>
    <row r="68" ht="15.75" customHeight="1" s="45">
      <c r="A68" s="76" t="n">
        <v>46147</v>
      </c>
      <c r="B68" s="77" t="inlineStr">
        <is>
          <t>Antes-Projeto</t>
        </is>
      </c>
      <c r="C68" s="78" t="inlineStr">
        <is>
          <t>Tempo Médio — 🟢 Verde   (hh:mm)</t>
        </is>
      </c>
      <c r="D68" s="79" t="n">
        <v>0.08262731481481482</v>
      </c>
      <c r="E68" s="79" t="n">
        <v>0.1923611111111111</v>
      </c>
      <c r="F68" s="79" t="n">
        <v>0.1156944444444444</v>
      </c>
      <c r="G68" s="79" t="n">
        <v>0.1418865740740741</v>
      </c>
      <c r="H68" s="79" t="n">
        <v>0.1397453703703704</v>
      </c>
      <c r="I68" s="79" t="n">
        <v>0.1044560185185185</v>
      </c>
      <c r="J68" s="79" t="n">
        <v>0.1107986111111111</v>
      </c>
      <c r="K68" s="79" t="n">
        <v>0.117337962962963</v>
      </c>
      <c r="L68" s="79" t="n">
        <v>0.1382175925925926</v>
      </c>
      <c r="M68" s="79" t="n">
        <v>0.09753472222222222</v>
      </c>
      <c r="N68" s="79" t="n">
        <v>0.1207407407407407</v>
      </c>
      <c r="O68" s="79" t="n">
        <v>0.1436921296296296</v>
      </c>
      <c r="P68" s="79" t="n">
        <v>0.07540509259259259</v>
      </c>
    </row>
    <row r="69" ht="15.75" customHeight="1" s="45">
      <c r="A69" s="57" t="n">
        <v>46148</v>
      </c>
      <c r="B69" s="58" t="inlineStr">
        <is>
          <t>Antes-Projeto</t>
        </is>
      </c>
      <c r="C69" s="59" t="inlineStr">
        <is>
          <t>Acolhim. + Atend. Urgência + Atend. UPA</t>
        </is>
      </c>
      <c r="D69" s="60">
        <f>SUM(D70:D72)</f>
        <v/>
      </c>
      <c r="E69" s="60">
        <f>SUM(E70:E72)</f>
        <v/>
      </c>
      <c r="F69" s="60">
        <f>SUM(F70:F72)</f>
        <v/>
      </c>
      <c r="G69" s="60">
        <f>SUM(G70:G72)</f>
        <v/>
      </c>
      <c r="H69" s="60">
        <f>SUM(H70:H72)</f>
        <v/>
      </c>
      <c r="I69" s="60">
        <f>SUM(I70:I72)</f>
        <v/>
      </c>
      <c r="J69" s="60">
        <f>SUM(J70:J72)</f>
        <v/>
      </c>
      <c r="K69" s="60">
        <f>SUM(K70:K72)</f>
        <v/>
      </c>
      <c r="L69" s="60">
        <f>SUM(L70:L72)</f>
        <v/>
      </c>
      <c r="M69" s="60">
        <f>SUM(M70:M72)</f>
        <v/>
      </c>
      <c r="N69" s="60">
        <f>SUM(N70:N72)</f>
        <v/>
      </c>
      <c r="O69" s="60">
        <f>SUM(O70:O72)</f>
        <v/>
      </c>
      <c r="P69" s="60">
        <f>SUM(P70:P72)</f>
        <v/>
      </c>
    </row>
    <row r="70" ht="15.75" customHeight="1" s="45">
      <c r="A70" s="61" t="n">
        <v>46148</v>
      </c>
      <c r="B70" s="62" t="inlineStr">
        <is>
          <t>Antes-Projeto</t>
        </is>
      </c>
      <c r="C70" s="65" t="inlineStr">
        <is>
          <t>Acolhimento c/ Classif. de Risco</t>
        </is>
      </c>
      <c r="D70" s="66" t="n">
        <v>234</v>
      </c>
      <c r="E70" s="66" t="n">
        <v>151</v>
      </c>
      <c r="F70" s="66" t="n">
        <v>153</v>
      </c>
      <c r="G70" s="66" t="n">
        <v>134</v>
      </c>
      <c r="H70" s="66" t="n">
        <v>134</v>
      </c>
      <c r="I70" s="66" t="n">
        <v>166</v>
      </c>
      <c r="J70" s="66" t="n">
        <v>147</v>
      </c>
      <c r="K70" s="66" t="n">
        <v>318</v>
      </c>
      <c r="L70" s="66" t="n">
        <v>133</v>
      </c>
      <c r="M70" s="66" t="n">
        <v>262</v>
      </c>
      <c r="N70" s="66" t="n">
        <v>177</v>
      </c>
      <c r="O70" s="66" t="n">
        <v>273</v>
      </c>
      <c r="P70" s="66" t="n">
        <v>251</v>
      </c>
    </row>
    <row r="71" ht="15.75" customHeight="1" s="45">
      <c r="A71" s="61" t="n">
        <v>46148</v>
      </c>
      <c r="B71" s="62" t="inlineStr">
        <is>
          <t>Antes-Projeto</t>
        </is>
      </c>
      <c r="C71" s="63" t="inlineStr">
        <is>
          <t>Atend. Urgência Obs. ≤ 24h</t>
        </is>
      </c>
      <c r="D71" s="64" t="n">
        <v>20</v>
      </c>
      <c r="E71" s="64" t="n">
        <v>69</v>
      </c>
      <c r="F71" s="64" t="n">
        <v>22</v>
      </c>
      <c r="G71" s="64" t="n">
        <v>13</v>
      </c>
      <c r="H71" s="64" t="n">
        <v>5</v>
      </c>
      <c r="I71" s="64" t="n">
        <v>19</v>
      </c>
      <c r="J71" s="64" t="n">
        <v>49</v>
      </c>
      <c r="K71" s="64" t="n">
        <v>221</v>
      </c>
      <c r="L71" s="64" t="n">
        <v>31</v>
      </c>
      <c r="M71" s="64" t="n">
        <v>46</v>
      </c>
      <c r="N71" s="64" t="n">
        <v>23</v>
      </c>
      <c r="O71" s="64" t="n">
        <v>19</v>
      </c>
      <c r="P71" s="64" t="n">
        <v>77</v>
      </c>
    </row>
    <row r="72" ht="15.75" customHeight="1" s="45">
      <c r="A72" s="61" t="n">
        <v>46148</v>
      </c>
      <c r="B72" s="62" t="inlineStr">
        <is>
          <t>Antes-Projeto</t>
        </is>
      </c>
      <c r="C72" s="65" t="inlineStr">
        <is>
          <t>Atend. Médico em UPA</t>
        </is>
      </c>
      <c r="D72" s="66" t="n">
        <v>147</v>
      </c>
      <c r="E72" s="66" t="n">
        <v>92</v>
      </c>
      <c r="F72" s="66" t="n">
        <v>112</v>
      </c>
      <c r="G72" s="66" t="n">
        <v>109</v>
      </c>
      <c r="H72" s="66" t="n">
        <v>96</v>
      </c>
      <c r="I72" s="66" t="n">
        <v>131</v>
      </c>
      <c r="J72" s="66" t="n">
        <v>96</v>
      </c>
      <c r="K72" s="66" t="n">
        <v>204</v>
      </c>
      <c r="L72" s="66" t="n">
        <v>91</v>
      </c>
      <c r="M72" s="66" t="n">
        <v>119</v>
      </c>
      <c r="N72" s="66" t="n">
        <v>182</v>
      </c>
      <c r="O72" s="66" t="n">
        <v>176</v>
      </c>
      <c r="P72" s="66" t="n">
        <v>122</v>
      </c>
    </row>
    <row r="73" ht="15.75" customHeight="1" s="45">
      <c r="A73" s="61" t="n">
        <v>46148</v>
      </c>
      <c r="B73" s="62" t="inlineStr">
        <is>
          <t>Antes-Projeto</t>
        </is>
      </c>
      <c r="C73" s="63" t="inlineStr">
        <is>
          <t>Exames Laboratoriais</t>
        </is>
      </c>
      <c r="D73" s="64" t="n">
        <v>520</v>
      </c>
      <c r="E73" s="64" t="n">
        <v>297</v>
      </c>
      <c r="F73" s="64" t="n">
        <v>490</v>
      </c>
      <c r="G73" s="64" t="n">
        <v>243</v>
      </c>
      <c r="H73" s="64" t="n">
        <v>272</v>
      </c>
      <c r="I73" s="64" t="n">
        <v>494</v>
      </c>
      <c r="J73" s="64" t="n">
        <v>383</v>
      </c>
      <c r="K73" s="64" t="n">
        <v>959</v>
      </c>
      <c r="L73" s="64" t="n">
        <v>565</v>
      </c>
      <c r="M73" s="64" t="n">
        <v>583</v>
      </c>
      <c r="N73" s="64" t="n">
        <v>651</v>
      </c>
      <c r="O73" s="64" t="n">
        <v>587</v>
      </c>
      <c r="P73" s="64" t="n">
        <v>629</v>
      </c>
    </row>
    <row r="74" ht="15.75" customHeight="1" s="45">
      <c r="A74" s="61" t="n">
        <v>46148</v>
      </c>
      <c r="B74" s="62" t="inlineStr">
        <is>
          <t>Antes-Projeto</t>
        </is>
      </c>
      <c r="C74" s="65" t="inlineStr">
        <is>
          <t>Radiografias</t>
        </is>
      </c>
      <c r="D74" s="66" t="n">
        <v>40</v>
      </c>
      <c r="E74" s="66" t="n">
        <v>17</v>
      </c>
      <c r="F74" s="66" t="n">
        <v>39</v>
      </c>
      <c r="G74" s="67" t="n">
        <v>0</v>
      </c>
      <c r="H74" s="66" t="n">
        <v>13</v>
      </c>
      <c r="I74" s="66" t="n">
        <v>36</v>
      </c>
      <c r="J74" s="66" t="n">
        <v>13</v>
      </c>
      <c r="K74" s="66" t="n">
        <v>44</v>
      </c>
      <c r="L74" s="66" t="n">
        <v>8</v>
      </c>
      <c r="M74" s="66" t="n">
        <v>34</v>
      </c>
      <c r="N74" s="66" t="n">
        <v>29</v>
      </c>
      <c r="O74" s="66" t="n">
        <v>50</v>
      </c>
      <c r="P74" s="66" t="n">
        <v>53</v>
      </c>
    </row>
    <row r="75" ht="15.75" customHeight="1" s="45">
      <c r="A75" s="61" t="n">
        <v>46148</v>
      </c>
      <c r="B75" s="62" t="inlineStr">
        <is>
          <t>Antes-Projeto</t>
        </is>
      </c>
      <c r="C75" s="63" t="inlineStr">
        <is>
          <t>Eletrocardiogramas</t>
        </is>
      </c>
      <c r="D75" s="64" t="n">
        <v>18</v>
      </c>
      <c r="E75" s="64" t="n">
        <v>7</v>
      </c>
      <c r="F75" s="64" t="n">
        <v>26</v>
      </c>
      <c r="G75" s="64" t="n">
        <v>8</v>
      </c>
      <c r="H75" s="64" t="n">
        <v>4</v>
      </c>
      <c r="I75" s="64" t="n">
        <v>13</v>
      </c>
      <c r="J75" s="64" t="n">
        <v>5</v>
      </c>
      <c r="K75" s="64" t="n">
        <v>37</v>
      </c>
      <c r="L75" s="64" t="n">
        <v>10</v>
      </c>
      <c r="M75" s="64" t="n">
        <v>14</v>
      </c>
      <c r="N75" s="64" t="n">
        <v>23</v>
      </c>
      <c r="O75" s="64" t="n">
        <v>14</v>
      </c>
      <c r="P75" s="64" t="n">
        <v>18</v>
      </c>
    </row>
    <row r="76" ht="15.75" customHeight="1" s="45">
      <c r="A76" s="61" t="n">
        <v>46148</v>
      </c>
      <c r="B76" s="62" t="inlineStr">
        <is>
          <t>Antes-Projeto</t>
        </is>
      </c>
      <c r="C76" s="68" t="inlineStr">
        <is>
          <t>GAEs Abertas</t>
        </is>
      </c>
      <c r="D76" s="69" t="n">
        <v>250</v>
      </c>
      <c r="E76" s="69" t="n">
        <v>154</v>
      </c>
      <c r="F76" s="69" t="n">
        <v>165</v>
      </c>
      <c r="G76" s="69" t="n">
        <v>137</v>
      </c>
      <c r="H76" s="69" t="n">
        <v>142</v>
      </c>
      <c r="I76" s="69" t="n">
        <v>174</v>
      </c>
      <c r="J76" s="69" t="n">
        <v>150</v>
      </c>
      <c r="K76" s="69" t="n">
        <v>355</v>
      </c>
      <c r="L76" s="69" t="n">
        <v>140</v>
      </c>
      <c r="M76" s="69" t="n">
        <v>285</v>
      </c>
      <c r="N76" s="69" t="n">
        <v>192</v>
      </c>
      <c r="O76" s="69" t="n">
        <v>281</v>
      </c>
      <c r="P76" s="69" t="n">
        <v>267</v>
      </c>
    </row>
    <row r="77" ht="15.75" customHeight="1" s="45">
      <c r="A77" s="61" t="n">
        <v>46148</v>
      </c>
      <c r="B77" s="62" t="inlineStr">
        <is>
          <t>Antes-Projeto</t>
        </is>
      </c>
      <c r="C77" s="68" t="inlineStr">
        <is>
          <t>GAEs Classificadas</t>
        </is>
      </c>
      <c r="D77" s="69" t="n">
        <v>237</v>
      </c>
      <c r="E77" s="69" t="n">
        <v>151</v>
      </c>
      <c r="F77" s="69" t="n">
        <v>154</v>
      </c>
      <c r="G77" s="69" t="n">
        <v>133</v>
      </c>
      <c r="H77" s="69" t="n">
        <v>133</v>
      </c>
      <c r="I77" s="69" t="n">
        <v>165</v>
      </c>
      <c r="J77" s="69" t="n">
        <v>147</v>
      </c>
      <c r="K77" s="69" t="n">
        <v>321</v>
      </c>
      <c r="L77" s="69" t="n">
        <v>134</v>
      </c>
      <c r="M77" s="69" t="n">
        <v>257</v>
      </c>
      <c r="N77" s="69" t="n">
        <v>178</v>
      </c>
      <c r="O77" s="69" t="n">
        <v>273</v>
      </c>
      <c r="P77" s="69" t="n">
        <v>249</v>
      </c>
    </row>
    <row r="78" ht="15.75" customHeight="1" s="45">
      <c r="A78" s="61" t="n">
        <v>46148</v>
      </c>
      <c r="B78" s="62" t="inlineStr">
        <is>
          <t>Antes-Projeto</t>
        </is>
      </c>
      <c r="C78" s="70" t="inlineStr">
        <is>
          <t>Percentual de GAEs abertas classificadas</t>
        </is>
      </c>
      <c r="D78" s="71">
        <f>IFERROR(D77/D76,"-")</f>
        <v/>
      </c>
      <c r="E78" s="71">
        <f>IFERROR(E77/E76,"-")</f>
        <v/>
      </c>
      <c r="F78" s="71">
        <f>IFERROR(F77/F76,"-")</f>
        <v/>
      </c>
      <c r="G78" s="71">
        <f>IFERROR(G77/G76,"-")</f>
        <v/>
      </c>
      <c r="H78" s="71">
        <f>IFERROR(H77/H76,"-")</f>
        <v/>
      </c>
      <c r="I78" s="71">
        <f>IFERROR(I77/I76,"-")</f>
        <v/>
      </c>
      <c r="J78" s="71">
        <f>IFERROR(J77/J76,"-")</f>
        <v/>
      </c>
      <c r="K78" s="71">
        <f>IFERROR(K77/K76,"-")</f>
        <v/>
      </c>
      <c r="L78" s="71">
        <f>IFERROR(L77/L76,"-")</f>
        <v/>
      </c>
      <c r="M78" s="71">
        <f>IFERROR(M77/M76,"-")</f>
        <v/>
      </c>
      <c r="N78" s="71">
        <f>IFERROR(N77/N76,"-")</f>
        <v/>
      </c>
      <c r="O78" s="71">
        <f>IFERROR(O77/O76,"-")</f>
        <v/>
      </c>
      <c r="P78" s="71">
        <f>IFERROR(P77/P76,"-")</f>
        <v/>
      </c>
    </row>
    <row r="79" ht="15.75" customHeight="1" s="45">
      <c r="A79" s="61" t="n">
        <v>46148</v>
      </c>
      <c r="B79" s="62" t="inlineStr">
        <is>
          <t>Antes-Projeto</t>
        </is>
      </c>
      <c r="C79" s="72" t="inlineStr">
        <is>
          <t>Tempo Médio — 🟡 Amarelo (hh:mm)</t>
        </is>
      </c>
      <c r="D79" s="73" t="n">
        <v>0.09061342592592593</v>
      </c>
      <c r="E79" s="73" t="n">
        <v>0.07797453703703704</v>
      </c>
      <c r="F79" s="73" t="n">
        <v>0.06672453703703704</v>
      </c>
      <c r="G79" s="73" t="n">
        <v>0.02615740740740741</v>
      </c>
      <c r="H79" s="73" t="n">
        <v>0.05631944444444444</v>
      </c>
      <c r="I79" s="73" t="n">
        <v>0.03491898148148148</v>
      </c>
      <c r="J79" s="73" t="n">
        <v>0.04509259259259259</v>
      </c>
      <c r="K79" s="73" t="n">
        <v>0.06328703703703703</v>
      </c>
      <c r="L79" s="73" t="n">
        <v>0.1140856481481481</v>
      </c>
      <c r="M79" s="73" t="n">
        <v>0.03747685185185185</v>
      </c>
      <c r="N79" s="73" t="n">
        <v>0.07571759259259259</v>
      </c>
      <c r="O79" s="73" t="n">
        <v>0.1229050925925926</v>
      </c>
      <c r="P79" s="73" t="n">
        <v>0.07081018518518518</v>
      </c>
    </row>
    <row r="80" ht="15.75" customHeight="1" s="45">
      <c r="A80" s="61" t="n">
        <v>46148</v>
      </c>
      <c r="B80" s="62" t="inlineStr">
        <is>
          <t>Antes-Projeto</t>
        </is>
      </c>
      <c r="C80" s="74" t="inlineStr">
        <is>
          <t>Tempo Médio — 🟠 Laranja (hh:mm)</t>
        </is>
      </c>
      <c r="D80" s="75" t="n">
        <v>0.0147337962962963</v>
      </c>
      <c r="E80" s="75" t="n">
        <v>0.008935185185185185</v>
      </c>
      <c r="F80" s="75" t="n">
        <v>0.005474537037037037</v>
      </c>
      <c r="G80" s="75" t="n">
        <v>0.01106481481481482</v>
      </c>
      <c r="H80" s="75" t="n">
        <v>0.007893518518518518</v>
      </c>
      <c r="I80" s="75" t="n">
        <v>0.007013888888888889</v>
      </c>
      <c r="J80" s="75" t="n">
        <v>0.01011574074074074</v>
      </c>
      <c r="K80" s="75" t="n">
        <v>0.01540509259259259</v>
      </c>
      <c r="L80" s="75" t="n">
        <v>0.0159375</v>
      </c>
      <c r="M80" s="75" t="n">
        <v>0.01243055555555556</v>
      </c>
      <c r="N80" s="75" t="n">
        <v>0.01133101851851852</v>
      </c>
      <c r="O80" s="75" t="n">
        <v>0.01903935185185185</v>
      </c>
      <c r="P80" s="75" t="n">
        <v>0.009444444444444445</v>
      </c>
    </row>
    <row r="81" ht="15.75" customHeight="1" s="45">
      <c r="A81" s="76" t="n">
        <v>46148</v>
      </c>
      <c r="B81" s="77" t="inlineStr">
        <is>
          <t>Antes-Projeto</t>
        </is>
      </c>
      <c r="C81" s="78" t="inlineStr">
        <is>
          <t>Tempo Médio — 🟢 Verde   (hh:mm)</t>
        </is>
      </c>
      <c r="D81" s="79" t="n">
        <v>0.09962962962962962</v>
      </c>
      <c r="E81" s="79" t="n">
        <v>0.1584490740740741</v>
      </c>
      <c r="F81" s="79" t="n">
        <v>0.7722222222222223</v>
      </c>
      <c r="G81" s="79" t="n">
        <v>0.08886574074074075</v>
      </c>
      <c r="H81" s="79" t="n">
        <v>0.1176041666666667</v>
      </c>
      <c r="I81" s="79" t="n">
        <v>0.1618981481481482</v>
      </c>
      <c r="J81" s="79" t="n">
        <v>0.09599537037037037</v>
      </c>
      <c r="K81" s="79" t="n">
        <v>0.1209259259259259</v>
      </c>
      <c r="L81" s="79" t="n">
        <v>0.161412037037037</v>
      </c>
      <c r="M81" s="79" t="n">
        <v>0.1158449074074074</v>
      </c>
      <c r="N81" s="79" t="n">
        <v>0.1260069444444444</v>
      </c>
      <c r="O81" s="79" t="n">
        <v>0.1523726851851852</v>
      </c>
      <c r="P81" s="79" t="n">
        <v>0.08074074074074074</v>
      </c>
    </row>
    <row r="82" ht="15.75" customHeight="1" s="45">
      <c r="A82" s="57" t="n">
        <v>46149</v>
      </c>
      <c r="B82" s="58" t="inlineStr">
        <is>
          <t>Antes-Projeto</t>
        </is>
      </c>
      <c r="C82" s="59" t="inlineStr">
        <is>
          <t>Acolhim. + Atend. Urgência + Atend. UPA</t>
        </is>
      </c>
      <c r="D82" s="60">
        <f>SUM(D83:D85)</f>
        <v/>
      </c>
      <c r="E82" s="60">
        <f>SUM(E83:E85)</f>
        <v/>
      </c>
      <c r="F82" s="60">
        <f>SUM(F83:F85)</f>
        <v/>
      </c>
      <c r="G82" s="60">
        <f>SUM(G83:G85)</f>
        <v/>
      </c>
      <c r="H82" s="60">
        <f>SUM(H83:H85)</f>
        <v/>
      </c>
      <c r="I82" s="60">
        <f>SUM(I83:I85)</f>
        <v/>
      </c>
      <c r="J82" s="60">
        <f>SUM(J83:J85)</f>
        <v/>
      </c>
      <c r="K82" s="60">
        <f>SUM(K83:K85)</f>
        <v/>
      </c>
      <c r="L82" s="60">
        <f>SUM(L83:L85)</f>
        <v/>
      </c>
      <c r="M82" s="60">
        <f>SUM(M83:M85)</f>
        <v/>
      </c>
      <c r="N82" s="60">
        <f>SUM(N83:N85)</f>
        <v/>
      </c>
      <c r="O82" s="60">
        <f>SUM(O83:O85)</f>
        <v/>
      </c>
      <c r="P82" s="60">
        <f>SUM(P83:P85)</f>
        <v/>
      </c>
    </row>
    <row r="83" ht="15.75" customHeight="1" s="45">
      <c r="A83" s="61" t="n">
        <v>46149</v>
      </c>
      <c r="B83" s="62" t="inlineStr">
        <is>
          <t>Antes-Projeto</t>
        </is>
      </c>
      <c r="C83" s="63" t="inlineStr">
        <is>
          <t>Acolhimento c/ Classif. de Risco</t>
        </is>
      </c>
      <c r="D83" s="64" t="n">
        <v>226</v>
      </c>
      <c r="E83" s="64" t="n">
        <v>150</v>
      </c>
      <c r="F83" s="64" t="n">
        <v>160</v>
      </c>
      <c r="G83" s="64" t="n">
        <v>120</v>
      </c>
      <c r="H83" s="64" t="n">
        <v>136</v>
      </c>
      <c r="I83" s="64" t="n">
        <v>179</v>
      </c>
      <c r="J83" s="64" t="n">
        <v>122</v>
      </c>
      <c r="K83" s="64" t="n">
        <v>282</v>
      </c>
      <c r="L83" s="64" t="n">
        <v>145</v>
      </c>
      <c r="M83" s="64" t="n">
        <v>274</v>
      </c>
      <c r="N83" s="64" t="n">
        <v>189</v>
      </c>
      <c r="O83" s="64" t="n">
        <v>233</v>
      </c>
      <c r="P83" s="64" t="n">
        <v>233</v>
      </c>
    </row>
    <row r="84" ht="15.75" customHeight="1" s="45">
      <c r="A84" s="61" t="n">
        <v>46149</v>
      </c>
      <c r="B84" s="62" t="inlineStr">
        <is>
          <t>Antes-Projeto</t>
        </is>
      </c>
      <c r="C84" s="65" t="inlineStr">
        <is>
          <t>Atend. Urgência Obs. ≤ 24h</t>
        </is>
      </c>
      <c r="D84" s="66" t="n">
        <v>33</v>
      </c>
      <c r="E84" s="66" t="n">
        <v>78</v>
      </c>
      <c r="F84" s="66" t="n">
        <v>23</v>
      </c>
      <c r="G84" s="66" t="n">
        <v>58</v>
      </c>
      <c r="H84" s="66" t="n">
        <v>19</v>
      </c>
      <c r="I84" s="66" t="n">
        <v>43</v>
      </c>
      <c r="J84" s="66" t="n">
        <v>41</v>
      </c>
      <c r="K84" s="66" t="n">
        <v>79</v>
      </c>
      <c r="L84" s="66" t="n">
        <v>23</v>
      </c>
      <c r="M84" s="66" t="n">
        <v>57</v>
      </c>
      <c r="N84" s="66" t="n">
        <v>29</v>
      </c>
      <c r="O84" s="66" t="n">
        <v>8</v>
      </c>
      <c r="P84" s="66" t="n">
        <v>67</v>
      </c>
    </row>
    <row r="85" ht="15.75" customHeight="1" s="45">
      <c r="A85" s="61" t="n">
        <v>46149</v>
      </c>
      <c r="B85" s="62" t="inlineStr">
        <is>
          <t>Antes-Projeto</t>
        </is>
      </c>
      <c r="C85" s="63" t="inlineStr">
        <is>
          <t>Atend. Médico em UPA</t>
        </is>
      </c>
      <c r="D85" s="64" t="n">
        <v>177</v>
      </c>
      <c r="E85" s="64" t="n">
        <v>57</v>
      </c>
      <c r="F85" s="64" t="n">
        <v>106</v>
      </c>
      <c r="G85" s="64" t="n">
        <v>79</v>
      </c>
      <c r="H85" s="64" t="n">
        <v>76</v>
      </c>
      <c r="I85" s="64" t="n">
        <v>162</v>
      </c>
      <c r="J85" s="64" t="n">
        <v>94</v>
      </c>
      <c r="K85" s="64" t="n">
        <v>208</v>
      </c>
      <c r="L85" s="64" t="n">
        <v>103</v>
      </c>
      <c r="M85" s="64" t="n">
        <v>170</v>
      </c>
      <c r="N85" s="64" t="n">
        <v>189</v>
      </c>
      <c r="O85" s="64" t="n">
        <v>180</v>
      </c>
      <c r="P85" s="64" t="n">
        <v>124</v>
      </c>
    </row>
    <row r="86" ht="15.75" customHeight="1" s="45">
      <c r="A86" s="61" t="n">
        <v>46149</v>
      </c>
      <c r="B86" s="62" t="inlineStr">
        <is>
          <t>Antes-Projeto</t>
        </is>
      </c>
      <c r="C86" s="65" t="inlineStr">
        <is>
          <t>Exames Laboratoriais</t>
        </is>
      </c>
      <c r="D86" s="66" t="n">
        <v>555</v>
      </c>
      <c r="E86" s="66" t="n">
        <v>272</v>
      </c>
      <c r="F86" s="66" t="n">
        <v>570</v>
      </c>
      <c r="G86" s="66" t="n">
        <v>214</v>
      </c>
      <c r="H86" s="66" t="n">
        <v>349</v>
      </c>
      <c r="I86" s="66" t="n">
        <v>546</v>
      </c>
      <c r="J86" s="66" t="n">
        <v>404</v>
      </c>
      <c r="K86" s="66" t="n">
        <v>704</v>
      </c>
      <c r="L86" s="66" t="n">
        <v>580</v>
      </c>
      <c r="M86" s="66" t="n">
        <v>864</v>
      </c>
      <c r="N86" s="66" t="n">
        <v>731</v>
      </c>
      <c r="O86" s="66" t="n">
        <v>280</v>
      </c>
      <c r="P86" s="66" t="n">
        <v>249</v>
      </c>
    </row>
    <row r="87" ht="15.75" customHeight="1" s="45">
      <c r="A87" s="61" t="n">
        <v>46149</v>
      </c>
      <c r="B87" s="62" t="inlineStr">
        <is>
          <t>Antes-Projeto</t>
        </is>
      </c>
      <c r="C87" s="63" t="inlineStr">
        <is>
          <t>Radiografias</t>
        </is>
      </c>
      <c r="D87" s="64" t="n">
        <v>36</v>
      </c>
      <c r="E87" s="64" t="n">
        <v>13</v>
      </c>
      <c r="F87" s="64" t="n">
        <v>20</v>
      </c>
      <c r="G87" s="67" t="n">
        <v>0</v>
      </c>
      <c r="H87" s="64" t="n">
        <v>11</v>
      </c>
      <c r="I87" s="64" t="n">
        <v>23</v>
      </c>
      <c r="J87" s="64" t="n">
        <v>22</v>
      </c>
      <c r="K87" s="64" t="n">
        <v>32</v>
      </c>
      <c r="L87" s="64" t="n">
        <v>5</v>
      </c>
      <c r="M87" s="64" t="n">
        <v>62</v>
      </c>
      <c r="N87" s="64" t="n">
        <v>31</v>
      </c>
      <c r="O87" s="64" t="n">
        <v>29</v>
      </c>
      <c r="P87" s="64" t="n">
        <v>42</v>
      </c>
    </row>
    <row r="88" ht="15.75" customHeight="1" s="45">
      <c r="A88" s="61" t="n">
        <v>46149</v>
      </c>
      <c r="B88" s="62" t="inlineStr">
        <is>
          <t>Antes-Projeto</t>
        </is>
      </c>
      <c r="C88" s="65" t="inlineStr">
        <is>
          <t>Eletrocardiogramas</t>
        </is>
      </c>
      <c r="D88" s="66" t="n">
        <v>27</v>
      </c>
      <c r="E88" s="66" t="n">
        <v>9</v>
      </c>
      <c r="F88" s="66" t="n">
        <v>28</v>
      </c>
      <c r="G88" s="66" t="n">
        <v>11</v>
      </c>
      <c r="H88" s="66" t="n">
        <v>8</v>
      </c>
      <c r="I88" s="66" t="n">
        <v>4</v>
      </c>
      <c r="J88" s="66" t="n">
        <v>11</v>
      </c>
      <c r="K88" s="66" t="n">
        <v>14</v>
      </c>
      <c r="L88" s="66" t="n">
        <v>13</v>
      </c>
      <c r="M88" s="66" t="n">
        <v>15</v>
      </c>
      <c r="N88" s="66" t="n">
        <v>32</v>
      </c>
      <c r="O88" s="66" t="n">
        <v>9</v>
      </c>
      <c r="P88" s="66" t="n">
        <v>16</v>
      </c>
    </row>
    <row r="89" ht="15.75" customHeight="1" s="45">
      <c r="A89" s="61" t="n">
        <v>46149</v>
      </c>
      <c r="B89" s="62" t="inlineStr">
        <is>
          <t>Antes-Projeto</t>
        </is>
      </c>
      <c r="C89" s="68" t="inlineStr">
        <is>
          <t>GAEs Abertas</t>
        </is>
      </c>
      <c r="D89" s="69" t="n">
        <v>231</v>
      </c>
      <c r="E89" s="69" t="n">
        <v>157</v>
      </c>
      <c r="F89" s="69" t="n">
        <v>167</v>
      </c>
      <c r="G89" s="69" t="n">
        <v>122</v>
      </c>
      <c r="H89" s="69" t="n">
        <v>144</v>
      </c>
      <c r="I89" s="69" t="n">
        <v>187</v>
      </c>
      <c r="J89" s="69" t="n">
        <v>133</v>
      </c>
      <c r="K89" s="69" t="n">
        <v>298</v>
      </c>
      <c r="L89" s="69" t="n">
        <v>146</v>
      </c>
      <c r="M89" s="69" t="n">
        <v>290</v>
      </c>
      <c r="N89" s="69" t="n">
        <v>199</v>
      </c>
      <c r="O89" s="69" t="n">
        <v>242</v>
      </c>
      <c r="P89" s="69" t="n">
        <v>246</v>
      </c>
    </row>
    <row r="90" ht="15.75" customHeight="1" s="45">
      <c r="A90" s="61" t="n">
        <v>46149</v>
      </c>
      <c r="B90" s="62" t="inlineStr">
        <is>
          <t>Antes-Projeto</t>
        </is>
      </c>
      <c r="C90" s="68" t="inlineStr">
        <is>
          <t>GAEs Classificadas</t>
        </is>
      </c>
      <c r="D90" s="69" t="n">
        <v>224</v>
      </c>
      <c r="E90" s="69" t="n">
        <v>149</v>
      </c>
      <c r="F90" s="69" t="n">
        <v>161</v>
      </c>
      <c r="G90" s="69" t="n">
        <v>118</v>
      </c>
      <c r="H90" s="69" t="n">
        <v>138</v>
      </c>
      <c r="I90" s="69" t="n">
        <v>175</v>
      </c>
      <c r="J90" s="69" t="n">
        <v>121</v>
      </c>
      <c r="K90" s="69" t="n">
        <v>279</v>
      </c>
      <c r="L90" s="69" t="n">
        <v>143</v>
      </c>
      <c r="M90" s="69" t="n">
        <v>271</v>
      </c>
      <c r="N90" s="69" t="n">
        <v>186</v>
      </c>
      <c r="O90" s="69" t="n">
        <v>234</v>
      </c>
      <c r="P90" s="69" t="n">
        <v>234</v>
      </c>
    </row>
    <row r="91" ht="15.75" customHeight="1" s="45">
      <c r="A91" s="61" t="n">
        <v>46149</v>
      </c>
      <c r="B91" s="62" t="inlineStr">
        <is>
          <t>Antes-Projeto</t>
        </is>
      </c>
      <c r="C91" s="70" t="inlineStr">
        <is>
          <t>Percentual de GAEs abertas classificadas</t>
        </is>
      </c>
      <c r="D91" s="71">
        <f>IFERROR(D90/D89,"-")</f>
        <v/>
      </c>
      <c r="E91" s="71">
        <f>IFERROR(E90/E89,"-")</f>
        <v/>
      </c>
      <c r="F91" s="71">
        <f>IFERROR(F90/F89,"-")</f>
        <v/>
      </c>
      <c r="G91" s="71">
        <f>IFERROR(G90/G89,"-")</f>
        <v/>
      </c>
      <c r="H91" s="71">
        <f>IFERROR(H90/H89,"-")</f>
        <v/>
      </c>
      <c r="I91" s="71">
        <f>IFERROR(I90/I89,"-")</f>
        <v/>
      </c>
      <c r="J91" s="71">
        <f>IFERROR(J90/J89,"-")</f>
        <v/>
      </c>
      <c r="K91" s="71">
        <f>IFERROR(K90/K89,"-")</f>
        <v/>
      </c>
      <c r="L91" s="71">
        <f>IFERROR(L90/L89,"-")</f>
        <v/>
      </c>
      <c r="M91" s="71">
        <f>IFERROR(M90/M89,"-")</f>
        <v/>
      </c>
      <c r="N91" s="71">
        <f>IFERROR(N90/N89,"-")</f>
        <v/>
      </c>
      <c r="O91" s="71">
        <f>IFERROR(O90/O89,"-")</f>
        <v/>
      </c>
      <c r="P91" s="71">
        <f>IFERROR(P90/P89,"-")</f>
        <v/>
      </c>
    </row>
    <row r="92" ht="15.75" customHeight="1" s="45">
      <c r="A92" s="61" t="n">
        <v>46149</v>
      </c>
      <c r="B92" s="62" t="inlineStr">
        <is>
          <t>Antes-Projeto</t>
        </is>
      </c>
      <c r="C92" s="72" t="inlineStr">
        <is>
          <t>Tempo Médio — 🟡 Amarelo (hh:mm)</t>
        </is>
      </c>
      <c r="D92" s="73" t="n">
        <v>0.04068287037037037</v>
      </c>
      <c r="E92" s="73" t="n">
        <v>0.07372685185185185</v>
      </c>
      <c r="F92" s="73" t="n">
        <v>0.1343171296296296</v>
      </c>
      <c r="G92" s="73" t="n">
        <v>0.02398148148148148</v>
      </c>
      <c r="H92" s="73" t="n">
        <v>0.07467592592592592</v>
      </c>
      <c r="I92" s="73" t="n">
        <v>0.041875</v>
      </c>
      <c r="J92" s="73" t="n">
        <v>0.08027777777777778</v>
      </c>
      <c r="K92" s="73" t="n">
        <v>0.04863425925925926</v>
      </c>
      <c r="L92" s="73" t="n">
        <v>0.1097916666666667</v>
      </c>
      <c r="M92" s="73" t="n">
        <v>0.02670138888888889</v>
      </c>
      <c r="N92" s="73" t="n">
        <v>0.1185532407407407</v>
      </c>
      <c r="O92" s="73" t="n">
        <v>0.04767361111111111</v>
      </c>
      <c r="P92" s="73" t="n">
        <v>0.1237037037037037</v>
      </c>
    </row>
    <row r="93" ht="15.75" customHeight="1" s="45">
      <c r="A93" s="61" t="n">
        <v>46149</v>
      </c>
      <c r="B93" s="62" t="inlineStr">
        <is>
          <t>Antes-Projeto</t>
        </is>
      </c>
      <c r="C93" s="74" t="inlineStr">
        <is>
          <t>Tempo Médio — 🟠 Laranja (hh:mm)</t>
        </is>
      </c>
      <c r="D93" s="75" t="n">
        <v>0.01001157407407407</v>
      </c>
      <c r="E93" s="75" t="n">
        <v>0.01712962962962963</v>
      </c>
      <c r="F93" s="75" t="n">
        <v>0.009062499999999999</v>
      </c>
      <c r="G93" s="75" t="n">
        <v>0.008611111111111111</v>
      </c>
      <c r="H93" s="75" t="n">
        <v>0.01013888888888889</v>
      </c>
      <c r="I93" s="75" t="n">
        <v>0.003506944444444444</v>
      </c>
      <c r="J93" s="75" t="n">
        <v>0.007777777777777778</v>
      </c>
      <c r="K93" s="75" t="n">
        <v>0.015</v>
      </c>
      <c r="L93" s="75" t="n">
        <v>0.01266203703703704</v>
      </c>
      <c r="M93" s="75" t="n">
        <v>0.008240740740740741</v>
      </c>
      <c r="N93" s="75" t="n">
        <v>0.01290509259259259</v>
      </c>
      <c r="O93" s="75" t="n">
        <v>0.01049768518518518</v>
      </c>
      <c r="P93" s="75" t="n">
        <v>0.01508101851851852</v>
      </c>
    </row>
    <row r="94" ht="15.75" customHeight="1" s="45">
      <c r="A94" s="76" t="n">
        <v>46149</v>
      </c>
      <c r="B94" s="77" t="inlineStr">
        <is>
          <t>Antes-Projeto</t>
        </is>
      </c>
      <c r="C94" s="78" t="inlineStr">
        <is>
          <t>Tempo Médio — 🟢 Verde   (hh:mm)</t>
        </is>
      </c>
      <c r="D94" s="79" t="n">
        <v>0.1473032407407407</v>
      </c>
      <c r="E94" s="79" t="n">
        <v>0.1046527777777778</v>
      </c>
      <c r="F94" s="79" t="n">
        <v>0.0758449074074074</v>
      </c>
      <c r="G94" s="79" t="n">
        <v>0.05746527777777777</v>
      </c>
      <c r="H94" s="79" t="n">
        <v>0.1002430555555556</v>
      </c>
      <c r="I94" s="79" t="n">
        <v>0.1145833333333333</v>
      </c>
      <c r="J94" s="79" t="n">
        <v>0.08297453703703704</v>
      </c>
      <c r="K94" s="79" t="n">
        <v>0.1220717592592593</v>
      </c>
      <c r="L94" s="79" t="n">
        <v>0.1053819444444444</v>
      </c>
      <c r="M94" s="79" t="n">
        <v>0.06407407407407407</v>
      </c>
      <c r="N94" s="79" t="n">
        <v>0.1445023148148148</v>
      </c>
      <c r="O94" s="79" t="n">
        <v>0.1293518518518519</v>
      </c>
      <c r="P94" s="79" t="n">
        <v>0.1190740740740741</v>
      </c>
    </row>
    <row r="95" ht="15.75" customHeight="1" s="45">
      <c r="A95" s="57" t="n">
        <v>46150</v>
      </c>
      <c r="B95" s="58" t="inlineStr">
        <is>
          <t>Antes-Projeto</t>
        </is>
      </c>
      <c r="C95" s="59" t="inlineStr">
        <is>
          <t>Acolhim. + Atend. Urgência + Atend. UPA</t>
        </is>
      </c>
      <c r="D95" s="60">
        <f>SUM(D96:D98)</f>
        <v/>
      </c>
      <c r="E95" s="60">
        <f>SUM(E96:E98)</f>
        <v/>
      </c>
      <c r="F95" s="60">
        <f>SUM(F96:F98)</f>
        <v/>
      </c>
      <c r="G95" s="60">
        <f>SUM(G96:G98)</f>
        <v/>
      </c>
      <c r="H95" s="60">
        <f>SUM(H96:H98)</f>
        <v/>
      </c>
      <c r="I95" s="60">
        <f>SUM(I96:I98)</f>
        <v/>
      </c>
      <c r="J95" s="60">
        <f>SUM(J96:J98)</f>
        <v/>
      </c>
      <c r="K95" s="60">
        <f>SUM(K96:K98)</f>
        <v/>
      </c>
      <c r="L95" s="60">
        <f>SUM(L96:L98)</f>
        <v/>
      </c>
      <c r="M95" s="60">
        <f>SUM(M96:M98)</f>
        <v/>
      </c>
      <c r="N95" s="60">
        <f>SUM(N96:N98)</f>
        <v/>
      </c>
      <c r="O95" s="60">
        <f>SUM(O96:O98)</f>
        <v/>
      </c>
      <c r="P95" s="60">
        <f>SUM(P96:P98)</f>
        <v/>
      </c>
    </row>
    <row r="96" ht="15.75" customHeight="1" s="45">
      <c r="A96" s="61" t="n">
        <v>46150</v>
      </c>
      <c r="B96" s="62" t="inlineStr">
        <is>
          <t>Antes-Projeto</t>
        </is>
      </c>
      <c r="C96" s="65" t="inlineStr">
        <is>
          <t>Acolhimento c/ Classif. de Risco</t>
        </is>
      </c>
      <c r="D96" s="66" t="n">
        <v>224</v>
      </c>
      <c r="E96" s="66" t="n">
        <v>143</v>
      </c>
      <c r="F96" s="66" t="n">
        <v>125</v>
      </c>
      <c r="G96" s="66" t="n">
        <v>118</v>
      </c>
      <c r="H96" s="66" t="n">
        <v>120</v>
      </c>
      <c r="I96" s="66" t="n">
        <v>194</v>
      </c>
      <c r="J96" s="66" t="n">
        <v>104</v>
      </c>
      <c r="K96" s="66" t="n">
        <v>274</v>
      </c>
      <c r="L96" s="66" t="n">
        <v>113</v>
      </c>
      <c r="M96" s="66" t="n">
        <v>240</v>
      </c>
      <c r="N96" s="66" t="n">
        <v>169</v>
      </c>
      <c r="O96" s="66" t="n">
        <v>263</v>
      </c>
      <c r="P96" s="66" t="n">
        <v>214</v>
      </c>
    </row>
    <row r="97" ht="15.75" customHeight="1" s="45">
      <c r="A97" s="61" t="n">
        <v>46150</v>
      </c>
      <c r="B97" s="62" t="inlineStr">
        <is>
          <t>Antes-Projeto</t>
        </is>
      </c>
      <c r="C97" s="63" t="inlineStr">
        <is>
          <t>Atend. Urgência Obs. ≤ 24h</t>
        </is>
      </c>
      <c r="D97" s="64" t="n">
        <v>28</v>
      </c>
      <c r="E97" s="64" t="n">
        <v>78</v>
      </c>
      <c r="F97" s="64" t="n">
        <v>30</v>
      </c>
      <c r="G97" s="64" t="n">
        <v>62</v>
      </c>
      <c r="H97" s="64" t="n">
        <v>25</v>
      </c>
      <c r="I97" s="64" t="n">
        <v>43</v>
      </c>
      <c r="J97" s="64" t="n">
        <v>29</v>
      </c>
      <c r="K97" s="64" t="n">
        <v>54</v>
      </c>
      <c r="L97" s="64" t="n">
        <v>28</v>
      </c>
      <c r="M97" s="64" t="n">
        <v>27</v>
      </c>
      <c r="N97" s="64" t="n">
        <v>38</v>
      </c>
      <c r="O97" s="64" t="n">
        <v>15</v>
      </c>
      <c r="P97" s="64" t="n">
        <v>74</v>
      </c>
    </row>
    <row r="98" ht="15.75" customHeight="1" s="45">
      <c r="A98" s="61" t="n">
        <v>46150</v>
      </c>
      <c r="B98" s="62" t="inlineStr">
        <is>
          <t>Antes-Projeto</t>
        </is>
      </c>
      <c r="C98" s="65" t="inlineStr">
        <is>
          <t>Atend. Médico em UPA</t>
        </is>
      </c>
      <c r="D98" s="66" t="n">
        <v>196</v>
      </c>
      <c r="E98" s="66" t="n">
        <v>36</v>
      </c>
      <c r="F98" s="66" t="n">
        <v>61</v>
      </c>
      <c r="G98" s="66" t="n">
        <v>96</v>
      </c>
      <c r="H98" s="66" t="n">
        <v>92</v>
      </c>
      <c r="I98" s="66" t="n">
        <v>163</v>
      </c>
      <c r="J98" s="66" t="n">
        <v>89</v>
      </c>
      <c r="K98" s="66" t="n">
        <v>174</v>
      </c>
      <c r="L98" s="66" t="n">
        <v>85</v>
      </c>
      <c r="M98" s="66" t="n">
        <v>155</v>
      </c>
      <c r="N98" s="66" t="n">
        <v>180</v>
      </c>
      <c r="O98" s="66" t="n">
        <v>215</v>
      </c>
      <c r="P98" s="66" t="n">
        <v>149</v>
      </c>
    </row>
    <row r="99" ht="15.75" customHeight="1" s="45">
      <c r="A99" s="61" t="n">
        <v>46150</v>
      </c>
      <c r="B99" s="62" t="inlineStr">
        <is>
          <t>Antes-Projeto</t>
        </is>
      </c>
      <c r="C99" s="63" t="inlineStr">
        <is>
          <t>Exames Laboratoriais</t>
        </is>
      </c>
      <c r="D99" s="64" t="n">
        <v>679</v>
      </c>
      <c r="E99" s="64" t="n">
        <v>369</v>
      </c>
      <c r="F99" s="64" t="n">
        <v>381</v>
      </c>
      <c r="G99" s="64" t="n">
        <v>454</v>
      </c>
      <c r="H99" s="64" t="n">
        <v>319</v>
      </c>
      <c r="I99" s="64" t="n">
        <v>421</v>
      </c>
      <c r="J99" s="64" t="n">
        <v>389</v>
      </c>
      <c r="K99" s="64" t="n">
        <v>872</v>
      </c>
      <c r="L99" s="64" t="n">
        <v>536</v>
      </c>
      <c r="M99" s="64" t="n">
        <v>629</v>
      </c>
      <c r="N99" s="64" t="n">
        <v>520</v>
      </c>
      <c r="O99" s="64" t="n">
        <v>302</v>
      </c>
      <c r="P99" s="64" t="n">
        <v>566</v>
      </c>
    </row>
    <row r="100" ht="15.75" customHeight="1" s="45">
      <c r="A100" s="61" t="n">
        <v>46150</v>
      </c>
      <c r="B100" s="62" t="inlineStr">
        <is>
          <t>Antes-Projeto</t>
        </is>
      </c>
      <c r="C100" s="65" t="inlineStr">
        <is>
          <t>Radiografias</t>
        </is>
      </c>
      <c r="D100" s="66" t="n">
        <v>28</v>
      </c>
      <c r="E100" s="66" t="n">
        <v>19</v>
      </c>
      <c r="F100" s="66" t="n">
        <v>14</v>
      </c>
      <c r="G100" s="67" t="n">
        <v>0</v>
      </c>
      <c r="H100" s="66" t="n">
        <v>12</v>
      </c>
      <c r="I100" s="66" t="n">
        <v>23</v>
      </c>
      <c r="J100" s="66" t="n">
        <v>11</v>
      </c>
      <c r="K100" s="66" t="n">
        <v>29</v>
      </c>
      <c r="L100" s="66" t="n">
        <v>16</v>
      </c>
      <c r="M100" s="66" t="n">
        <v>48</v>
      </c>
      <c r="N100" s="66" t="n">
        <v>31</v>
      </c>
      <c r="O100" s="66" t="n">
        <v>31</v>
      </c>
      <c r="P100" s="66" t="n">
        <v>52</v>
      </c>
    </row>
    <row r="101" ht="15.75" customHeight="1" s="45">
      <c r="A101" s="61" t="n">
        <v>46150</v>
      </c>
      <c r="B101" s="62" t="inlineStr">
        <is>
          <t>Antes-Projeto</t>
        </is>
      </c>
      <c r="C101" s="63" t="inlineStr">
        <is>
          <t>Eletrocardiogramas</t>
        </is>
      </c>
      <c r="D101" s="64" t="n">
        <v>13</v>
      </c>
      <c r="E101" s="64" t="n">
        <v>6</v>
      </c>
      <c r="F101" s="64" t="n">
        <v>17</v>
      </c>
      <c r="G101" s="64" t="n">
        <v>14</v>
      </c>
      <c r="H101" s="64" t="n">
        <v>3</v>
      </c>
      <c r="I101" s="64" t="n">
        <v>9</v>
      </c>
      <c r="J101" s="64" t="n">
        <v>8</v>
      </c>
      <c r="K101" s="64" t="n">
        <v>14</v>
      </c>
      <c r="L101" s="64" t="n">
        <v>9</v>
      </c>
      <c r="M101" s="64" t="n">
        <v>20</v>
      </c>
      <c r="N101" s="64" t="n">
        <v>23</v>
      </c>
      <c r="O101" s="64" t="n">
        <v>17</v>
      </c>
      <c r="P101" s="64" t="n">
        <v>17</v>
      </c>
    </row>
    <row r="102" ht="15.75" customHeight="1" s="45">
      <c r="A102" s="61" t="n">
        <v>46150</v>
      </c>
      <c r="B102" s="62" t="inlineStr">
        <is>
          <t>Antes-Projeto</t>
        </is>
      </c>
      <c r="C102" s="68" t="inlineStr">
        <is>
          <t>GAEs Abertas</t>
        </is>
      </c>
      <c r="D102" s="69" t="n">
        <v>237</v>
      </c>
      <c r="E102" s="69" t="n">
        <v>154</v>
      </c>
      <c r="F102" s="69" t="n">
        <v>133</v>
      </c>
      <c r="G102" s="69" t="n">
        <v>120</v>
      </c>
      <c r="H102" s="69" t="n">
        <v>126</v>
      </c>
      <c r="I102" s="69" t="n">
        <v>211</v>
      </c>
      <c r="J102" s="69" t="n">
        <v>107</v>
      </c>
      <c r="K102" s="69" t="n">
        <v>278</v>
      </c>
      <c r="L102" s="69" t="n">
        <v>121</v>
      </c>
      <c r="M102" s="69" t="n">
        <v>248</v>
      </c>
      <c r="N102" s="69" t="n">
        <v>188</v>
      </c>
      <c r="O102" s="69" t="n">
        <v>270</v>
      </c>
      <c r="P102" s="69" t="n">
        <v>220</v>
      </c>
    </row>
    <row r="103" ht="15.75" customHeight="1" s="45">
      <c r="A103" s="61" t="n">
        <v>46150</v>
      </c>
      <c r="B103" s="62" t="inlineStr">
        <is>
          <t>Antes-Projeto</t>
        </is>
      </c>
      <c r="C103" s="68" t="inlineStr">
        <is>
          <t>GAEs Classificadas</t>
        </is>
      </c>
      <c r="D103" s="69" t="n">
        <v>224</v>
      </c>
      <c r="E103" s="69" t="n">
        <v>144</v>
      </c>
      <c r="F103" s="69" t="n">
        <v>126</v>
      </c>
      <c r="G103" s="69" t="n">
        <v>118</v>
      </c>
      <c r="H103" s="69" t="n">
        <v>118</v>
      </c>
      <c r="I103" s="69" t="n">
        <v>194</v>
      </c>
      <c r="J103" s="69" t="n">
        <v>104</v>
      </c>
      <c r="K103" s="69" t="n">
        <v>270</v>
      </c>
      <c r="L103" s="69" t="n">
        <v>113</v>
      </c>
      <c r="M103" s="69" t="n">
        <v>239</v>
      </c>
      <c r="N103" s="69" t="n">
        <v>169</v>
      </c>
      <c r="O103" s="69" t="n">
        <v>262</v>
      </c>
      <c r="P103" s="69" t="n">
        <v>215</v>
      </c>
    </row>
    <row r="104" ht="15.75" customHeight="1" s="45">
      <c r="A104" s="61" t="n">
        <v>46150</v>
      </c>
      <c r="B104" s="62" t="inlineStr">
        <is>
          <t>Antes-Projeto</t>
        </is>
      </c>
      <c r="C104" s="70" t="inlineStr">
        <is>
          <t>Percentual de GAEs abertas classificadas</t>
        </is>
      </c>
      <c r="D104" s="71">
        <f>IFERROR(D103/D102,"-")</f>
        <v/>
      </c>
      <c r="E104" s="71">
        <f>IFERROR(E103/E102,"-")</f>
        <v/>
      </c>
      <c r="F104" s="71">
        <f>IFERROR(F103/F102,"-")</f>
        <v/>
      </c>
      <c r="G104" s="71">
        <f>IFERROR(G103/G102,"-")</f>
        <v/>
      </c>
      <c r="H104" s="71">
        <f>IFERROR(H103/H102,"-")</f>
        <v/>
      </c>
      <c r="I104" s="71">
        <f>IFERROR(I103/I102,"-")</f>
        <v/>
      </c>
      <c r="J104" s="71">
        <f>IFERROR(J103/J102,"-")</f>
        <v/>
      </c>
      <c r="K104" s="71">
        <f>IFERROR(K103/K102,"-")</f>
        <v/>
      </c>
      <c r="L104" s="71">
        <f>IFERROR(L103/L102,"-")</f>
        <v/>
      </c>
      <c r="M104" s="71">
        <f>IFERROR(M103/M102,"-")</f>
        <v/>
      </c>
      <c r="N104" s="71">
        <f>IFERROR(N103/N102,"-")</f>
        <v/>
      </c>
      <c r="O104" s="71">
        <f>IFERROR(O103/O102,"-")</f>
        <v/>
      </c>
      <c r="P104" s="71">
        <f>IFERROR(P103/P102,"-")</f>
        <v/>
      </c>
    </row>
    <row r="105" ht="15.75" customHeight="1" s="45">
      <c r="A105" s="61" t="n">
        <v>46150</v>
      </c>
      <c r="B105" s="62" t="inlineStr">
        <is>
          <t>Antes-Projeto</t>
        </is>
      </c>
      <c r="C105" s="72" t="inlineStr">
        <is>
          <t>Tempo Médio — 🟡 Amarelo (hh:mm)</t>
        </is>
      </c>
      <c r="D105" s="73" t="n">
        <v>0.03695601851851852</v>
      </c>
      <c r="E105" s="73" t="n">
        <v>0.1037615740740741</v>
      </c>
      <c r="F105" s="73" t="n">
        <v>0.06554398148148148</v>
      </c>
      <c r="G105" s="73" t="n">
        <v>0.07862268518518518</v>
      </c>
      <c r="H105" s="73" t="n">
        <v>0.0515625</v>
      </c>
      <c r="I105" s="73" t="n">
        <v>0.03689814814814815</v>
      </c>
      <c r="J105" s="73" t="n">
        <v>0.06679398148148148</v>
      </c>
      <c r="K105" s="73" t="n">
        <v>0.1039351851851852</v>
      </c>
      <c r="L105" s="73" t="n">
        <v>0.1083564814814815</v>
      </c>
      <c r="M105" s="73" t="n">
        <v>0.03487268518518519</v>
      </c>
      <c r="N105" s="73" t="n">
        <v>0.07403935185185186</v>
      </c>
      <c r="O105" s="73" t="n">
        <v>0.08730324074074074</v>
      </c>
      <c r="P105" s="73" t="n">
        <v>0.05990740740740741</v>
      </c>
    </row>
    <row r="106" ht="15.75" customHeight="1" s="45">
      <c r="A106" s="61" t="n">
        <v>46150</v>
      </c>
      <c r="B106" s="62" t="inlineStr">
        <is>
          <t>Antes-Projeto</t>
        </is>
      </c>
      <c r="C106" s="74" t="inlineStr">
        <is>
          <t>Tempo Médio — 🟠 Laranja (hh:mm)</t>
        </is>
      </c>
      <c r="D106" s="75" t="n">
        <v>0.0071875</v>
      </c>
      <c r="E106" s="75" t="n">
        <v>0.01771990740740741</v>
      </c>
      <c r="F106" s="75" t="n">
        <v>0.01663194444444445</v>
      </c>
      <c r="G106" s="75" t="n">
        <v>0.009259259259259259</v>
      </c>
      <c r="H106" s="75" t="n"/>
      <c r="I106" s="75" t="n">
        <v>0.006712962962962963</v>
      </c>
      <c r="J106" s="75" t="n">
        <v>0.009976851851851851</v>
      </c>
      <c r="K106" s="75" t="n">
        <v>0.0162037037037037</v>
      </c>
      <c r="L106" s="75" t="n">
        <v>0.0137037037037037</v>
      </c>
      <c r="M106" s="75" t="n">
        <v>0.01291666666666667</v>
      </c>
      <c r="N106" s="75" t="n">
        <v>0.01572916666666667</v>
      </c>
      <c r="O106" s="75" t="n">
        <v>0.01085648148148148</v>
      </c>
      <c r="P106" s="75" t="n">
        <v>0.03513888888888889</v>
      </c>
    </row>
    <row r="107" ht="15.75" customHeight="1" s="45">
      <c r="A107" s="76" t="n">
        <v>46150</v>
      </c>
      <c r="B107" s="77" t="inlineStr">
        <is>
          <t>Antes-Projeto</t>
        </is>
      </c>
      <c r="C107" s="78" t="inlineStr">
        <is>
          <t>Tempo Médio — 🟢 Verde   (hh:mm)</t>
        </is>
      </c>
      <c r="D107" s="79" t="n">
        <v>0.05700231481481482</v>
      </c>
      <c r="E107" s="79" t="n">
        <v>0.1901388888888889</v>
      </c>
      <c r="F107" s="79" t="n">
        <v>0.06824074074074074</v>
      </c>
      <c r="G107" s="79" t="n">
        <v>0.1562037037037037</v>
      </c>
      <c r="H107" s="79" t="n">
        <v>0.1486342592592593</v>
      </c>
      <c r="I107" s="79" t="n">
        <v>0.1028009259259259</v>
      </c>
      <c r="J107" s="79" t="n">
        <v>0.09063657407407408</v>
      </c>
      <c r="K107" s="79" t="n">
        <v>0.1041666666666667</v>
      </c>
      <c r="L107" s="79" t="n">
        <v>0.1162268518518518</v>
      </c>
      <c r="M107" s="79" t="n">
        <v>0.03791666666666667</v>
      </c>
      <c r="N107" s="79" t="n">
        <v>0.08119212962962963</v>
      </c>
      <c r="O107" s="79" t="n">
        <v>0.1436921296296296</v>
      </c>
      <c r="P107" s="79" t="n">
        <v>0.08929398148148149</v>
      </c>
    </row>
    <row r="108" ht="15.75" customHeight="1" s="45">
      <c r="A108" s="57" t="n">
        <v>46151</v>
      </c>
      <c r="B108" s="58" t="inlineStr">
        <is>
          <t>Antes-Projeto</t>
        </is>
      </c>
      <c r="C108" s="59" t="inlineStr">
        <is>
          <t>Acolhim. + Atend. Urgência + Atend. UPA</t>
        </is>
      </c>
      <c r="D108" s="60">
        <f>SUM(D109:D111)</f>
        <v/>
      </c>
      <c r="E108" s="60">
        <f>SUM(E109:E111)</f>
        <v/>
      </c>
      <c r="F108" s="60">
        <f>SUM(F109:F111)</f>
        <v/>
      </c>
      <c r="G108" s="60">
        <f>SUM(G109:G111)</f>
        <v/>
      </c>
      <c r="H108" s="60">
        <f>SUM(H109:H111)</f>
        <v/>
      </c>
      <c r="I108" s="60">
        <f>SUM(I109:I111)</f>
        <v/>
      </c>
      <c r="J108" s="60">
        <f>SUM(J109:J111)</f>
        <v/>
      </c>
      <c r="K108" s="60">
        <f>SUM(K109:K111)</f>
        <v/>
      </c>
      <c r="L108" s="60">
        <f>SUM(L109:L111)</f>
        <v/>
      </c>
      <c r="M108" s="60">
        <f>SUM(M109:M111)</f>
        <v/>
      </c>
      <c r="N108" s="60">
        <f>SUM(N109:N111)</f>
        <v/>
      </c>
      <c r="O108" s="60">
        <f>SUM(O109:O111)</f>
        <v/>
      </c>
      <c r="P108" s="60">
        <f>SUM(P109:P111)</f>
        <v/>
      </c>
    </row>
    <row r="109" ht="15.75" customHeight="1" s="45">
      <c r="A109" s="61" t="n">
        <v>46151</v>
      </c>
      <c r="B109" s="62" t="inlineStr">
        <is>
          <t>Antes-Projeto</t>
        </is>
      </c>
      <c r="C109" s="63" t="inlineStr">
        <is>
          <t>Acolhimento c/ Classif. de Risco</t>
        </is>
      </c>
      <c r="D109" s="64" t="n">
        <v>183</v>
      </c>
      <c r="E109" s="64" t="n">
        <v>117</v>
      </c>
      <c r="F109" s="64" t="n">
        <v>135</v>
      </c>
      <c r="G109" s="64" t="n">
        <v>117</v>
      </c>
      <c r="H109" s="64" t="n">
        <v>105</v>
      </c>
      <c r="I109" s="64" t="n">
        <v>173</v>
      </c>
      <c r="J109" s="64" t="n">
        <v>84</v>
      </c>
      <c r="K109" s="64" t="n">
        <v>252</v>
      </c>
      <c r="L109" s="64" t="n">
        <v>115</v>
      </c>
      <c r="M109" s="64" t="n">
        <v>210</v>
      </c>
      <c r="N109" s="64" t="n">
        <v>168</v>
      </c>
      <c r="O109" s="64" t="n">
        <v>182</v>
      </c>
      <c r="P109" s="64" t="n">
        <v>188</v>
      </c>
    </row>
    <row r="110" ht="15.75" customHeight="1" s="45">
      <c r="A110" s="61" t="n">
        <v>46151</v>
      </c>
      <c r="B110" s="62" t="inlineStr">
        <is>
          <t>Antes-Projeto</t>
        </is>
      </c>
      <c r="C110" s="65" t="inlineStr">
        <is>
          <t>Atend. Urgência Obs. ≤ 24h</t>
        </is>
      </c>
      <c r="D110" s="66" t="n">
        <v>14</v>
      </c>
      <c r="E110" s="66" t="n">
        <v>80</v>
      </c>
      <c r="F110" s="66" t="n">
        <v>29</v>
      </c>
      <c r="G110" s="66" t="n">
        <v>64</v>
      </c>
      <c r="H110" s="66" t="n">
        <v>15</v>
      </c>
      <c r="I110" s="66" t="n">
        <v>22</v>
      </c>
      <c r="J110" s="66" t="n">
        <v>38</v>
      </c>
      <c r="K110" s="66" t="n">
        <v>61</v>
      </c>
      <c r="L110" s="66" t="n">
        <v>38</v>
      </c>
      <c r="M110" s="66" t="n">
        <v>27</v>
      </c>
      <c r="N110" s="66" t="n">
        <v>38</v>
      </c>
      <c r="O110" s="66" t="n">
        <v>16</v>
      </c>
      <c r="P110" s="66" t="n">
        <v>97</v>
      </c>
    </row>
    <row r="111" ht="15.75" customHeight="1" s="45">
      <c r="A111" s="61" t="n">
        <v>46151</v>
      </c>
      <c r="B111" s="62" t="inlineStr">
        <is>
          <t>Antes-Projeto</t>
        </is>
      </c>
      <c r="C111" s="63" t="inlineStr">
        <is>
          <t>Atend. Médico em UPA</t>
        </is>
      </c>
      <c r="D111" s="64" t="n">
        <v>146</v>
      </c>
      <c r="E111" s="64" t="n">
        <v>37</v>
      </c>
      <c r="F111" s="64" t="n">
        <v>73</v>
      </c>
      <c r="G111" s="64" t="n">
        <v>66</v>
      </c>
      <c r="H111" s="64" t="n">
        <v>95</v>
      </c>
      <c r="I111" s="64" t="n">
        <v>129</v>
      </c>
      <c r="J111" s="64" t="n">
        <v>55</v>
      </c>
      <c r="K111" s="64" t="n">
        <v>179</v>
      </c>
      <c r="L111" s="64" t="n">
        <v>91</v>
      </c>
      <c r="M111" s="64" t="n">
        <v>145</v>
      </c>
      <c r="N111" s="64" t="n">
        <v>156</v>
      </c>
      <c r="O111" s="64" t="n">
        <v>88</v>
      </c>
      <c r="P111" s="64" t="n">
        <v>107</v>
      </c>
    </row>
    <row r="112" ht="15.75" customHeight="1" s="45">
      <c r="A112" s="61" t="n">
        <v>46151</v>
      </c>
      <c r="B112" s="62" t="inlineStr">
        <is>
          <t>Antes-Projeto</t>
        </is>
      </c>
      <c r="C112" s="65" t="inlineStr">
        <is>
          <t>Exames Laboratoriais</t>
        </is>
      </c>
      <c r="D112" s="66" t="n">
        <v>534</v>
      </c>
      <c r="E112" s="66" t="n">
        <v>170</v>
      </c>
      <c r="F112" s="66" t="n">
        <v>275</v>
      </c>
      <c r="G112" s="66" t="n">
        <v>381</v>
      </c>
      <c r="H112" s="66" t="n">
        <v>346</v>
      </c>
      <c r="I112" s="66" t="n">
        <v>497</v>
      </c>
      <c r="J112" s="66" t="n">
        <v>288</v>
      </c>
      <c r="K112" s="66" t="n">
        <v>1024</v>
      </c>
      <c r="L112" s="66" t="n">
        <v>440</v>
      </c>
      <c r="M112" s="66" t="n">
        <v>640</v>
      </c>
      <c r="N112" s="66" t="n">
        <v>502</v>
      </c>
      <c r="O112" s="66" t="n">
        <v>327</v>
      </c>
      <c r="P112" s="66" t="n">
        <v>387</v>
      </c>
    </row>
    <row r="113" ht="15.75" customHeight="1" s="45">
      <c r="A113" s="61" t="n">
        <v>46151</v>
      </c>
      <c r="B113" s="62" t="inlineStr">
        <is>
          <t>Antes-Projeto</t>
        </is>
      </c>
      <c r="C113" s="63" t="inlineStr">
        <is>
          <t>Radiografias</t>
        </is>
      </c>
      <c r="D113" s="64" t="n">
        <v>33</v>
      </c>
      <c r="E113" s="64" t="n">
        <v>7</v>
      </c>
      <c r="F113" s="64" t="n">
        <v>19</v>
      </c>
      <c r="G113" s="67" t="n">
        <v>0</v>
      </c>
      <c r="H113" s="64" t="n">
        <v>14</v>
      </c>
      <c r="I113" s="64" t="n">
        <v>29</v>
      </c>
      <c r="J113" s="64" t="n">
        <v>6</v>
      </c>
      <c r="K113" s="64" t="n">
        <v>37</v>
      </c>
      <c r="L113" s="64" t="n">
        <v>5</v>
      </c>
      <c r="M113" s="64" t="n">
        <v>48</v>
      </c>
      <c r="N113" s="64" t="n">
        <v>27</v>
      </c>
      <c r="O113" s="64" t="n">
        <v>31</v>
      </c>
      <c r="P113" s="64" t="n">
        <v>52</v>
      </c>
    </row>
    <row r="114" ht="15.75" customHeight="1" s="45">
      <c r="A114" s="61" t="n">
        <v>46151</v>
      </c>
      <c r="B114" s="62" t="inlineStr">
        <is>
          <t>Antes-Projeto</t>
        </is>
      </c>
      <c r="C114" s="65" t="inlineStr">
        <is>
          <t>Eletrocardiogramas</t>
        </is>
      </c>
      <c r="D114" s="66" t="n">
        <v>10</v>
      </c>
      <c r="E114" s="66" t="n">
        <v>14</v>
      </c>
      <c r="F114" s="66" t="n">
        <v>19</v>
      </c>
      <c r="G114" s="66" t="n">
        <v>14</v>
      </c>
      <c r="H114" s="66" t="n">
        <v>12</v>
      </c>
      <c r="I114" s="66" t="n">
        <v>11</v>
      </c>
      <c r="J114" s="66" t="n">
        <v>8</v>
      </c>
      <c r="K114" s="66" t="n">
        <v>31</v>
      </c>
      <c r="L114" s="66" t="n">
        <v>11</v>
      </c>
      <c r="M114" s="66" t="n">
        <v>18</v>
      </c>
      <c r="N114" s="66" t="n">
        <v>24</v>
      </c>
      <c r="O114" s="66" t="n">
        <v>7</v>
      </c>
      <c r="P114" s="66" t="n">
        <v>13</v>
      </c>
    </row>
    <row r="115" ht="15.75" customHeight="1" s="45">
      <c r="A115" s="61" t="n">
        <v>46151</v>
      </c>
      <c r="B115" s="62" t="inlineStr">
        <is>
          <t>Antes-Projeto</t>
        </is>
      </c>
      <c r="C115" s="68" t="inlineStr">
        <is>
          <t>GAEs Abertas</t>
        </is>
      </c>
      <c r="D115" s="69" t="n">
        <v>191</v>
      </c>
      <c r="E115" s="69" t="n">
        <v>129</v>
      </c>
      <c r="F115" s="69" t="n">
        <v>140</v>
      </c>
      <c r="G115" s="69" t="n">
        <v>118</v>
      </c>
      <c r="H115" s="69" t="n">
        <v>111</v>
      </c>
      <c r="I115" s="69" t="n">
        <v>182</v>
      </c>
      <c r="J115" s="69" t="n">
        <v>89</v>
      </c>
      <c r="K115" s="69" t="n">
        <v>287</v>
      </c>
      <c r="L115" s="69" t="n">
        <v>120</v>
      </c>
      <c r="M115" s="69" t="n">
        <v>223</v>
      </c>
      <c r="N115" s="69" t="n">
        <v>172</v>
      </c>
      <c r="O115" s="69" t="n">
        <v>185</v>
      </c>
      <c r="P115" s="69" t="n">
        <v>200</v>
      </c>
    </row>
    <row r="116" ht="15.75" customHeight="1" s="45">
      <c r="A116" s="61" t="n">
        <v>46151</v>
      </c>
      <c r="B116" s="62" t="inlineStr">
        <is>
          <t>Antes-Projeto</t>
        </is>
      </c>
      <c r="C116" s="68" t="inlineStr">
        <is>
          <t>GAEs Classificadas</t>
        </is>
      </c>
      <c r="D116" s="69" t="n">
        <v>182</v>
      </c>
      <c r="E116" s="69" t="n">
        <v>117</v>
      </c>
      <c r="F116" s="69" t="n">
        <v>136</v>
      </c>
      <c r="G116" s="69" t="n">
        <v>117</v>
      </c>
      <c r="H116" s="69" t="n">
        <v>106</v>
      </c>
      <c r="I116" s="69" t="n">
        <v>173</v>
      </c>
      <c r="J116" s="69" t="n">
        <v>85</v>
      </c>
      <c r="K116" s="69" t="n">
        <v>253</v>
      </c>
      <c r="L116" s="69" t="n">
        <v>117</v>
      </c>
      <c r="M116" s="69" t="n">
        <v>209</v>
      </c>
      <c r="N116" s="69" t="n">
        <v>166</v>
      </c>
      <c r="O116" s="69" t="n">
        <v>182</v>
      </c>
      <c r="P116" s="69" t="n">
        <v>190</v>
      </c>
    </row>
    <row r="117" ht="15.75" customHeight="1" s="45">
      <c r="A117" s="61" t="n">
        <v>46151</v>
      </c>
      <c r="B117" s="62" t="inlineStr">
        <is>
          <t>Antes-Projeto</t>
        </is>
      </c>
      <c r="C117" s="70" t="inlineStr">
        <is>
          <t>Percentual de GAEs abertas classificadas</t>
        </is>
      </c>
      <c r="D117" s="71">
        <f>IFERROR(D116/D115,"-")</f>
        <v/>
      </c>
      <c r="E117" s="71">
        <f>IFERROR(E116/E115,"-")</f>
        <v/>
      </c>
      <c r="F117" s="71">
        <f>IFERROR(F116/F115,"-")</f>
        <v/>
      </c>
      <c r="G117" s="71">
        <f>IFERROR(G116/G115,"-")</f>
        <v/>
      </c>
      <c r="H117" s="71">
        <f>IFERROR(H116/H115,"-")</f>
        <v/>
      </c>
      <c r="I117" s="71">
        <f>IFERROR(I116/I115,"-")</f>
        <v/>
      </c>
      <c r="J117" s="71">
        <f>IFERROR(J116/J115,"-")</f>
        <v/>
      </c>
      <c r="K117" s="71">
        <f>IFERROR(K116/K115,"-")</f>
        <v/>
      </c>
      <c r="L117" s="71">
        <f>IFERROR(L116/L115,"-")</f>
        <v/>
      </c>
      <c r="M117" s="71">
        <f>IFERROR(M116/M115,"-")</f>
        <v/>
      </c>
      <c r="N117" s="71">
        <f>IFERROR(N116/N115,"-")</f>
        <v/>
      </c>
      <c r="O117" s="71">
        <f>IFERROR(O116/O115,"-")</f>
        <v/>
      </c>
      <c r="P117" s="71">
        <f>IFERROR(P116/P115,"-")</f>
        <v/>
      </c>
    </row>
    <row r="118" ht="15.75" customHeight="1" s="45">
      <c r="A118" s="61" t="n">
        <v>46151</v>
      </c>
      <c r="B118" s="62" t="inlineStr">
        <is>
          <t>Antes-Projeto</t>
        </is>
      </c>
      <c r="C118" s="72" t="inlineStr">
        <is>
          <t>Tempo Médio — 🟡 Amarelo (hh:mm)</t>
        </is>
      </c>
      <c r="D118" s="73" t="n">
        <v>0.06668981481481481</v>
      </c>
      <c r="E118" s="73" t="n">
        <v>0.5109027777777778</v>
      </c>
      <c r="F118" s="73" t="n">
        <v>0.0291087962962963</v>
      </c>
      <c r="G118" s="73" t="n">
        <v>0.09840277777777778</v>
      </c>
      <c r="H118" s="73" t="n">
        <v>0.03181712962962963</v>
      </c>
      <c r="I118" s="73" t="n">
        <v>0.06671296296296296</v>
      </c>
      <c r="J118" s="73" t="n">
        <v>0.09399305555555555</v>
      </c>
      <c r="K118" s="73" t="n">
        <v>0.08065972222222222</v>
      </c>
      <c r="L118" s="73" t="n">
        <v>0.07454861111111111</v>
      </c>
      <c r="M118" s="73" t="n">
        <v>0.03221064814814815</v>
      </c>
      <c r="N118" s="73" t="n">
        <v>0.06358796296296296</v>
      </c>
      <c r="O118" s="73" t="n">
        <v>0.05372685185185185</v>
      </c>
      <c r="P118" s="73" t="n">
        <v>0.04081018518518519</v>
      </c>
    </row>
    <row r="119" ht="15.75" customHeight="1" s="45">
      <c r="A119" s="61" t="n">
        <v>46151</v>
      </c>
      <c r="B119" s="62" t="inlineStr">
        <is>
          <t>Antes-Projeto</t>
        </is>
      </c>
      <c r="C119" s="74" t="inlineStr">
        <is>
          <t>Tempo Médio — 🟠 Laranja (hh:mm)</t>
        </is>
      </c>
      <c r="D119" s="75" t="n">
        <v>0.008738425925925926</v>
      </c>
      <c r="E119" s="75" t="n">
        <v>0.01135416666666667</v>
      </c>
      <c r="F119" s="75" t="n">
        <v>0.008113425925925927</v>
      </c>
      <c r="G119" s="75" t="n">
        <v>0.005532407407407408</v>
      </c>
      <c r="H119" s="75" t="n">
        <v>0.006053240740740741</v>
      </c>
      <c r="I119" s="75" t="n">
        <v>0.007662037037037037</v>
      </c>
      <c r="J119" s="75" t="n">
        <v>0.008935185185185185</v>
      </c>
      <c r="K119" s="75" t="n">
        <v>0.01803240740740741</v>
      </c>
      <c r="L119" s="75" t="n">
        <v>0.00880787037037037</v>
      </c>
      <c r="M119" s="75" t="n">
        <v>0.007164351851851851</v>
      </c>
      <c r="N119" s="75" t="n">
        <v>0.008483796296296297</v>
      </c>
      <c r="O119" s="75" t="n">
        <v>0.02221064814814815</v>
      </c>
      <c r="P119" s="75" t="n">
        <v>0.007083333333333333</v>
      </c>
    </row>
    <row r="120" ht="15.75" customHeight="1" s="45">
      <c r="A120" s="76" t="n">
        <v>46151</v>
      </c>
      <c r="B120" s="77" t="inlineStr">
        <is>
          <t>Antes-Projeto</t>
        </is>
      </c>
      <c r="C120" s="78" t="inlineStr">
        <is>
          <t>Tempo Médio — 🟢 Verde   (hh:mm)</t>
        </is>
      </c>
      <c r="D120" s="79" t="n">
        <v>0.1617824074074074</v>
      </c>
      <c r="E120" s="79" t="n">
        <v>0.08555555555555555</v>
      </c>
      <c r="F120" s="79" t="n">
        <v>0.03575231481481481</v>
      </c>
      <c r="G120" s="79" t="n">
        <v>0.2398032407407407</v>
      </c>
      <c r="H120" s="79" t="n">
        <v>0.1313194444444444</v>
      </c>
      <c r="I120" s="79" t="n">
        <v>0.1283101851851852</v>
      </c>
      <c r="J120" s="79" t="n">
        <v>0.1757523148148148</v>
      </c>
      <c r="K120" s="79" t="n">
        <v>0.1117592592592593</v>
      </c>
      <c r="L120" s="79" t="n">
        <v>0.1152083333333333</v>
      </c>
      <c r="M120" s="79" t="n">
        <v>0.07075231481481481</v>
      </c>
      <c r="N120" s="79" t="n">
        <v>0.1595833333333333</v>
      </c>
      <c r="O120" s="79" t="n">
        <v>0.1101967592592593</v>
      </c>
      <c r="P120" s="79" t="n">
        <v>0.08511574074074074</v>
      </c>
    </row>
    <row r="121" ht="15.75" customHeight="1" s="45">
      <c r="A121" s="57" t="n">
        <v>46152</v>
      </c>
      <c r="B121" s="58" t="inlineStr">
        <is>
          <t>Antes-Projeto</t>
        </is>
      </c>
      <c r="C121" s="59" t="inlineStr">
        <is>
          <t>Acolhim. + Atend. Urgência + Atend. UPA</t>
        </is>
      </c>
      <c r="D121" s="60">
        <f>SUM(D122:D124)</f>
        <v/>
      </c>
      <c r="E121" s="60">
        <f>SUM(E122:E124)</f>
        <v/>
      </c>
      <c r="F121" s="60">
        <f>SUM(F122:F124)</f>
        <v/>
      </c>
      <c r="G121" s="60">
        <f>SUM(G122:G124)</f>
        <v/>
      </c>
      <c r="H121" s="60">
        <f>SUM(H122:H124)</f>
        <v/>
      </c>
      <c r="I121" s="60">
        <f>SUM(I122:I124)</f>
        <v/>
      </c>
      <c r="J121" s="60">
        <f>SUM(J122:J124)</f>
        <v/>
      </c>
      <c r="K121" s="60">
        <f>SUM(K122:K124)</f>
        <v/>
      </c>
      <c r="L121" s="60">
        <f>SUM(L122:L124)</f>
        <v/>
      </c>
      <c r="M121" s="60">
        <f>SUM(M122:M124)</f>
        <v/>
      </c>
      <c r="N121" s="60">
        <f>SUM(N122:N124)</f>
        <v/>
      </c>
      <c r="O121" s="60">
        <f>SUM(O122:O124)</f>
        <v/>
      </c>
      <c r="P121" s="60">
        <f>SUM(P122:P124)</f>
        <v/>
      </c>
    </row>
    <row r="122" ht="15.75" customHeight="1" s="45">
      <c r="A122" s="61" t="n">
        <v>46152</v>
      </c>
      <c r="B122" s="62" t="inlineStr">
        <is>
          <t>Antes-Projeto</t>
        </is>
      </c>
      <c r="C122" s="65" t="inlineStr">
        <is>
          <t>Acolhimento c/ Classif. de Risco</t>
        </is>
      </c>
      <c r="D122" s="66" t="n">
        <v>173</v>
      </c>
      <c r="E122" s="66" t="n">
        <v>75</v>
      </c>
      <c r="F122" s="66" t="n">
        <v>116</v>
      </c>
      <c r="G122" s="66" t="n">
        <v>100</v>
      </c>
      <c r="H122" s="66" t="n">
        <v>79</v>
      </c>
      <c r="I122" s="66" t="n">
        <v>126</v>
      </c>
      <c r="J122" s="66" t="n">
        <v>73</v>
      </c>
      <c r="K122" s="66" t="n">
        <v>193</v>
      </c>
      <c r="L122" s="66" t="n">
        <v>83</v>
      </c>
      <c r="M122" s="66" t="n">
        <v>209</v>
      </c>
      <c r="N122" s="66" t="n">
        <v>142</v>
      </c>
      <c r="O122" s="66" t="n">
        <v>183</v>
      </c>
      <c r="P122" s="66" t="n">
        <v>201</v>
      </c>
    </row>
    <row r="123" ht="15.75" customHeight="1" s="45">
      <c r="A123" s="61" t="n">
        <v>46152</v>
      </c>
      <c r="B123" s="62" t="inlineStr">
        <is>
          <t>Antes-Projeto</t>
        </is>
      </c>
      <c r="C123" s="63" t="inlineStr">
        <is>
          <t>Atend. Urgência Obs. ≤ 24h</t>
        </is>
      </c>
      <c r="D123" s="64" t="n">
        <v>6</v>
      </c>
      <c r="E123" s="64" t="n">
        <v>55</v>
      </c>
      <c r="F123" s="64" t="n">
        <v>23</v>
      </c>
      <c r="G123" s="64" t="n">
        <v>63</v>
      </c>
      <c r="H123" s="64" t="n">
        <v>12</v>
      </c>
      <c r="I123" s="64" t="n">
        <v>28</v>
      </c>
      <c r="J123" s="64" t="n">
        <v>40</v>
      </c>
      <c r="K123" s="64" t="n">
        <v>63</v>
      </c>
      <c r="L123" s="64" t="n">
        <v>47</v>
      </c>
      <c r="M123" s="64" t="n">
        <v>27</v>
      </c>
      <c r="N123" s="64" t="n">
        <v>28</v>
      </c>
      <c r="O123" s="64" t="n">
        <v>21</v>
      </c>
      <c r="P123" s="64" t="n">
        <v>13</v>
      </c>
    </row>
    <row r="124" ht="15.75" customHeight="1" s="45">
      <c r="A124" s="61" t="n">
        <v>46152</v>
      </c>
      <c r="B124" s="62" t="inlineStr">
        <is>
          <t>Antes-Projeto</t>
        </is>
      </c>
      <c r="C124" s="65" t="inlineStr">
        <is>
          <t>Atend. Médico em UPA</t>
        </is>
      </c>
      <c r="D124" s="66" t="n">
        <v>137</v>
      </c>
      <c r="E124" s="66" t="n">
        <v>14</v>
      </c>
      <c r="F124" s="66" t="n">
        <v>57</v>
      </c>
      <c r="G124" s="66" t="n">
        <v>53</v>
      </c>
      <c r="H124" s="66" t="n">
        <v>39</v>
      </c>
      <c r="I124" s="66" t="n">
        <v>111</v>
      </c>
      <c r="J124" s="66" t="n">
        <v>71</v>
      </c>
      <c r="K124" s="66" t="n">
        <v>101</v>
      </c>
      <c r="L124" s="66" t="n">
        <v>50</v>
      </c>
      <c r="M124" s="66" t="n">
        <v>130</v>
      </c>
      <c r="N124" s="66" t="n">
        <v>117</v>
      </c>
      <c r="O124" s="66" t="n">
        <v>172</v>
      </c>
      <c r="P124" s="66" t="n">
        <v>123</v>
      </c>
    </row>
    <row r="125" ht="15.75" customHeight="1" s="45">
      <c r="A125" s="61" t="n">
        <v>46152</v>
      </c>
      <c r="B125" s="62" t="inlineStr">
        <is>
          <t>Antes-Projeto</t>
        </is>
      </c>
      <c r="C125" s="63" t="inlineStr">
        <is>
          <t>Exames Laboratoriais</t>
        </is>
      </c>
      <c r="D125" s="64" t="n">
        <v>417</v>
      </c>
      <c r="E125" s="64" t="n">
        <v>283</v>
      </c>
      <c r="F125" s="64" t="n">
        <v>420</v>
      </c>
      <c r="G125" s="64" t="n">
        <v>406</v>
      </c>
      <c r="H125" s="64" t="n">
        <v>253</v>
      </c>
      <c r="I125" s="64" t="n">
        <v>579</v>
      </c>
      <c r="J125" s="64" t="n">
        <v>274</v>
      </c>
      <c r="K125" s="64" t="n">
        <v>652</v>
      </c>
      <c r="L125" s="64" t="n">
        <v>553</v>
      </c>
      <c r="M125" s="64" t="n">
        <v>474</v>
      </c>
      <c r="N125" s="64" t="n">
        <v>527</v>
      </c>
      <c r="O125" s="64" t="n">
        <v>553</v>
      </c>
      <c r="P125" s="64" t="n">
        <v>487</v>
      </c>
    </row>
    <row r="126" ht="15.75" customHeight="1" s="45">
      <c r="A126" s="61" t="n">
        <v>46152</v>
      </c>
      <c r="B126" s="62" t="inlineStr">
        <is>
          <t>Antes-Projeto</t>
        </is>
      </c>
      <c r="C126" s="65" t="inlineStr">
        <is>
          <t>Radiografias</t>
        </is>
      </c>
      <c r="D126" s="66" t="n">
        <v>27</v>
      </c>
      <c r="E126" s="66" t="n">
        <v>3</v>
      </c>
      <c r="F126" s="66" t="n">
        <v>14</v>
      </c>
      <c r="G126" s="67" t="n">
        <v>0</v>
      </c>
      <c r="H126" s="66" t="n">
        <v>10</v>
      </c>
      <c r="I126" s="66" t="n">
        <v>39</v>
      </c>
      <c r="J126" s="66" t="n">
        <v>16</v>
      </c>
      <c r="K126" s="66" t="n">
        <v>19</v>
      </c>
      <c r="L126" s="67" t="n">
        <v>0</v>
      </c>
      <c r="M126" s="66" t="n">
        <v>37</v>
      </c>
      <c r="N126" s="66" t="n">
        <v>18</v>
      </c>
      <c r="O126" s="66" t="n">
        <v>7</v>
      </c>
      <c r="P126" s="66" t="n">
        <v>45</v>
      </c>
    </row>
    <row r="127" ht="15.75" customHeight="1" s="45">
      <c r="A127" s="61" t="n">
        <v>46152</v>
      </c>
      <c r="B127" s="62" t="inlineStr">
        <is>
          <t>Antes-Projeto</t>
        </is>
      </c>
      <c r="C127" s="63" t="inlineStr">
        <is>
          <t>Eletrocardiogramas</t>
        </is>
      </c>
      <c r="D127" s="64" t="n">
        <v>20</v>
      </c>
      <c r="E127" s="64" t="n">
        <v>4</v>
      </c>
      <c r="F127" s="64" t="n">
        <v>9</v>
      </c>
      <c r="G127" s="64" t="n">
        <v>7</v>
      </c>
      <c r="H127" s="64" t="n">
        <v>6</v>
      </c>
      <c r="I127" s="64" t="n">
        <v>14</v>
      </c>
      <c r="J127" s="64" t="n">
        <v>4</v>
      </c>
      <c r="K127" s="64" t="n">
        <v>13</v>
      </c>
      <c r="L127" s="64" t="n">
        <v>6</v>
      </c>
      <c r="M127" s="64" t="n">
        <v>22</v>
      </c>
      <c r="N127" s="64" t="n">
        <v>16</v>
      </c>
      <c r="O127" s="64" t="n">
        <v>11</v>
      </c>
      <c r="P127" s="64" t="n">
        <v>22</v>
      </c>
    </row>
    <row r="128" ht="15.75" customHeight="1" s="45">
      <c r="A128" s="61" t="n">
        <v>46152</v>
      </c>
      <c r="B128" s="62" t="inlineStr">
        <is>
          <t>Antes-Projeto</t>
        </is>
      </c>
      <c r="C128" s="68" t="inlineStr">
        <is>
          <t>GAEs Abertas</t>
        </is>
      </c>
      <c r="D128" s="69" t="n">
        <v>194</v>
      </c>
      <c r="E128" s="69" t="n">
        <v>102</v>
      </c>
      <c r="F128" s="69" t="n">
        <v>117</v>
      </c>
      <c r="G128" s="69" t="n">
        <v>115</v>
      </c>
      <c r="H128" s="69" t="n">
        <v>81</v>
      </c>
      <c r="I128" s="69" t="n">
        <v>132</v>
      </c>
      <c r="J128" s="69" t="n">
        <v>75</v>
      </c>
      <c r="K128" s="69" t="n">
        <v>212</v>
      </c>
      <c r="L128" s="69" t="n">
        <v>86</v>
      </c>
      <c r="M128" s="69" t="n">
        <v>214</v>
      </c>
      <c r="N128" s="69" t="n">
        <v>145</v>
      </c>
      <c r="O128" s="69" t="n">
        <v>201</v>
      </c>
      <c r="P128" s="69" t="n">
        <v>204</v>
      </c>
    </row>
    <row r="129" ht="15.75" customHeight="1" s="45">
      <c r="A129" s="61" t="n">
        <v>46152</v>
      </c>
      <c r="B129" s="62" t="inlineStr">
        <is>
          <t>Antes-Projeto</t>
        </is>
      </c>
      <c r="C129" s="68" t="inlineStr">
        <is>
          <t>GAEs Classificadas</t>
        </is>
      </c>
      <c r="D129" s="69" t="n">
        <v>180</v>
      </c>
      <c r="E129" s="69" t="n">
        <v>74</v>
      </c>
      <c r="F129" s="69" t="n">
        <v>115</v>
      </c>
      <c r="G129" s="69" t="n">
        <v>102</v>
      </c>
      <c r="H129" s="69" t="n">
        <v>80</v>
      </c>
      <c r="I129" s="69" t="n">
        <v>126</v>
      </c>
      <c r="J129" s="69" t="n">
        <v>74</v>
      </c>
      <c r="K129" s="69" t="n">
        <v>192</v>
      </c>
      <c r="L129" s="69" t="n">
        <v>81</v>
      </c>
      <c r="M129" s="69" t="n">
        <v>207</v>
      </c>
      <c r="N129" s="69" t="n">
        <v>141</v>
      </c>
      <c r="O129" s="69" t="n">
        <v>185</v>
      </c>
      <c r="P129" s="69" t="n">
        <v>197</v>
      </c>
    </row>
    <row r="130" ht="15.75" customHeight="1" s="45">
      <c r="A130" s="61" t="n">
        <v>46152</v>
      </c>
      <c r="B130" s="62" t="inlineStr">
        <is>
          <t>Antes-Projeto</t>
        </is>
      </c>
      <c r="C130" s="70" t="inlineStr">
        <is>
          <t>Percentual de GAEs abertas classificadas</t>
        </is>
      </c>
      <c r="D130" s="71">
        <f>IFERROR(D129/D128,"-")</f>
        <v/>
      </c>
      <c r="E130" s="71">
        <f>IFERROR(E129/E128,"-")</f>
        <v/>
      </c>
      <c r="F130" s="71">
        <f>IFERROR(F129/F128,"-")</f>
        <v/>
      </c>
      <c r="G130" s="71">
        <f>IFERROR(G129/G128,"-")</f>
        <v/>
      </c>
      <c r="H130" s="71">
        <f>IFERROR(H129/H128,"-")</f>
        <v/>
      </c>
      <c r="I130" s="71">
        <f>IFERROR(I129/I128,"-")</f>
        <v/>
      </c>
      <c r="J130" s="71">
        <f>IFERROR(J129/J128,"-")</f>
        <v/>
      </c>
      <c r="K130" s="71">
        <f>IFERROR(K129/K128,"-")</f>
        <v/>
      </c>
      <c r="L130" s="71">
        <f>IFERROR(L129/L128,"-")</f>
        <v/>
      </c>
      <c r="M130" s="71">
        <f>IFERROR(M129/M128,"-")</f>
        <v/>
      </c>
      <c r="N130" s="71">
        <f>IFERROR(N129/N128,"-")</f>
        <v/>
      </c>
      <c r="O130" s="71">
        <f>IFERROR(O129/O128,"-")</f>
        <v/>
      </c>
      <c r="P130" s="71">
        <f>IFERROR(P129/P128,"-")</f>
        <v/>
      </c>
    </row>
    <row r="131" ht="15.75" customHeight="1" s="45">
      <c r="A131" s="61" t="n">
        <v>46152</v>
      </c>
      <c r="B131" s="62" t="inlineStr">
        <is>
          <t>Antes-Projeto</t>
        </is>
      </c>
      <c r="C131" s="72" t="inlineStr">
        <is>
          <t>Tempo Médio — 🟡 Amarelo (hh:mm)</t>
        </is>
      </c>
      <c r="D131" s="73" t="n">
        <v>0.1419328703703704</v>
      </c>
      <c r="E131" s="73" t="n">
        <v>0.05165509259259259</v>
      </c>
      <c r="F131" s="73" t="n">
        <v>0.05244212962962963</v>
      </c>
      <c r="G131" s="73" t="n">
        <v>0.2032523148148148</v>
      </c>
      <c r="H131" s="73" t="n">
        <v>0.02046296296296296</v>
      </c>
      <c r="I131" s="73" t="n">
        <v>0.06148148148148148</v>
      </c>
      <c r="J131" s="73" t="n">
        <v>0.06900462962962962</v>
      </c>
      <c r="K131" s="73" t="n">
        <v>0.07484953703703703</v>
      </c>
      <c r="L131" s="73" t="n">
        <v>0.07799768518518518</v>
      </c>
      <c r="M131" s="73" t="n">
        <v>0.03244212962962963</v>
      </c>
      <c r="N131" s="73" t="n">
        <v>0.07587962962962963</v>
      </c>
      <c r="O131" s="73" t="n">
        <v>0.02747685185185185</v>
      </c>
      <c r="P131" s="73" t="n">
        <v>0.0603587962962963</v>
      </c>
    </row>
    <row r="132" ht="15.75" customHeight="1" s="45">
      <c r="A132" s="61" t="n">
        <v>46152</v>
      </c>
      <c r="B132" s="62" t="inlineStr">
        <is>
          <t>Antes-Projeto</t>
        </is>
      </c>
      <c r="C132" s="74" t="inlineStr">
        <is>
          <t>Tempo Médio — 🟠 Laranja (hh:mm)</t>
        </is>
      </c>
      <c r="D132" s="75" t="n">
        <v>0.01225694444444445</v>
      </c>
      <c r="E132" s="75" t="n">
        <v>0.1864351851851852</v>
      </c>
      <c r="F132" s="75" t="n">
        <v>0.007638888888888889</v>
      </c>
      <c r="G132" s="75" t="n">
        <v>0.03729166666666667</v>
      </c>
      <c r="H132" s="75" t="n">
        <v>0.02391203703703704</v>
      </c>
      <c r="I132" s="75" t="n">
        <v>0.00787037037037037</v>
      </c>
      <c r="J132" s="75" t="n">
        <v>0.01133101851851852</v>
      </c>
      <c r="K132" s="75" t="n">
        <v>0.009375</v>
      </c>
      <c r="L132" s="75" t="n">
        <v>0.008356481481481482</v>
      </c>
      <c r="M132" s="75" t="n">
        <v>0.01373842592592593</v>
      </c>
      <c r="N132" s="75" t="n">
        <v>0.0159375</v>
      </c>
      <c r="O132" s="75" t="n">
        <v>0.007465277777777778</v>
      </c>
      <c r="P132" s="75" t="n">
        <v>0.01190972222222222</v>
      </c>
    </row>
    <row r="133" ht="15.75" customHeight="1" s="45">
      <c r="A133" s="76" t="n">
        <v>46152</v>
      </c>
      <c r="B133" s="77" t="inlineStr">
        <is>
          <t>Antes-Projeto</t>
        </is>
      </c>
      <c r="C133" s="78" t="inlineStr">
        <is>
          <t>Tempo Médio — 🟢 Verde   (hh:mm)</t>
        </is>
      </c>
      <c r="D133" s="79" t="n">
        <v>0.1108912037037037</v>
      </c>
      <c r="E133" s="79" t="n">
        <v>0.2099421296296296</v>
      </c>
      <c r="F133" s="79" t="n">
        <v>0.1626041666666667</v>
      </c>
      <c r="G133" s="79" t="n">
        <v>0.2971527777777778</v>
      </c>
      <c r="H133" s="79" t="n">
        <v>0.06385416666666667</v>
      </c>
      <c r="I133" s="79" t="n">
        <v>0.1539467592592593</v>
      </c>
      <c r="J133" s="79" t="n">
        <v>0.152662037037037</v>
      </c>
      <c r="K133" s="79" t="n">
        <v>0.1789351851851852</v>
      </c>
      <c r="L133" s="79" t="n">
        <v>0.2568055555555556</v>
      </c>
      <c r="M133" s="79" t="n">
        <v>0.04972222222222222</v>
      </c>
      <c r="N133" s="79" t="n">
        <v>0.1933912037037037</v>
      </c>
      <c r="O133" s="79" t="n">
        <v>0.04378472222222222</v>
      </c>
      <c r="P133" s="79" t="n">
        <v>0.0692013888888889</v>
      </c>
    </row>
    <row r="134" ht="15.75" customHeight="1" s="45">
      <c r="A134" s="57" t="n">
        <v>46153</v>
      </c>
      <c r="B134" s="58" t="inlineStr">
        <is>
          <t>Antes-Projeto</t>
        </is>
      </c>
      <c r="C134" s="59" t="inlineStr">
        <is>
          <t>Acolhim. + Atend. Urgência + Atend. UPA</t>
        </is>
      </c>
      <c r="D134" s="60">
        <f>SUM(D135:D137)</f>
        <v/>
      </c>
      <c r="E134" s="60">
        <f>SUM(E135:E137)</f>
        <v/>
      </c>
      <c r="F134" s="60">
        <f>SUM(F135:F137)</f>
        <v/>
      </c>
      <c r="G134" s="60">
        <f>SUM(G135:G137)</f>
        <v/>
      </c>
      <c r="H134" s="60">
        <f>SUM(H135:H137)</f>
        <v/>
      </c>
      <c r="I134" s="60">
        <f>SUM(I135:I137)</f>
        <v/>
      </c>
      <c r="J134" s="60">
        <f>SUM(J135:J137)</f>
        <v/>
      </c>
      <c r="K134" s="60">
        <f>SUM(K135:K137)</f>
        <v/>
      </c>
      <c r="L134" s="60">
        <f>SUM(L135:L137)</f>
        <v/>
      </c>
      <c r="M134" s="60">
        <f>SUM(M135:M137)</f>
        <v/>
      </c>
      <c r="N134" s="60">
        <f>SUM(N135:N137)</f>
        <v/>
      </c>
      <c r="O134" s="60">
        <f>SUM(O135:O137)</f>
        <v/>
      </c>
      <c r="P134" s="60">
        <f>SUM(P135:P137)</f>
        <v/>
      </c>
    </row>
    <row r="135" ht="15.75" customHeight="1" s="45">
      <c r="A135" s="61" t="n">
        <v>46153</v>
      </c>
      <c r="B135" s="62" t="inlineStr">
        <is>
          <t>Antes-Projeto</t>
        </is>
      </c>
      <c r="C135" s="63" t="inlineStr">
        <is>
          <t>Acolhimento c/ Classif. de Risco</t>
        </is>
      </c>
      <c r="D135" s="64" t="n">
        <v>264</v>
      </c>
      <c r="E135" s="64" t="n">
        <v>170</v>
      </c>
      <c r="F135" s="64" t="n">
        <v>186</v>
      </c>
      <c r="G135" s="64" t="n">
        <v>177</v>
      </c>
      <c r="H135" s="64" t="n">
        <v>161</v>
      </c>
      <c r="I135" s="64" t="n">
        <v>234</v>
      </c>
      <c r="J135" s="64" t="n">
        <v>163</v>
      </c>
      <c r="K135" s="64" t="n">
        <v>328</v>
      </c>
      <c r="L135" s="64" t="n">
        <v>169</v>
      </c>
      <c r="M135" s="64" t="n">
        <v>312</v>
      </c>
      <c r="N135" s="64" t="n">
        <v>198</v>
      </c>
      <c r="O135" s="64" t="n">
        <v>307</v>
      </c>
      <c r="P135" s="64" t="n">
        <v>261</v>
      </c>
    </row>
    <row r="136" ht="15.75" customHeight="1" s="45">
      <c r="A136" s="61" t="n">
        <v>46153</v>
      </c>
      <c r="B136" s="62" t="inlineStr">
        <is>
          <t>Antes-Projeto</t>
        </is>
      </c>
      <c r="C136" s="65" t="inlineStr">
        <is>
          <t>Atend. Urgência Obs. ≤ 24h</t>
        </is>
      </c>
      <c r="D136" s="66" t="n">
        <v>30</v>
      </c>
      <c r="E136" s="66" t="n">
        <v>49</v>
      </c>
      <c r="F136" s="66" t="n">
        <v>20</v>
      </c>
      <c r="G136" s="66" t="n">
        <v>40</v>
      </c>
      <c r="H136" s="66" t="n">
        <v>12</v>
      </c>
      <c r="I136" s="66" t="n">
        <v>27</v>
      </c>
      <c r="J136" s="66" t="n">
        <v>23</v>
      </c>
      <c r="K136" s="66" t="n">
        <v>62</v>
      </c>
      <c r="L136" s="66" t="n">
        <v>26</v>
      </c>
      <c r="M136" s="66" t="n">
        <v>38</v>
      </c>
      <c r="N136" s="66" t="n">
        <v>29</v>
      </c>
      <c r="O136" s="66" t="n">
        <v>35</v>
      </c>
      <c r="P136" s="66" t="n">
        <v>19</v>
      </c>
    </row>
    <row r="137" ht="15.75" customHeight="1" s="45">
      <c r="A137" s="61" t="n">
        <v>46153</v>
      </c>
      <c r="B137" s="62" t="inlineStr">
        <is>
          <t>Antes-Projeto</t>
        </is>
      </c>
      <c r="C137" s="63" t="inlineStr">
        <is>
          <t>Atend. Médico em UPA</t>
        </is>
      </c>
      <c r="D137" s="64" t="n">
        <v>229</v>
      </c>
      <c r="E137" s="64" t="n">
        <v>81</v>
      </c>
      <c r="F137" s="64" t="n">
        <v>104</v>
      </c>
      <c r="G137" s="64" t="n">
        <v>121</v>
      </c>
      <c r="H137" s="64" t="n">
        <v>115</v>
      </c>
      <c r="I137" s="64" t="n">
        <v>198</v>
      </c>
      <c r="J137" s="64" t="n">
        <v>93</v>
      </c>
      <c r="K137" s="64" t="n">
        <v>248</v>
      </c>
      <c r="L137" s="64" t="n">
        <v>101</v>
      </c>
      <c r="M137" s="64" t="n">
        <v>183</v>
      </c>
      <c r="N137" s="64" t="n">
        <v>191</v>
      </c>
      <c r="O137" s="64" t="n">
        <v>186</v>
      </c>
      <c r="P137" s="64" t="n">
        <v>162</v>
      </c>
    </row>
    <row r="138" ht="15.75" customHeight="1" s="45">
      <c r="A138" s="61" t="n">
        <v>46153</v>
      </c>
      <c r="B138" s="62" t="inlineStr">
        <is>
          <t>Antes-Projeto</t>
        </is>
      </c>
      <c r="C138" s="65" t="inlineStr">
        <is>
          <t>Exames Laboratoriais</t>
        </is>
      </c>
      <c r="D138" s="66" t="n">
        <v>716</v>
      </c>
      <c r="E138" s="66" t="n">
        <v>423</v>
      </c>
      <c r="F138" s="66" t="n">
        <v>537</v>
      </c>
      <c r="G138" s="66" t="n">
        <v>446</v>
      </c>
      <c r="H138" s="66" t="n">
        <v>375</v>
      </c>
      <c r="I138" s="66" t="n">
        <v>658</v>
      </c>
      <c r="J138" s="66" t="n">
        <v>437</v>
      </c>
      <c r="K138" s="66" t="n">
        <v>801</v>
      </c>
      <c r="L138" s="66" t="n">
        <v>659</v>
      </c>
      <c r="M138" s="66" t="n">
        <v>633</v>
      </c>
      <c r="N138" s="66" t="n">
        <v>494</v>
      </c>
      <c r="O138" s="66" t="n">
        <v>375</v>
      </c>
      <c r="P138" s="66" t="n">
        <v>502</v>
      </c>
    </row>
    <row r="139" ht="15.75" customHeight="1" s="45">
      <c r="A139" s="61" t="n">
        <v>46153</v>
      </c>
      <c r="B139" s="62" t="inlineStr">
        <is>
          <t>Antes-Projeto</t>
        </is>
      </c>
      <c r="C139" s="63" t="inlineStr">
        <is>
          <t>Radiografias</t>
        </is>
      </c>
      <c r="D139" s="64" t="n">
        <v>42</v>
      </c>
      <c r="E139" s="64" t="n">
        <v>23</v>
      </c>
      <c r="F139" s="64" t="n">
        <v>33</v>
      </c>
      <c r="G139" s="67" t="n">
        <v>0</v>
      </c>
      <c r="H139" s="64" t="n">
        <v>25</v>
      </c>
      <c r="I139" s="64" t="n">
        <v>31</v>
      </c>
      <c r="J139" s="64" t="n">
        <v>41</v>
      </c>
      <c r="K139" s="64" t="n">
        <v>56</v>
      </c>
      <c r="L139" s="64" t="n">
        <v>3</v>
      </c>
      <c r="M139" s="64" t="n">
        <v>63</v>
      </c>
      <c r="N139" s="64" t="n">
        <v>30</v>
      </c>
      <c r="O139" s="64" t="n">
        <v>42</v>
      </c>
      <c r="P139" s="64" t="n">
        <v>65</v>
      </c>
    </row>
    <row r="140" ht="15.75" customHeight="1" s="45">
      <c r="A140" s="61" t="n">
        <v>46153</v>
      </c>
      <c r="B140" s="62" t="inlineStr">
        <is>
          <t>Antes-Projeto</t>
        </is>
      </c>
      <c r="C140" s="65" t="inlineStr">
        <is>
          <t>Eletrocardiogramas</t>
        </is>
      </c>
      <c r="D140" s="66" t="n">
        <v>22</v>
      </c>
      <c r="E140" s="66" t="n">
        <v>3</v>
      </c>
      <c r="F140" s="66" t="n">
        <v>26</v>
      </c>
      <c r="G140" s="66" t="n">
        <v>18</v>
      </c>
      <c r="H140" s="66" t="n">
        <v>7</v>
      </c>
      <c r="I140" s="66" t="n">
        <v>15</v>
      </c>
      <c r="J140" s="66" t="n">
        <v>11</v>
      </c>
      <c r="K140" s="66" t="n">
        <v>25</v>
      </c>
      <c r="L140" s="66" t="n">
        <v>16</v>
      </c>
      <c r="M140" s="66" t="n">
        <v>18</v>
      </c>
      <c r="N140" s="66" t="n">
        <v>24</v>
      </c>
      <c r="O140" s="66" t="n">
        <v>4</v>
      </c>
      <c r="P140" s="66" t="n">
        <v>21</v>
      </c>
    </row>
    <row r="141" ht="15.75" customHeight="1" s="45">
      <c r="A141" s="61" t="n">
        <v>46153</v>
      </c>
      <c r="B141" s="62" t="inlineStr">
        <is>
          <t>Antes-Projeto</t>
        </is>
      </c>
      <c r="C141" s="68" t="inlineStr">
        <is>
          <t>GAEs Abertas</t>
        </is>
      </c>
      <c r="D141" s="69" t="n">
        <v>274</v>
      </c>
      <c r="E141" s="69" t="n">
        <v>181</v>
      </c>
      <c r="F141" s="69" t="n">
        <v>199</v>
      </c>
      <c r="G141" s="69" t="n">
        <v>179</v>
      </c>
      <c r="H141" s="69" t="n">
        <v>165</v>
      </c>
      <c r="I141" s="69" t="n">
        <v>261</v>
      </c>
      <c r="J141" s="69" t="n">
        <v>168</v>
      </c>
      <c r="K141" s="69" t="n">
        <v>377</v>
      </c>
      <c r="L141" s="69" t="n">
        <v>173</v>
      </c>
      <c r="M141" s="69" t="n">
        <v>346</v>
      </c>
      <c r="N141" s="69" t="n">
        <v>210</v>
      </c>
      <c r="O141" s="69" t="n">
        <v>334</v>
      </c>
      <c r="P141" s="69" t="n">
        <v>265</v>
      </c>
    </row>
    <row r="142" ht="15.75" customHeight="1" s="45">
      <c r="A142" s="61" t="n">
        <v>46153</v>
      </c>
      <c r="B142" s="62" t="inlineStr">
        <is>
          <t>Antes-Projeto</t>
        </is>
      </c>
      <c r="C142" s="68" t="inlineStr">
        <is>
          <t>GAEs Classificadas</t>
        </is>
      </c>
      <c r="D142" s="69" t="n">
        <v>256</v>
      </c>
      <c r="E142" s="69" t="n">
        <v>172</v>
      </c>
      <c r="F142" s="69" t="n">
        <v>187</v>
      </c>
      <c r="G142" s="69" t="n">
        <v>177</v>
      </c>
      <c r="H142" s="69" t="n">
        <v>159</v>
      </c>
      <c r="I142" s="69" t="n">
        <v>231</v>
      </c>
      <c r="J142" s="69" t="n">
        <v>161</v>
      </c>
      <c r="K142" s="69" t="n">
        <v>331</v>
      </c>
      <c r="L142" s="69" t="n">
        <v>169</v>
      </c>
      <c r="M142" s="69" t="n">
        <v>315</v>
      </c>
      <c r="N142" s="69" t="n">
        <v>199</v>
      </c>
      <c r="O142" s="69" t="n">
        <v>308</v>
      </c>
      <c r="P142" s="69" t="n">
        <v>261</v>
      </c>
    </row>
    <row r="143" ht="15.75" customHeight="1" s="45">
      <c r="A143" s="61" t="n">
        <v>46153</v>
      </c>
      <c r="B143" s="62" t="inlineStr">
        <is>
          <t>Antes-Projeto</t>
        </is>
      </c>
      <c r="C143" s="70" t="inlineStr">
        <is>
          <t>Percentual de GAEs abertas classificadas</t>
        </is>
      </c>
      <c r="D143" s="71">
        <f>IFERROR(D142/D141,"-")</f>
        <v/>
      </c>
      <c r="E143" s="71">
        <f>IFERROR(E142/E141,"-")</f>
        <v/>
      </c>
      <c r="F143" s="71">
        <f>IFERROR(F142/F141,"-")</f>
        <v/>
      </c>
      <c r="G143" s="71">
        <f>IFERROR(G142/G141,"-")</f>
        <v/>
      </c>
      <c r="H143" s="71">
        <f>IFERROR(H142/H141,"-")</f>
        <v/>
      </c>
      <c r="I143" s="71">
        <f>IFERROR(I142/I141,"-")</f>
        <v/>
      </c>
      <c r="J143" s="71">
        <f>IFERROR(J142/J141,"-")</f>
        <v/>
      </c>
      <c r="K143" s="71">
        <f>IFERROR(K142/K141,"-")</f>
        <v/>
      </c>
      <c r="L143" s="71">
        <f>IFERROR(L142/L141,"-")</f>
        <v/>
      </c>
      <c r="M143" s="71">
        <f>IFERROR(M142/M141,"-")</f>
        <v/>
      </c>
      <c r="N143" s="71">
        <f>IFERROR(N142/N141,"-")</f>
        <v/>
      </c>
      <c r="O143" s="71">
        <f>IFERROR(O142/O141,"-")</f>
        <v/>
      </c>
      <c r="P143" s="71">
        <f>IFERROR(P142/P141,"-")</f>
        <v/>
      </c>
    </row>
    <row r="144" ht="15.75" customHeight="1" s="45">
      <c r="A144" s="61" t="n">
        <v>46153</v>
      </c>
      <c r="B144" s="62" t="inlineStr">
        <is>
          <t>Antes-Projeto</t>
        </is>
      </c>
      <c r="C144" s="72" t="inlineStr">
        <is>
          <t>Tempo Médio — 🟡 Amarelo (hh:mm)</t>
        </is>
      </c>
      <c r="D144" s="73" t="n">
        <v>0.05930555555555556</v>
      </c>
      <c r="E144" s="73" t="n">
        <v>0.07614583333333333</v>
      </c>
      <c r="F144" s="73" t="n">
        <v>0.09443287037037038</v>
      </c>
      <c r="G144" s="73" t="n">
        <v>0.02835648148148148</v>
      </c>
      <c r="H144" s="73" t="n">
        <v>0.04686342592592593</v>
      </c>
      <c r="I144" s="73" t="n">
        <v>0.0478125</v>
      </c>
      <c r="J144" s="73" t="n">
        <v>0.04915509259259259</v>
      </c>
      <c r="K144" s="73" t="n">
        <v>0.07096064814814815</v>
      </c>
      <c r="L144" s="73" t="n">
        <v>0.1295023148148148</v>
      </c>
      <c r="M144" s="73" t="n">
        <v>0.05475694444444444</v>
      </c>
      <c r="N144" s="73" t="n">
        <v>0.1276273148148148</v>
      </c>
      <c r="O144" s="73" t="n">
        <v>0.1177083333333333</v>
      </c>
      <c r="P144" s="73" t="n">
        <v>0.05464120370370371</v>
      </c>
    </row>
    <row r="145" ht="15.75" customHeight="1" s="45">
      <c r="A145" s="61" t="n">
        <v>46153</v>
      </c>
      <c r="B145" s="62" t="inlineStr">
        <is>
          <t>Antes-Projeto</t>
        </is>
      </c>
      <c r="C145" s="74" t="inlineStr">
        <is>
          <t>Tempo Médio — 🟠 Laranja (hh:mm)</t>
        </is>
      </c>
      <c r="D145" s="75" t="n">
        <v>0.008750000000000001</v>
      </c>
      <c r="E145" s="75" t="n">
        <v>0.00730324074074074</v>
      </c>
      <c r="F145" s="75" t="n">
        <v>0.01246527777777778</v>
      </c>
      <c r="G145" s="75" t="n">
        <v>0.01268518518518518</v>
      </c>
      <c r="H145" s="75" t="n">
        <v>0.01038194444444444</v>
      </c>
      <c r="I145" s="75" t="n">
        <v>0.006643518518518518</v>
      </c>
      <c r="J145" s="75" t="n">
        <v>0.007592592592592593</v>
      </c>
      <c r="K145" s="75" t="n">
        <v>0.01263888888888889</v>
      </c>
      <c r="L145" s="75" t="n">
        <v>0.01302083333333333</v>
      </c>
      <c r="M145" s="75" t="n">
        <v>0.00986111111111111</v>
      </c>
      <c r="N145" s="75" t="n">
        <v>0.0115162037037037</v>
      </c>
      <c r="O145" s="75" t="n">
        <v>0.01321759259259259</v>
      </c>
      <c r="P145" s="75" t="n">
        <v>0.009722222222222222</v>
      </c>
    </row>
    <row r="146" ht="15.75" customHeight="1" s="45">
      <c r="A146" s="76" t="n">
        <v>46153</v>
      </c>
      <c r="B146" s="77" t="inlineStr">
        <is>
          <t>Antes-Projeto</t>
        </is>
      </c>
      <c r="C146" s="78" t="inlineStr">
        <is>
          <t>Tempo Médio — 🟢 Verde   (hh:mm)</t>
        </is>
      </c>
      <c r="D146" s="79" t="n">
        <v>0.07596064814814815</v>
      </c>
      <c r="E146" s="79" t="n">
        <v>0.1530208333333333</v>
      </c>
      <c r="F146" s="79" t="n">
        <v>0.09780092592592593</v>
      </c>
      <c r="G146" s="79" t="n">
        <v>0.1001041666666667</v>
      </c>
      <c r="H146" s="79" t="n">
        <v>0.06579861111111111</v>
      </c>
      <c r="I146" s="79" t="n">
        <v>0.1800347222222222</v>
      </c>
      <c r="J146" s="79" t="n">
        <v>0.0921412037037037</v>
      </c>
      <c r="K146" s="79" t="n">
        <v>0.108599537037037</v>
      </c>
      <c r="L146" s="79" t="n">
        <v>0.1871990740740741</v>
      </c>
      <c r="M146" s="79" t="n">
        <v>0.08523148148148148</v>
      </c>
      <c r="N146" s="79" t="n">
        <v>0.1046180555555556</v>
      </c>
      <c r="O146" s="79" t="n">
        <v>0.180625</v>
      </c>
      <c r="P146" s="79" t="n">
        <v>0.124375</v>
      </c>
    </row>
    <row r="147" ht="15.75" customHeight="1" s="45">
      <c r="A147" s="57" t="n">
        <v>46154</v>
      </c>
      <c r="B147" s="58" t="inlineStr">
        <is>
          <t>Antes-Projeto</t>
        </is>
      </c>
      <c r="C147" s="59" t="inlineStr">
        <is>
          <t>Acolhim. + Atend. Urgência + Atend. UPA</t>
        </is>
      </c>
      <c r="D147" s="60">
        <f>SUM(D148:D150)</f>
        <v/>
      </c>
      <c r="E147" s="60">
        <f>SUM(E148:E150)</f>
        <v/>
      </c>
      <c r="F147" s="60">
        <f>SUM(F148:F150)</f>
        <v/>
      </c>
      <c r="G147" s="60">
        <f>SUM(G148:G150)</f>
        <v/>
      </c>
      <c r="H147" s="60">
        <f>SUM(H148:H150)</f>
        <v/>
      </c>
      <c r="I147" s="60">
        <f>SUM(I148:I150)</f>
        <v/>
      </c>
      <c r="J147" s="60">
        <f>SUM(J148:J150)</f>
        <v/>
      </c>
      <c r="K147" s="60">
        <f>SUM(K148:K150)</f>
        <v/>
      </c>
      <c r="L147" s="60">
        <f>SUM(L148:L150)</f>
        <v/>
      </c>
      <c r="M147" s="60">
        <f>SUM(M148:M150)</f>
        <v/>
      </c>
      <c r="N147" s="60">
        <f>SUM(N148:N150)</f>
        <v/>
      </c>
      <c r="O147" s="60">
        <f>SUM(O148:O150)</f>
        <v/>
      </c>
      <c r="P147" s="60">
        <f>SUM(P148:P150)</f>
        <v/>
      </c>
    </row>
    <row r="148" ht="15.75" customHeight="1" s="45">
      <c r="A148" s="61" t="n">
        <v>46154</v>
      </c>
      <c r="B148" s="62" t="inlineStr">
        <is>
          <t>Antes-Projeto</t>
        </is>
      </c>
      <c r="C148" s="65" t="inlineStr">
        <is>
          <t>Acolhimento c/ Classif. de Risco</t>
        </is>
      </c>
      <c r="D148" s="66" t="n">
        <v>262</v>
      </c>
      <c r="E148" s="66" t="n">
        <v>166</v>
      </c>
      <c r="F148" s="66" t="n">
        <v>175</v>
      </c>
      <c r="G148" s="66" t="n">
        <v>135</v>
      </c>
      <c r="H148" s="66" t="n">
        <v>121</v>
      </c>
      <c r="I148" s="66" t="n">
        <v>190</v>
      </c>
      <c r="J148" s="66" t="n">
        <v>129</v>
      </c>
      <c r="K148" s="66" t="n">
        <v>324</v>
      </c>
      <c r="L148" s="66" t="n">
        <v>149</v>
      </c>
      <c r="M148" s="66" t="n">
        <v>261</v>
      </c>
      <c r="N148" s="66" t="n">
        <v>217</v>
      </c>
      <c r="O148" s="66" t="n">
        <v>319</v>
      </c>
      <c r="P148" s="66" t="n">
        <v>271</v>
      </c>
    </row>
    <row r="149" ht="15.75" customHeight="1" s="45">
      <c r="A149" s="61" t="n">
        <v>46154</v>
      </c>
      <c r="B149" s="62" t="inlineStr">
        <is>
          <t>Antes-Projeto</t>
        </is>
      </c>
      <c r="C149" s="63" t="inlineStr">
        <is>
          <t>Atend. Urgência Obs. ≤ 24h</t>
        </is>
      </c>
      <c r="D149" s="64" t="n">
        <v>33</v>
      </c>
      <c r="E149" s="64" t="n">
        <v>45</v>
      </c>
      <c r="F149" s="64" t="n">
        <v>25</v>
      </c>
      <c r="G149" s="64" t="n">
        <v>68</v>
      </c>
      <c r="H149" s="64" t="n">
        <v>7</v>
      </c>
      <c r="I149" s="64" t="n">
        <v>19</v>
      </c>
      <c r="J149" s="64" t="n">
        <v>21</v>
      </c>
      <c r="K149" s="64" t="n">
        <v>28</v>
      </c>
      <c r="L149" s="64" t="n">
        <v>35</v>
      </c>
      <c r="M149" s="64" t="n">
        <v>60</v>
      </c>
      <c r="N149" s="64" t="n">
        <v>11</v>
      </c>
      <c r="O149" s="64" t="n">
        <v>25</v>
      </c>
      <c r="P149" s="64" t="n">
        <v>22</v>
      </c>
    </row>
    <row r="150" ht="15.75" customHeight="1" s="45">
      <c r="A150" s="61" t="n">
        <v>46154</v>
      </c>
      <c r="B150" s="62" t="inlineStr">
        <is>
          <t>Antes-Projeto</t>
        </is>
      </c>
      <c r="C150" s="65" t="inlineStr">
        <is>
          <t>Atend. Médico em UPA</t>
        </is>
      </c>
      <c r="D150" s="66" t="n">
        <v>201</v>
      </c>
      <c r="E150" s="66" t="n">
        <v>138</v>
      </c>
      <c r="F150" s="66" t="n">
        <v>127</v>
      </c>
      <c r="G150" s="66" t="n">
        <v>85</v>
      </c>
      <c r="H150" s="66" t="n">
        <v>85</v>
      </c>
      <c r="I150" s="66" t="n">
        <v>143</v>
      </c>
      <c r="J150" s="66" t="n">
        <v>84</v>
      </c>
      <c r="K150" s="66" t="n">
        <v>249</v>
      </c>
      <c r="L150" s="66" t="n">
        <v>114</v>
      </c>
      <c r="M150" s="66" t="n">
        <v>143</v>
      </c>
      <c r="N150" s="66" t="n">
        <v>226</v>
      </c>
      <c r="O150" s="66" t="n">
        <v>230</v>
      </c>
      <c r="P150" s="66" t="n">
        <v>145</v>
      </c>
    </row>
    <row r="151" ht="15.75" customHeight="1" s="45">
      <c r="A151" s="61" t="n">
        <v>46154</v>
      </c>
      <c r="B151" s="62" t="inlineStr">
        <is>
          <t>Antes-Projeto</t>
        </is>
      </c>
      <c r="C151" s="63" t="inlineStr">
        <is>
          <t>Exames Laboratoriais</t>
        </is>
      </c>
      <c r="D151" s="64" t="n">
        <v>568</v>
      </c>
      <c r="E151" s="64" t="n">
        <v>391</v>
      </c>
      <c r="F151" s="64" t="n">
        <v>602</v>
      </c>
      <c r="G151" s="64" t="n">
        <v>307</v>
      </c>
      <c r="H151" s="64" t="n">
        <v>317</v>
      </c>
      <c r="I151" s="64" t="n">
        <v>588</v>
      </c>
      <c r="J151" s="64" t="n">
        <v>305</v>
      </c>
      <c r="K151" s="64" t="n">
        <v>1064</v>
      </c>
      <c r="L151" s="64" t="n">
        <v>726</v>
      </c>
      <c r="M151" s="64" t="n">
        <v>714</v>
      </c>
      <c r="N151" s="64" t="n">
        <v>635</v>
      </c>
      <c r="O151" s="64" t="n">
        <v>573</v>
      </c>
      <c r="P151" s="64" t="n">
        <v>692</v>
      </c>
    </row>
    <row r="152" ht="15.75" customHeight="1" s="45">
      <c r="A152" s="61" t="n">
        <v>46154</v>
      </c>
      <c r="B152" s="62" t="inlineStr">
        <is>
          <t>Antes-Projeto</t>
        </is>
      </c>
      <c r="C152" s="65" t="inlineStr">
        <is>
          <t>Radiografias</t>
        </is>
      </c>
      <c r="D152" s="66" t="n">
        <v>26</v>
      </c>
      <c r="E152" s="66" t="n">
        <v>45</v>
      </c>
      <c r="F152" s="66" t="n">
        <v>40</v>
      </c>
      <c r="G152" s="67" t="n">
        <v>0</v>
      </c>
      <c r="H152" s="66" t="n">
        <v>14</v>
      </c>
      <c r="I152" s="66" t="n">
        <v>25</v>
      </c>
      <c r="J152" s="66" t="n">
        <v>23</v>
      </c>
      <c r="K152" s="66" t="n">
        <v>69</v>
      </c>
      <c r="L152" s="66" t="n">
        <v>2</v>
      </c>
      <c r="M152" s="66" t="n">
        <v>50</v>
      </c>
      <c r="N152" s="66" t="n">
        <v>28</v>
      </c>
      <c r="O152" s="66" t="n">
        <v>51</v>
      </c>
      <c r="P152" s="66" t="n">
        <v>53</v>
      </c>
    </row>
    <row r="153" ht="15.75" customHeight="1" s="45">
      <c r="A153" s="61" t="n">
        <v>46154</v>
      </c>
      <c r="B153" s="62" t="inlineStr">
        <is>
          <t>Antes-Projeto</t>
        </is>
      </c>
      <c r="C153" s="63" t="inlineStr">
        <is>
          <t>Eletrocardiogramas</t>
        </is>
      </c>
      <c r="D153" s="64" t="n">
        <v>20</v>
      </c>
      <c r="E153" s="64" t="n">
        <v>15</v>
      </c>
      <c r="F153" s="64" t="n">
        <v>20</v>
      </c>
      <c r="G153" s="64" t="n">
        <v>17</v>
      </c>
      <c r="H153" s="64" t="n">
        <v>8</v>
      </c>
      <c r="I153" s="64" t="n">
        <v>12</v>
      </c>
      <c r="J153" s="64" t="n">
        <v>14</v>
      </c>
      <c r="K153" s="64" t="n">
        <v>16</v>
      </c>
      <c r="L153" s="64" t="n">
        <v>8</v>
      </c>
      <c r="M153" s="64" t="n">
        <v>15</v>
      </c>
      <c r="N153" s="64" t="n">
        <v>26</v>
      </c>
      <c r="O153" s="64" t="n">
        <v>15</v>
      </c>
      <c r="P153" s="64" t="n">
        <v>31</v>
      </c>
    </row>
    <row r="154" ht="15.75" customHeight="1" s="45">
      <c r="A154" s="61" t="n">
        <v>46154</v>
      </c>
      <c r="B154" s="62" t="inlineStr">
        <is>
          <t>Antes-Projeto</t>
        </is>
      </c>
      <c r="C154" s="68" t="inlineStr">
        <is>
          <t>GAEs Abertas</t>
        </is>
      </c>
      <c r="D154" s="69" t="n">
        <v>277</v>
      </c>
      <c r="E154" s="69" t="n">
        <v>175</v>
      </c>
      <c r="F154" s="69" t="n">
        <v>179</v>
      </c>
      <c r="G154" s="69" t="n">
        <v>143</v>
      </c>
      <c r="H154" s="69" t="n">
        <v>125</v>
      </c>
      <c r="I154" s="69" t="n">
        <v>209</v>
      </c>
      <c r="J154" s="69" t="n">
        <v>133</v>
      </c>
      <c r="K154" s="69" t="n">
        <v>382</v>
      </c>
      <c r="L154" s="69" t="n">
        <v>159</v>
      </c>
      <c r="M154" s="69" t="n">
        <v>266</v>
      </c>
      <c r="N154" s="69" t="n">
        <v>229</v>
      </c>
      <c r="O154" s="69" t="n">
        <v>347</v>
      </c>
      <c r="P154" s="69" t="n">
        <v>285</v>
      </c>
    </row>
    <row r="155" ht="15.75" customHeight="1" s="45">
      <c r="A155" s="61" t="n">
        <v>46154</v>
      </c>
      <c r="B155" s="62" t="inlineStr">
        <is>
          <t>Antes-Projeto</t>
        </is>
      </c>
      <c r="C155" s="68" t="inlineStr">
        <is>
          <t>GAEs Classificadas</t>
        </is>
      </c>
      <c r="D155" s="69" t="n">
        <v>263</v>
      </c>
      <c r="E155" s="69" t="n">
        <v>164</v>
      </c>
      <c r="F155" s="69" t="n">
        <v>176</v>
      </c>
      <c r="G155" s="69" t="n">
        <v>137</v>
      </c>
      <c r="H155" s="69" t="n">
        <v>121</v>
      </c>
      <c r="I155" s="69" t="n">
        <v>191</v>
      </c>
      <c r="J155" s="69" t="n">
        <v>130</v>
      </c>
      <c r="K155" s="69" t="n">
        <v>317</v>
      </c>
      <c r="L155" s="69" t="n">
        <v>151</v>
      </c>
      <c r="M155" s="69" t="n">
        <v>256</v>
      </c>
      <c r="N155" s="69" t="n">
        <v>217</v>
      </c>
      <c r="O155" s="69" t="n">
        <v>317</v>
      </c>
      <c r="P155" s="69" t="n">
        <v>273</v>
      </c>
    </row>
    <row r="156" ht="15.75" customHeight="1" s="45">
      <c r="A156" s="61" t="n">
        <v>46154</v>
      </c>
      <c r="B156" s="62" t="inlineStr">
        <is>
          <t>Antes-Projeto</t>
        </is>
      </c>
      <c r="C156" s="70" t="inlineStr">
        <is>
          <t>Percentual de GAEs abertas classificadas</t>
        </is>
      </c>
      <c r="D156" s="71">
        <f>IFERROR(D155/D154,"-")</f>
        <v/>
      </c>
      <c r="E156" s="71">
        <f>IFERROR(E155/E154,"-")</f>
        <v/>
      </c>
      <c r="F156" s="71">
        <f>IFERROR(F155/F154,"-")</f>
        <v/>
      </c>
      <c r="G156" s="71">
        <f>IFERROR(G155/G154,"-")</f>
        <v/>
      </c>
      <c r="H156" s="71">
        <f>IFERROR(H155/H154,"-")</f>
        <v/>
      </c>
      <c r="I156" s="71">
        <f>IFERROR(I155/I154,"-")</f>
        <v/>
      </c>
      <c r="J156" s="71">
        <f>IFERROR(J155/J154,"-")</f>
        <v/>
      </c>
      <c r="K156" s="71">
        <f>IFERROR(K155/K154,"-")</f>
        <v/>
      </c>
      <c r="L156" s="71">
        <f>IFERROR(L155/L154,"-")</f>
        <v/>
      </c>
      <c r="M156" s="71">
        <f>IFERROR(M155/M154,"-")</f>
        <v/>
      </c>
      <c r="N156" s="71">
        <f>IFERROR(N155/N154,"-")</f>
        <v/>
      </c>
      <c r="O156" s="71">
        <f>IFERROR(O155/O154,"-")</f>
        <v/>
      </c>
      <c r="P156" s="71">
        <f>IFERROR(P155/P154,"-")</f>
        <v/>
      </c>
    </row>
    <row r="157" ht="15.75" customHeight="1" s="45">
      <c r="A157" s="61" t="n">
        <v>46154</v>
      </c>
      <c r="B157" s="62" t="inlineStr">
        <is>
          <t>Antes-Projeto</t>
        </is>
      </c>
      <c r="C157" s="72" t="inlineStr">
        <is>
          <t>Tempo Médio — 🟡 Amarelo (hh:mm)</t>
        </is>
      </c>
      <c r="D157" s="73" t="n">
        <v>0.05361111111111111</v>
      </c>
      <c r="E157" s="73" t="n">
        <v>0.02009259259259259</v>
      </c>
      <c r="F157" s="73" t="n">
        <v>0.06416666666666666</v>
      </c>
      <c r="G157" s="73" t="n">
        <v>0.09319444444444444</v>
      </c>
      <c r="H157" s="73" t="n">
        <v>0.04768518518518518</v>
      </c>
      <c r="I157" s="73" t="n">
        <v>0.055625</v>
      </c>
      <c r="J157" s="73" t="n">
        <v>0.05082175925925926</v>
      </c>
      <c r="K157" s="73" t="n">
        <v>0.04768518518518518</v>
      </c>
      <c r="L157" s="73" t="n">
        <v>0.04763888888888889</v>
      </c>
      <c r="M157" s="73" t="n">
        <v>0.03347222222222222</v>
      </c>
      <c r="N157" s="73" t="n">
        <v>0.03936342592592593</v>
      </c>
      <c r="O157" s="73" t="n">
        <v>0.08945601851851852</v>
      </c>
      <c r="P157" s="73" t="n">
        <v>0.08694444444444445</v>
      </c>
    </row>
    <row r="158" ht="15.75" customHeight="1" s="45">
      <c r="A158" s="61" t="n">
        <v>46154</v>
      </c>
      <c r="B158" s="62" t="inlineStr">
        <is>
          <t>Antes-Projeto</t>
        </is>
      </c>
      <c r="C158" s="74" t="inlineStr">
        <is>
          <t>Tempo Médio — 🟠 Laranja (hh:mm)</t>
        </is>
      </c>
      <c r="D158" s="75" t="n">
        <v>0.006689814814814815</v>
      </c>
      <c r="E158" s="75" t="n">
        <v>0.006666666666666667</v>
      </c>
      <c r="F158" s="75" t="n">
        <v>0.01119212962962963</v>
      </c>
      <c r="G158" s="75" t="n">
        <v>0.009236111111111112</v>
      </c>
      <c r="H158" s="75" t="n">
        <v>0.01204861111111111</v>
      </c>
      <c r="I158" s="75" t="n">
        <v>0.008009259259259259</v>
      </c>
      <c r="J158" s="75" t="n">
        <v>0.009930555555555555</v>
      </c>
      <c r="K158" s="75" t="n">
        <v>0.01259259259259259</v>
      </c>
      <c r="L158" s="75" t="n">
        <v>0.009652777777777777</v>
      </c>
      <c r="M158" s="75" t="n">
        <v>0.008784722222222222</v>
      </c>
      <c r="N158" s="75" t="n">
        <v>0.005706018518518518</v>
      </c>
      <c r="O158" s="75" t="n">
        <v>0.01230324074074074</v>
      </c>
      <c r="P158" s="75" t="n">
        <v>0.01636574074074074</v>
      </c>
    </row>
    <row r="159" ht="15.75" customHeight="1" s="45">
      <c r="A159" s="76" t="n">
        <v>46154</v>
      </c>
      <c r="B159" s="77" t="inlineStr">
        <is>
          <t>Antes-Projeto</t>
        </is>
      </c>
      <c r="C159" s="78" t="inlineStr">
        <is>
          <t>Tempo Médio — 🟢 Verde   (hh:mm)</t>
        </is>
      </c>
      <c r="D159" s="79" t="n">
        <v>0.05927083333333334</v>
      </c>
      <c r="E159" s="79" t="n">
        <v>0.03212962962962963</v>
      </c>
      <c r="F159" s="79" t="n">
        <v>0.08525462962962962</v>
      </c>
      <c r="G159" s="79" t="n">
        <v>0.127974537037037</v>
      </c>
      <c r="H159" s="79" t="n">
        <v>0.09359953703703704</v>
      </c>
      <c r="I159" s="79" t="n">
        <v>0.114375</v>
      </c>
      <c r="J159" s="79" t="n">
        <v>0.06373842592592592</v>
      </c>
      <c r="K159" s="79" t="n">
        <v>0.07856481481481481</v>
      </c>
      <c r="L159" s="79" t="n">
        <v>0.1061574074074074</v>
      </c>
      <c r="M159" s="79" t="n">
        <v>0.07135416666666666</v>
      </c>
      <c r="N159" s="79" t="n">
        <v>0.09394675925925926</v>
      </c>
      <c r="O159" s="79" t="n">
        <v>0.1252893518518519</v>
      </c>
      <c r="P159" s="79" t="n">
        <v>0.2113425925925926</v>
      </c>
    </row>
    <row r="160" ht="15.75" customHeight="1" s="45">
      <c r="A160" s="57" t="n">
        <v>46155</v>
      </c>
      <c r="B160" s="58" t="inlineStr">
        <is>
          <t>Antes-Projeto</t>
        </is>
      </c>
      <c r="C160" s="59" t="inlineStr">
        <is>
          <t>Acolhim. + Atend. Urgência + Atend. UPA</t>
        </is>
      </c>
      <c r="D160" s="60">
        <f>SUM(D161:D163)</f>
        <v/>
      </c>
      <c r="E160" s="60">
        <f>SUM(E161:E163)</f>
        <v/>
      </c>
      <c r="F160" s="60">
        <f>SUM(F161:F163)</f>
        <v/>
      </c>
      <c r="G160" s="60">
        <f>SUM(G161:G163)</f>
        <v/>
      </c>
      <c r="H160" s="60">
        <f>SUM(H161:H163)</f>
        <v/>
      </c>
      <c r="I160" s="60">
        <f>SUM(I161:I163)</f>
        <v/>
      </c>
      <c r="J160" s="60">
        <f>SUM(J161:J163)</f>
        <v/>
      </c>
      <c r="K160" s="60">
        <f>SUM(K161:K163)</f>
        <v/>
      </c>
      <c r="L160" s="60">
        <f>SUM(L161:L163)</f>
        <v/>
      </c>
      <c r="M160" s="60">
        <f>SUM(M161:M163)</f>
        <v/>
      </c>
      <c r="N160" s="60">
        <f>SUM(N161:N163)</f>
        <v/>
      </c>
      <c r="O160" s="60">
        <f>SUM(O161:O163)</f>
        <v/>
      </c>
      <c r="P160" s="60">
        <f>SUM(P161:P163)</f>
        <v/>
      </c>
    </row>
    <row r="161" ht="15.75" customHeight="1" s="45">
      <c r="A161" s="61" t="n">
        <v>46155</v>
      </c>
      <c r="B161" s="62" t="inlineStr">
        <is>
          <t>Antes-Projeto</t>
        </is>
      </c>
      <c r="C161" s="63" t="inlineStr">
        <is>
          <t>Acolhimento c/ Classif. de Risco</t>
        </is>
      </c>
      <c r="D161" s="64" t="n">
        <v>211</v>
      </c>
      <c r="E161" s="64" t="n">
        <v>150</v>
      </c>
      <c r="F161" s="64" t="n">
        <v>148</v>
      </c>
      <c r="G161" s="64" t="n">
        <v>164</v>
      </c>
      <c r="H161" s="64" t="n">
        <v>123</v>
      </c>
      <c r="I161" s="64" t="n">
        <v>169</v>
      </c>
      <c r="J161" s="64" t="n">
        <v>140</v>
      </c>
      <c r="K161" s="64" t="n">
        <v>399</v>
      </c>
      <c r="L161" s="64" t="n">
        <v>166</v>
      </c>
      <c r="M161" s="64" t="n">
        <v>252</v>
      </c>
      <c r="N161" s="64" t="n">
        <v>218</v>
      </c>
      <c r="O161" s="64" t="n">
        <v>310</v>
      </c>
      <c r="P161" s="64" t="n">
        <v>230</v>
      </c>
    </row>
    <row r="162" ht="15.75" customHeight="1" s="45">
      <c r="A162" s="61" t="n">
        <v>46155</v>
      </c>
      <c r="B162" s="62" t="inlineStr">
        <is>
          <t>Antes-Projeto</t>
        </is>
      </c>
      <c r="C162" s="65" t="inlineStr">
        <is>
          <t>Atend. Urgência Obs. ≤ 24h</t>
        </is>
      </c>
      <c r="D162" s="66" t="n">
        <v>22</v>
      </c>
      <c r="E162" s="66" t="n">
        <v>42</v>
      </c>
      <c r="F162" s="66" t="n">
        <v>30</v>
      </c>
      <c r="G162" s="66" t="n">
        <v>57</v>
      </c>
      <c r="H162" s="66" t="n">
        <v>6</v>
      </c>
      <c r="I162" s="66" t="n">
        <v>17</v>
      </c>
      <c r="J162" s="66" t="n">
        <v>6</v>
      </c>
      <c r="K162" s="66" t="n">
        <v>182</v>
      </c>
      <c r="L162" s="66" t="n">
        <v>37</v>
      </c>
      <c r="M162" s="66" t="n">
        <v>61</v>
      </c>
      <c r="N162" s="66" t="n">
        <v>47</v>
      </c>
      <c r="O162" s="66" t="n">
        <v>17</v>
      </c>
      <c r="P162" s="66" t="n">
        <v>30</v>
      </c>
    </row>
    <row r="163" ht="15.75" customHeight="1" s="45">
      <c r="A163" s="61" t="n">
        <v>46155</v>
      </c>
      <c r="B163" s="62" t="inlineStr">
        <is>
          <t>Antes-Projeto</t>
        </is>
      </c>
      <c r="C163" s="63" t="inlineStr">
        <is>
          <t>Atend. Médico em UPA</t>
        </is>
      </c>
      <c r="D163" s="64" t="n">
        <v>148</v>
      </c>
      <c r="E163" s="64" t="n">
        <v>87</v>
      </c>
      <c r="F163" s="64" t="n">
        <v>97</v>
      </c>
      <c r="G163" s="64" t="n">
        <v>111</v>
      </c>
      <c r="H163" s="64" t="n">
        <v>104</v>
      </c>
      <c r="I163" s="64" t="n">
        <v>137</v>
      </c>
      <c r="J163" s="64" t="n">
        <v>101</v>
      </c>
      <c r="K163" s="64" t="n">
        <v>183</v>
      </c>
      <c r="L163" s="64" t="n">
        <v>107</v>
      </c>
      <c r="M163" s="64" t="n">
        <v>129</v>
      </c>
      <c r="N163" s="64" t="n">
        <v>224</v>
      </c>
      <c r="O163" s="64" t="n">
        <v>215</v>
      </c>
      <c r="P163" s="64" t="n">
        <v>107</v>
      </c>
    </row>
    <row r="164" ht="15.75" customHeight="1" s="45">
      <c r="A164" s="61" t="n">
        <v>46155</v>
      </c>
      <c r="B164" s="62" t="inlineStr">
        <is>
          <t>Antes-Projeto</t>
        </is>
      </c>
      <c r="C164" s="65" t="inlineStr">
        <is>
          <t>Exames Laboratoriais</t>
        </is>
      </c>
      <c r="D164" s="66" t="n">
        <v>704</v>
      </c>
      <c r="E164" s="66" t="n">
        <v>228</v>
      </c>
      <c r="F164" s="66" t="n">
        <v>309</v>
      </c>
      <c r="G164" s="66" t="n">
        <v>290</v>
      </c>
      <c r="H164" s="66" t="n">
        <v>254</v>
      </c>
      <c r="I164" s="66" t="n">
        <v>541</v>
      </c>
      <c r="J164" s="66" t="n">
        <v>317</v>
      </c>
      <c r="K164" s="66" t="n">
        <v>870</v>
      </c>
      <c r="L164" s="66" t="n">
        <v>723</v>
      </c>
      <c r="M164" s="66" t="n">
        <v>756</v>
      </c>
      <c r="N164" s="66" t="n">
        <v>598</v>
      </c>
      <c r="O164" s="66" t="n">
        <v>432</v>
      </c>
      <c r="P164" s="66" t="n">
        <v>349</v>
      </c>
    </row>
    <row r="165" ht="15.75" customHeight="1" s="45">
      <c r="A165" s="61" t="n">
        <v>46155</v>
      </c>
      <c r="B165" s="62" t="inlineStr">
        <is>
          <t>Antes-Projeto</t>
        </is>
      </c>
      <c r="C165" s="63" t="inlineStr">
        <is>
          <t>Radiografias</t>
        </is>
      </c>
      <c r="D165" s="64" t="n">
        <v>41</v>
      </c>
      <c r="E165" s="64" t="n">
        <v>24</v>
      </c>
      <c r="F165" s="64" t="n">
        <v>26</v>
      </c>
      <c r="G165" s="64" t="n">
        <v>1</v>
      </c>
      <c r="H165" s="64" t="n">
        <v>14</v>
      </c>
      <c r="I165" s="64" t="n">
        <v>40</v>
      </c>
      <c r="J165" s="64" t="n">
        <v>10</v>
      </c>
      <c r="K165" s="64" t="n">
        <v>24</v>
      </c>
      <c r="L165" s="64" t="n">
        <v>19</v>
      </c>
      <c r="M165" s="64" t="n">
        <v>56</v>
      </c>
      <c r="N165" s="64" t="n">
        <v>25</v>
      </c>
      <c r="O165" s="64" t="n">
        <v>44</v>
      </c>
      <c r="P165" s="64" t="n">
        <v>50</v>
      </c>
    </row>
    <row r="166" ht="15.75" customHeight="1" s="45">
      <c r="A166" s="61" t="n">
        <v>46155</v>
      </c>
      <c r="B166" s="62" t="inlineStr">
        <is>
          <t>Antes-Projeto</t>
        </is>
      </c>
      <c r="C166" s="65" t="inlineStr">
        <is>
          <t>Eletrocardiogramas</t>
        </is>
      </c>
      <c r="D166" s="66" t="n">
        <v>17</v>
      </c>
      <c r="E166" s="66" t="n">
        <v>14</v>
      </c>
      <c r="F166" s="66" t="n">
        <v>16</v>
      </c>
      <c r="G166" s="66" t="n">
        <v>12</v>
      </c>
      <c r="H166" s="66" t="n">
        <v>6</v>
      </c>
      <c r="I166" s="66" t="n">
        <v>6</v>
      </c>
      <c r="J166" s="66" t="n">
        <v>11</v>
      </c>
      <c r="K166" s="66" t="n">
        <v>24</v>
      </c>
      <c r="L166" s="66" t="n">
        <v>14</v>
      </c>
      <c r="M166" s="66" t="n">
        <v>11</v>
      </c>
      <c r="N166" s="66" t="n">
        <v>15</v>
      </c>
      <c r="O166" s="66" t="n">
        <v>12</v>
      </c>
      <c r="P166" s="66" t="n">
        <v>9</v>
      </c>
    </row>
    <row r="167" ht="15.75" customHeight="1" s="45">
      <c r="A167" s="61" t="n">
        <v>46155</v>
      </c>
      <c r="B167" s="62" t="inlineStr">
        <is>
          <t>Antes-Projeto</t>
        </is>
      </c>
      <c r="C167" s="68" t="inlineStr">
        <is>
          <t>GAEs Abertas</t>
        </is>
      </c>
      <c r="D167" s="69" t="n">
        <v>227</v>
      </c>
      <c r="E167" s="69" t="n">
        <v>154</v>
      </c>
      <c r="F167" s="69" t="n">
        <v>150</v>
      </c>
      <c r="G167" s="69" t="n">
        <v>164</v>
      </c>
      <c r="H167" s="69" t="n">
        <v>130</v>
      </c>
      <c r="I167" s="69" t="n">
        <v>185</v>
      </c>
      <c r="J167" s="69" t="n">
        <v>138</v>
      </c>
      <c r="K167" s="69" t="n">
        <v>468</v>
      </c>
      <c r="L167" s="69" t="n">
        <v>166</v>
      </c>
      <c r="M167" s="69" t="n">
        <v>267</v>
      </c>
      <c r="N167" s="69" t="n">
        <v>226</v>
      </c>
      <c r="O167" s="69" t="n">
        <v>323</v>
      </c>
      <c r="P167" s="69" t="n">
        <v>241</v>
      </c>
    </row>
    <row r="168" ht="15.75" customHeight="1" s="45">
      <c r="A168" s="61" t="n">
        <v>46155</v>
      </c>
      <c r="B168" s="62" t="inlineStr">
        <is>
          <t>Antes-Projeto</t>
        </is>
      </c>
      <c r="C168" s="68" t="inlineStr">
        <is>
          <t>GAEs Classificadas</t>
        </is>
      </c>
      <c r="D168" s="69" t="n">
        <v>215</v>
      </c>
      <c r="E168" s="69" t="n">
        <v>151</v>
      </c>
      <c r="F168" s="69" t="n">
        <v>148</v>
      </c>
      <c r="G168" s="69" t="n">
        <v>163</v>
      </c>
      <c r="H168" s="69" t="n">
        <v>122</v>
      </c>
      <c r="I168" s="69" t="n">
        <v>169</v>
      </c>
      <c r="J168" s="69" t="n">
        <v>138</v>
      </c>
      <c r="K168" s="69" t="n">
        <v>404</v>
      </c>
      <c r="L168" s="69" t="n">
        <v>161</v>
      </c>
      <c r="M168" s="69" t="n">
        <v>251</v>
      </c>
      <c r="N168" s="69" t="n">
        <v>216</v>
      </c>
      <c r="O168" s="69" t="n">
        <v>311</v>
      </c>
      <c r="P168" s="69" t="n">
        <v>230</v>
      </c>
    </row>
    <row r="169" ht="15.75" customHeight="1" s="45">
      <c r="A169" s="61" t="n">
        <v>46155</v>
      </c>
      <c r="B169" s="62" t="inlineStr">
        <is>
          <t>Antes-Projeto</t>
        </is>
      </c>
      <c r="C169" s="70" t="inlineStr">
        <is>
          <t>Percentual de GAEs abertas classificadas</t>
        </is>
      </c>
      <c r="D169" s="71">
        <f>IFERROR(D168/D167,"-")</f>
        <v/>
      </c>
      <c r="E169" s="71">
        <f>IFERROR(E168/E167,"-")</f>
        <v/>
      </c>
      <c r="F169" s="71">
        <f>IFERROR(F168/F167,"-")</f>
        <v/>
      </c>
      <c r="G169" s="71">
        <f>IFERROR(G168/G167,"-")</f>
        <v/>
      </c>
      <c r="H169" s="71">
        <f>IFERROR(H168/H167,"-")</f>
        <v/>
      </c>
      <c r="I169" s="71">
        <f>IFERROR(I168/I167,"-")</f>
        <v/>
      </c>
      <c r="J169" s="71">
        <f>IFERROR(J168/J167,"-")</f>
        <v/>
      </c>
      <c r="K169" s="71">
        <f>IFERROR(K168/K167,"-")</f>
        <v/>
      </c>
      <c r="L169" s="71">
        <f>IFERROR(L168/L167,"-")</f>
        <v/>
      </c>
      <c r="M169" s="71">
        <f>IFERROR(M168/M167,"-")</f>
        <v/>
      </c>
      <c r="N169" s="71">
        <f>IFERROR(N168/N167,"-")</f>
        <v/>
      </c>
      <c r="O169" s="71">
        <f>IFERROR(O168/O167,"-")</f>
        <v/>
      </c>
      <c r="P169" s="71">
        <f>IFERROR(P168/P167,"-")</f>
        <v/>
      </c>
    </row>
    <row r="170" ht="15.75" customHeight="1" s="45">
      <c r="A170" s="61" t="n">
        <v>46155</v>
      </c>
      <c r="B170" s="62" t="inlineStr">
        <is>
          <t>Antes-Projeto</t>
        </is>
      </c>
      <c r="C170" s="72" t="inlineStr">
        <is>
          <t>Tempo Médio — 🟡 Amarelo (hh:mm)</t>
        </is>
      </c>
      <c r="D170" s="73" t="n">
        <v>0.0446875</v>
      </c>
      <c r="E170" s="73" t="n">
        <v>0.09168981481481482</v>
      </c>
      <c r="F170" s="73" t="n">
        <v>0.06662037037037037</v>
      </c>
      <c r="G170" s="73" t="n">
        <v>0.02585648148148148</v>
      </c>
      <c r="H170" s="73" t="n">
        <v>0.04270833333333333</v>
      </c>
      <c r="I170" s="73" t="n">
        <v>0.02662037037037037</v>
      </c>
      <c r="J170" s="73" t="n">
        <v>0.03244212962962963</v>
      </c>
      <c r="K170" s="73" t="n">
        <v>0.09375</v>
      </c>
      <c r="L170" s="73" t="n">
        <v>0.124837962962963</v>
      </c>
      <c r="M170" s="73" t="n">
        <v>0.08099537037037037</v>
      </c>
      <c r="N170" s="73" t="n">
        <v>0.05701388888888889</v>
      </c>
      <c r="O170" s="73" t="n">
        <v>0.1023958333333333</v>
      </c>
      <c r="P170" s="73" t="n">
        <v>0.05888888888888889</v>
      </c>
    </row>
    <row r="171" ht="15.75" customHeight="1" s="45">
      <c r="A171" s="61" t="n">
        <v>46155</v>
      </c>
      <c r="B171" s="62" t="inlineStr">
        <is>
          <t>Antes-Projeto</t>
        </is>
      </c>
      <c r="C171" s="74" t="inlineStr">
        <is>
          <t>Tempo Médio — 🟠 Laranja (hh:mm)</t>
        </is>
      </c>
      <c r="D171" s="75" t="n">
        <v>0.009062499999999999</v>
      </c>
      <c r="E171" s="75" t="n">
        <v>0.01263888888888889</v>
      </c>
      <c r="F171" s="75" t="n">
        <v>0.007291666666666667</v>
      </c>
      <c r="G171" s="75" t="n">
        <v>0.005115740740740741</v>
      </c>
      <c r="H171" s="75" t="n">
        <v>0.003541666666666666</v>
      </c>
      <c r="I171" s="75" t="n">
        <v>0.00369212962962963</v>
      </c>
      <c r="J171" s="75" t="n">
        <v>0.009479166666666667</v>
      </c>
      <c r="K171" s="75" t="n">
        <v>0.02221064814814815</v>
      </c>
      <c r="L171" s="75" t="n">
        <v>0.0125462962962963</v>
      </c>
      <c r="M171" s="75" t="n">
        <v>0.0128125</v>
      </c>
      <c r="N171" s="75" t="n">
        <v>0.007094907407407407</v>
      </c>
      <c r="O171" s="75" t="n">
        <v>0.02034722222222222</v>
      </c>
      <c r="P171" s="75" t="n">
        <v>0.0115162037037037</v>
      </c>
    </row>
    <row r="172" ht="15.75" customHeight="1" s="45">
      <c r="A172" s="76" t="n">
        <v>46155</v>
      </c>
      <c r="B172" s="77" t="inlineStr">
        <is>
          <t>Antes-Projeto</t>
        </is>
      </c>
      <c r="C172" s="78" t="inlineStr">
        <is>
          <t>Tempo Médio — 🟢 Verde   (hh:mm)</t>
        </is>
      </c>
      <c r="D172" s="79" t="n">
        <v>0.05795138888888889</v>
      </c>
      <c r="E172" s="79" t="n">
        <v>0.1276157407407408</v>
      </c>
      <c r="F172" s="79" t="n">
        <v>0.1123148148148148</v>
      </c>
      <c r="G172" s="79" t="n">
        <v>0.09861111111111111</v>
      </c>
      <c r="H172" s="79" t="n">
        <v>0.08120370370370371</v>
      </c>
      <c r="I172" s="79" t="n">
        <v>0.09679398148148148</v>
      </c>
      <c r="J172" s="79" t="n">
        <v>0.04890046296296297</v>
      </c>
      <c r="K172" s="79" t="n">
        <v>0.1227777777777778</v>
      </c>
      <c r="L172" s="79" t="n">
        <v>0.1020023148148148</v>
      </c>
      <c r="M172" s="79" t="n">
        <v>0.1442592592592593</v>
      </c>
      <c r="N172" s="79" t="n">
        <v>0.09696759259259259</v>
      </c>
      <c r="O172" s="79" t="n">
        <v>0.1562615740740741</v>
      </c>
      <c r="P172" s="79" t="n">
        <v>0.1056597222222222</v>
      </c>
    </row>
    <row r="173" ht="15.75" customHeight="1" s="45">
      <c r="A173" s="57" t="n">
        <v>46156</v>
      </c>
      <c r="B173" s="58" t="inlineStr">
        <is>
          <t>Antes-Projeto</t>
        </is>
      </c>
      <c r="C173" s="59" t="inlineStr">
        <is>
          <t>Acolhim. + Atend. Urgência + Atend. UPA</t>
        </is>
      </c>
      <c r="D173" s="60">
        <f>SUM(D174:D176)</f>
        <v/>
      </c>
      <c r="E173" s="60">
        <f>SUM(E174:E176)</f>
        <v/>
      </c>
      <c r="F173" s="60">
        <f>SUM(F174:F176)</f>
        <v/>
      </c>
      <c r="G173" s="60">
        <f>SUM(G174:G176)</f>
        <v/>
      </c>
      <c r="H173" s="60">
        <f>SUM(H174:H176)</f>
        <v/>
      </c>
      <c r="I173" s="60">
        <f>SUM(I174:I176)</f>
        <v/>
      </c>
      <c r="J173" s="60">
        <f>SUM(J174:J176)</f>
        <v/>
      </c>
      <c r="K173" s="60">
        <f>SUM(K174:K176)</f>
        <v/>
      </c>
      <c r="L173" s="60">
        <f>SUM(L174:L176)</f>
        <v/>
      </c>
      <c r="M173" s="60">
        <f>SUM(M174:M176)</f>
        <v/>
      </c>
      <c r="N173" s="60">
        <f>SUM(N174:N176)</f>
        <v/>
      </c>
      <c r="O173" s="60">
        <f>SUM(O174:O176)</f>
        <v/>
      </c>
      <c r="P173" s="60">
        <f>SUM(P174:P176)</f>
        <v/>
      </c>
    </row>
    <row r="174" ht="15.75" customHeight="1" s="45">
      <c r="A174" s="61" t="n">
        <v>46156</v>
      </c>
      <c r="B174" s="62" t="inlineStr">
        <is>
          <t>Antes-Projeto</t>
        </is>
      </c>
      <c r="C174" s="65" t="inlineStr">
        <is>
          <t>Acolhimento c/ Classif. de Risco</t>
        </is>
      </c>
      <c r="D174" s="66" t="n">
        <v>230</v>
      </c>
      <c r="E174" s="66" t="n">
        <v>152</v>
      </c>
      <c r="F174" s="66" t="n">
        <v>147</v>
      </c>
      <c r="G174" s="66" t="n">
        <v>141</v>
      </c>
      <c r="H174" s="66" t="n">
        <v>126</v>
      </c>
      <c r="I174" s="66" t="n">
        <v>195</v>
      </c>
      <c r="J174" s="66" t="n">
        <v>119</v>
      </c>
      <c r="K174" s="66" t="n">
        <v>309</v>
      </c>
      <c r="L174" s="66" t="n">
        <v>156</v>
      </c>
      <c r="M174" s="66" t="n">
        <v>253</v>
      </c>
      <c r="N174" s="66" t="n">
        <v>184</v>
      </c>
      <c r="O174" s="66" t="n">
        <v>292</v>
      </c>
      <c r="P174" s="66" t="n">
        <v>229</v>
      </c>
    </row>
    <row r="175" ht="15.75" customHeight="1" s="45">
      <c r="A175" s="61" t="n">
        <v>46156</v>
      </c>
      <c r="B175" s="62" t="inlineStr">
        <is>
          <t>Antes-Projeto</t>
        </is>
      </c>
      <c r="C175" s="63" t="inlineStr">
        <is>
          <t>Atend. Urgência Obs. ≤ 24h</t>
        </is>
      </c>
      <c r="D175" s="64" t="n">
        <v>29</v>
      </c>
      <c r="E175" s="64" t="n">
        <v>65</v>
      </c>
      <c r="F175" s="64" t="n">
        <v>26</v>
      </c>
      <c r="G175" s="64" t="n">
        <v>89</v>
      </c>
      <c r="H175" s="64" t="n">
        <v>18</v>
      </c>
      <c r="I175" s="64" t="n">
        <v>35</v>
      </c>
      <c r="J175" s="64" t="n">
        <v>45</v>
      </c>
      <c r="K175" s="64" t="n">
        <v>59</v>
      </c>
      <c r="L175" s="64" t="n">
        <v>37</v>
      </c>
      <c r="M175" s="64" t="n">
        <v>21</v>
      </c>
      <c r="N175" s="64" t="n">
        <v>34</v>
      </c>
      <c r="O175" s="64" t="n">
        <v>12</v>
      </c>
      <c r="P175" s="64" t="n">
        <v>50</v>
      </c>
    </row>
    <row r="176" ht="15.75" customHeight="1" s="45">
      <c r="A176" s="61" t="n">
        <v>46156</v>
      </c>
      <c r="B176" s="62" t="inlineStr">
        <is>
          <t>Antes-Projeto</t>
        </is>
      </c>
      <c r="C176" s="65" t="inlineStr">
        <is>
          <t>Atend. Médico em UPA</t>
        </is>
      </c>
      <c r="D176" s="66" t="n">
        <v>143</v>
      </c>
      <c r="E176" s="66" t="n">
        <v>98</v>
      </c>
      <c r="F176" s="66" t="n">
        <v>92</v>
      </c>
      <c r="G176" s="66" t="n">
        <v>106</v>
      </c>
      <c r="H176" s="66" t="n">
        <v>78</v>
      </c>
      <c r="I176" s="66" t="n">
        <v>150</v>
      </c>
      <c r="J176" s="66" t="n">
        <v>80</v>
      </c>
      <c r="K176" s="66" t="n">
        <v>238</v>
      </c>
      <c r="L176" s="66" t="n">
        <v>140</v>
      </c>
      <c r="M176" s="66" t="n">
        <v>170</v>
      </c>
      <c r="N176" s="66" t="n">
        <v>195</v>
      </c>
      <c r="O176" s="66" t="n">
        <v>226</v>
      </c>
      <c r="P176" s="66" t="n">
        <v>138</v>
      </c>
    </row>
    <row r="177" ht="15.75" customHeight="1" s="45">
      <c r="A177" s="61" t="n">
        <v>46156</v>
      </c>
      <c r="B177" s="62" t="inlineStr">
        <is>
          <t>Antes-Projeto</t>
        </is>
      </c>
      <c r="C177" s="63" t="inlineStr">
        <is>
          <t>Exames Laboratoriais</t>
        </is>
      </c>
      <c r="D177" s="64" t="n">
        <v>628</v>
      </c>
      <c r="E177" s="64" t="n">
        <v>465</v>
      </c>
      <c r="F177" s="64" t="n">
        <v>700</v>
      </c>
      <c r="G177" s="64" t="n">
        <v>513</v>
      </c>
      <c r="H177" s="64" t="n">
        <v>297</v>
      </c>
      <c r="I177" s="64" t="n">
        <v>623</v>
      </c>
      <c r="J177" s="64" t="n">
        <v>381</v>
      </c>
      <c r="K177" s="64" t="n">
        <v>835</v>
      </c>
      <c r="L177" s="64" t="n">
        <v>787</v>
      </c>
      <c r="M177" s="64" t="n">
        <v>627</v>
      </c>
      <c r="N177" s="64" t="n">
        <v>709</v>
      </c>
      <c r="O177" s="64" t="n">
        <v>456</v>
      </c>
      <c r="P177" s="64" t="n">
        <v>324</v>
      </c>
    </row>
    <row r="178" ht="15.75" customHeight="1" s="45">
      <c r="A178" s="61" t="n">
        <v>46156</v>
      </c>
      <c r="B178" s="62" t="inlineStr">
        <is>
          <t>Antes-Projeto</t>
        </is>
      </c>
      <c r="C178" s="65" t="inlineStr">
        <is>
          <t>Radiografias</t>
        </is>
      </c>
      <c r="D178" s="66" t="n">
        <v>35</v>
      </c>
      <c r="E178" s="66" t="n">
        <v>22</v>
      </c>
      <c r="F178" s="66" t="n">
        <v>22</v>
      </c>
      <c r="G178" s="67" t="n">
        <v>0</v>
      </c>
      <c r="H178" s="66" t="n">
        <v>23</v>
      </c>
      <c r="I178" s="66" t="n">
        <v>22</v>
      </c>
      <c r="J178" s="66" t="n">
        <v>23</v>
      </c>
      <c r="K178" s="66" t="n">
        <v>1</v>
      </c>
      <c r="L178" s="66" t="n">
        <v>8</v>
      </c>
      <c r="M178" s="66" t="n">
        <v>80</v>
      </c>
      <c r="N178" s="66" t="n">
        <v>24</v>
      </c>
      <c r="O178" s="66" t="n">
        <v>47</v>
      </c>
      <c r="P178" s="66" t="n">
        <v>54</v>
      </c>
    </row>
    <row r="179" ht="15.75" customHeight="1" s="45">
      <c r="A179" s="61" t="n">
        <v>46156</v>
      </c>
      <c r="B179" s="62" t="inlineStr">
        <is>
          <t>Antes-Projeto</t>
        </is>
      </c>
      <c r="C179" s="63" t="inlineStr">
        <is>
          <t>Eletrocardiogramas</t>
        </is>
      </c>
      <c r="D179" s="64" t="n">
        <v>20</v>
      </c>
      <c r="E179" s="64" t="n">
        <v>13</v>
      </c>
      <c r="F179" s="64" t="n">
        <v>32</v>
      </c>
      <c r="G179" s="64" t="n">
        <v>19</v>
      </c>
      <c r="H179" s="64" t="n">
        <v>2</v>
      </c>
      <c r="I179" s="64" t="n">
        <v>12</v>
      </c>
      <c r="J179" s="64" t="n">
        <v>10</v>
      </c>
      <c r="K179" s="64" t="n">
        <v>21</v>
      </c>
      <c r="L179" s="64" t="n">
        <v>16</v>
      </c>
      <c r="M179" s="64" t="n">
        <v>14</v>
      </c>
      <c r="N179" s="64" t="n">
        <v>22</v>
      </c>
      <c r="O179" s="64" t="n">
        <v>18</v>
      </c>
      <c r="P179" s="64" t="n">
        <v>24</v>
      </c>
    </row>
    <row r="180" ht="15.75" customHeight="1" s="45">
      <c r="A180" s="61" t="n">
        <v>46156</v>
      </c>
      <c r="B180" s="62" t="inlineStr">
        <is>
          <t>Antes-Projeto</t>
        </is>
      </c>
      <c r="C180" s="68" t="inlineStr">
        <is>
          <t>GAEs Abertas</t>
        </is>
      </c>
      <c r="D180" s="69" t="n">
        <v>245</v>
      </c>
      <c r="E180" s="69" t="n">
        <v>161</v>
      </c>
      <c r="F180" s="69" t="n">
        <v>150</v>
      </c>
      <c r="G180" s="69" t="n">
        <v>146</v>
      </c>
      <c r="H180" s="69" t="n">
        <v>128</v>
      </c>
      <c r="I180" s="69" t="n">
        <v>204</v>
      </c>
      <c r="J180" s="69" t="n">
        <v>121</v>
      </c>
      <c r="K180" s="69" t="n">
        <v>358</v>
      </c>
      <c r="L180" s="69" t="n">
        <v>170</v>
      </c>
      <c r="M180" s="69" t="n">
        <v>269</v>
      </c>
      <c r="N180" s="69" t="n">
        <v>203</v>
      </c>
      <c r="O180" s="69" t="n">
        <v>305</v>
      </c>
      <c r="P180" s="69" t="n">
        <v>235</v>
      </c>
    </row>
    <row r="181" ht="15.75" customHeight="1" s="45">
      <c r="A181" s="61" t="n">
        <v>46156</v>
      </c>
      <c r="B181" s="62" t="inlineStr">
        <is>
          <t>Antes-Projeto</t>
        </is>
      </c>
      <c r="C181" s="68" t="inlineStr">
        <is>
          <t>GAEs Classificadas</t>
        </is>
      </c>
      <c r="D181" s="69" t="n">
        <v>226</v>
      </c>
      <c r="E181" s="69" t="n">
        <v>154</v>
      </c>
      <c r="F181" s="69" t="n">
        <v>147</v>
      </c>
      <c r="G181" s="69" t="n">
        <v>141</v>
      </c>
      <c r="H181" s="69" t="n">
        <v>126</v>
      </c>
      <c r="I181" s="69" t="n">
        <v>191</v>
      </c>
      <c r="J181" s="69" t="n">
        <v>119</v>
      </c>
      <c r="K181" s="69" t="n">
        <v>306</v>
      </c>
      <c r="L181" s="69" t="n">
        <v>157</v>
      </c>
      <c r="M181" s="69" t="n">
        <v>253</v>
      </c>
      <c r="N181" s="69" t="n">
        <v>182</v>
      </c>
      <c r="O181" s="69" t="n">
        <v>290</v>
      </c>
      <c r="P181" s="69" t="n">
        <v>227</v>
      </c>
    </row>
    <row r="182" ht="15.75" customHeight="1" s="45">
      <c r="A182" s="61" t="n">
        <v>46156</v>
      </c>
      <c r="B182" s="62" t="inlineStr">
        <is>
          <t>Antes-Projeto</t>
        </is>
      </c>
      <c r="C182" s="70" t="inlineStr">
        <is>
          <t>Percentual de GAEs abertas classificadas</t>
        </is>
      </c>
      <c r="D182" s="71">
        <f>IFERROR(D181/D180,"-")</f>
        <v/>
      </c>
      <c r="E182" s="71">
        <f>IFERROR(E181/E180,"-")</f>
        <v/>
      </c>
      <c r="F182" s="71">
        <f>IFERROR(F181/F180,"-")</f>
        <v/>
      </c>
      <c r="G182" s="71">
        <f>IFERROR(G181/G180,"-")</f>
        <v/>
      </c>
      <c r="H182" s="71">
        <f>IFERROR(H181/H180,"-")</f>
        <v/>
      </c>
      <c r="I182" s="71">
        <f>IFERROR(I181/I180,"-")</f>
        <v/>
      </c>
      <c r="J182" s="71">
        <f>IFERROR(J181/J180,"-")</f>
        <v/>
      </c>
      <c r="K182" s="71">
        <f>IFERROR(K181/K180,"-")</f>
        <v/>
      </c>
      <c r="L182" s="71">
        <f>IFERROR(L181/L180,"-")</f>
        <v/>
      </c>
      <c r="M182" s="71">
        <f>IFERROR(M181/M180,"-")</f>
        <v/>
      </c>
      <c r="N182" s="71">
        <f>IFERROR(N181/N180,"-")</f>
        <v/>
      </c>
      <c r="O182" s="71">
        <f>IFERROR(O181/O180,"-")</f>
        <v/>
      </c>
      <c r="P182" s="71">
        <f>IFERROR(P181/P180,"-")</f>
        <v/>
      </c>
    </row>
    <row r="183" ht="15.75" customHeight="1" s="45">
      <c r="A183" s="61" t="n">
        <v>46156</v>
      </c>
      <c r="B183" s="62" t="inlineStr">
        <is>
          <t>Antes-Projeto</t>
        </is>
      </c>
      <c r="C183" s="72" t="inlineStr">
        <is>
          <t>Tempo Médio — 🟡 Amarelo (hh:mm)</t>
        </is>
      </c>
      <c r="D183" s="73" t="n">
        <v>0.0680787037037037</v>
      </c>
      <c r="E183" s="73" t="n">
        <v>0.1418171296296296</v>
      </c>
      <c r="F183" s="73" t="n">
        <v>0.08902777777777778</v>
      </c>
      <c r="G183" s="73" t="n">
        <v>0.02881944444444445</v>
      </c>
      <c r="H183" s="73" t="n">
        <v>0.05052083333333333</v>
      </c>
      <c r="I183" s="73" t="n">
        <v>0.08392361111111112</v>
      </c>
      <c r="J183" s="73" t="n">
        <v>0.0296875</v>
      </c>
      <c r="K183" s="73" t="n">
        <v>0.07656250000000001</v>
      </c>
      <c r="L183" s="73" t="n">
        <v>0.07010416666666666</v>
      </c>
      <c r="M183" s="73" t="n">
        <v>0.03564814814814815</v>
      </c>
      <c r="N183" s="73" t="n">
        <v>0.07844907407407407</v>
      </c>
      <c r="O183" s="73" t="n">
        <v>0.06278935185185185</v>
      </c>
      <c r="P183" s="73" t="n">
        <v>0.05813657407407408</v>
      </c>
    </row>
    <row r="184" ht="15.75" customHeight="1" s="45">
      <c r="A184" s="61" t="n">
        <v>46156</v>
      </c>
      <c r="B184" s="62" t="inlineStr">
        <is>
          <t>Antes-Projeto</t>
        </is>
      </c>
      <c r="C184" s="74" t="inlineStr">
        <is>
          <t>Tempo Médio — 🟠 Laranja (hh:mm)</t>
        </is>
      </c>
      <c r="D184" s="75" t="n">
        <v>0.0181712962962963</v>
      </c>
      <c r="E184" s="75" t="n">
        <v>0.01185185185185185</v>
      </c>
      <c r="F184" s="75" t="n">
        <v>0.01268518518518518</v>
      </c>
      <c r="G184" s="75" t="n">
        <v>0.004826388888888889</v>
      </c>
      <c r="H184" s="75" t="n">
        <v>0.0046875</v>
      </c>
      <c r="I184" s="75" t="n">
        <v>0.005763888888888889</v>
      </c>
      <c r="J184" s="75" t="n">
        <v>0.008680555555555556</v>
      </c>
      <c r="K184" s="75" t="n">
        <v>0.0134837962962963</v>
      </c>
      <c r="L184" s="75" t="n">
        <v>0.01065972222222222</v>
      </c>
      <c r="M184" s="75" t="n">
        <v>0.008645833333333333</v>
      </c>
      <c r="N184" s="75" t="n">
        <v>0.01391203703703704</v>
      </c>
      <c r="O184" s="75" t="n">
        <v>0.01478009259259259</v>
      </c>
      <c r="P184" s="75" t="n">
        <v>0.008020833333333333</v>
      </c>
    </row>
    <row r="185" ht="15.75" customHeight="1" s="45">
      <c r="A185" s="76" t="n">
        <v>46156</v>
      </c>
      <c r="B185" s="77" t="inlineStr">
        <is>
          <t>Antes-Projeto</t>
        </is>
      </c>
      <c r="C185" s="78" t="inlineStr">
        <is>
          <t>Tempo Médio — 🟢 Verde   (hh:mm)</t>
        </is>
      </c>
      <c r="D185" s="79" t="n">
        <v>0.08631944444444445</v>
      </c>
      <c r="E185" s="79" t="n">
        <v>0.1617708333333333</v>
      </c>
      <c r="F185" s="79" t="n">
        <v>0.1238310185185185</v>
      </c>
      <c r="G185" s="79" t="n">
        <v>0.1012962962962963</v>
      </c>
      <c r="H185" s="79" t="n">
        <v>0.08122685185185186</v>
      </c>
      <c r="I185" s="79" t="n">
        <v>0.1578819444444444</v>
      </c>
      <c r="J185" s="79" t="n">
        <v>0.07086805555555556</v>
      </c>
      <c r="K185" s="79" t="n">
        <v>0.1281134259259259</v>
      </c>
      <c r="L185" s="79" t="n">
        <v>0.1223842592592593</v>
      </c>
      <c r="M185" s="79" t="n">
        <v>0.07409722222222222</v>
      </c>
      <c r="N185" s="79" t="n">
        <v>0.106712962962963</v>
      </c>
      <c r="O185" s="79" t="n">
        <v>0.1546643518518518</v>
      </c>
      <c r="P185" s="79" t="n">
        <v>0.1117939814814815</v>
      </c>
    </row>
    <row r="186" ht="15.75" customHeight="1" s="45">
      <c r="A186" s="57" t="n">
        <v>46157</v>
      </c>
      <c r="B186" s="58" t="inlineStr">
        <is>
          <t>Antes-Projeto</t>
        </is>
      </c>
      <c r="C186" s="59" t="inlineStr">
        <is>
          <t>Acolhim. + Atend. Urgência + Atend. UPA</t>
        </is>
      </c>
      <c r="D186" s="60">
        <f>SUM(D187:D189)</f>
        <v/>
      </c>
      <c r="E186" s="60">
        <f>SUM(E187:E189)</f>
        <v/>
      </c>
      <c r="F186" s="60">
        <f>SUM(F187:F189)</f>
        <v/>
      </c>
      <c r="G186" s="60">
        <f>SUM(G187:G189)</f>
        <v/>
      </c>
      <c r="H186" s="60">
        <f>SUM(H187:H189)</f>
        <v/>
      </c>
      <c r="I186" s="60">
        <f>SUM(I187:I189)</f>
        <v/>
      </c>
      <c r="J186" s="60">
        <f>SUM(J187:J189)</f>
        <v/>
      </c>
      <c r="K186" s="60">
        <f>SUM(K187:K189)</f>
        <v/>
      </c>
      <c r="L186" s="60">
        <f>SUM(L187:L189)</f>
        <v/>
      </c>
      <c r="M186" s="60">
        <f>SUM(M187:M189)</f>
        <v/>
      </c>
      <c r="N186" s="60">
        <f>SUM(N187:N189)</f>
        <v/>
      </c>
      <c r="O186" s="60">
        <f>SUM(O187:O189)</f>
        <v/>
      </c>
      <c r="P186" s="60">
        <f>SUM(P187:P189)</f>
        <v/>
      </c>
    </row>
    <row r="187" ht="15.75" customHeight="1" s="45">
      <c r="A187" s="61" t="n">
        <v>46157</v>
      </c>
      <c r="B187" s="62" t="inlineStr">
        <is>
          <t>Antes-Projeto</t>
        </is>
      </c>
      <c r="C187" s="63" t="inlineStr">
        <is>
          <t>Acolhimento c/ Classif. de Risco</t>
        </is>
      </c>
      <c r="D187" s="64" t="n">
        <v>219</v>
      </c>
      <c r="E187" s="64" t="n">
        <v>136</v>
      </c>
      <c r="F187" s="64" t="n">
        <v>149</v>
      </c>
      <c r="G187" s="64" t="n">
        <v>123</v>
      </c>
      <c r="H187" s="64" t="n">
        <v>112</v>
      </c>
      <c r="I187" s="64" t="n">
        <v>204</v>
      </c>
      <c r="J187" s="64" t="n">
        <v>123</v>
      </c>
      <c r="K187" s="64" t="n">
        <v>277</v>
      </c>
      <c r="L187" s="64" t="n">
        <v>129</v>
      </c>
      <c r="M187" s="64" t="n">
        <v>245</v>
      </c>
      <c r="N187" s="64" t="n">
        <v>165</v>
      </c>
      <c r="O187" s="64" t="n">
        <v>275</v>
      </c>
      <c r="P187" s="64" t="n">
        <v>240</v>
      </c>
    </row>
    <row r="188" ht="15.75" customHeight="1" s="45">
      <c r="A188" s="61" t="n">
        <v>46157</v>
      </c>
      <c r="B188" s="62" t="inlineStr">
        <is>
          <t>Antes-Projeto</t>
        </is>
      </c>
      <c r="C188" s="65" t="inlineStr">
        <is>
          <t>Atend. Urgência Obs. ≤ 24h</t>
        </is>
      </c>
      <c r="D188" s="66" t="n">
        <v>18</v>
      </c>
      <c r="E188" s="66" t="n">
        <v>55</v>
      </c>
      <c r="F188" s="66" t="n">
        <v>28</v>
      </c>
      <c r="G188" s="66" t="n">
        <v>24</v>
      </c>
      <c r="H188" s="66" t="n">
        <v>15</v>
      </c>
      <c r="I188" s="66" t="n">
        <v>33</v>
      </c>
      <c r="J188" s="66" t="n">
        <v>49</v>
      </c>
      <c r="K188" s="66" t="n">
        <v>58</v>
      </c>
      <c r="L188" s="66" t="n">
        <v>36</v>
      </c>
      <c r="M188" s="66" t="n">
        <v>38</v>
      </c>
      <c r="N188" s="66" t="n">
        <v>22</v>
      </c>
      <c r="O188" s="66" t="n">
        <v>10</v>
      </c>
      <c r="P188" s="66" t="n">
        <v>67</v>
      </c>
    </row>
    <row r="189" ht="15.75" customHeight="1" s="45">
      <c r="A189" s="61" t="n">
        <v>46157</v>
      </c>
      <c r="B189" s="62" t="inlineStr">
        <is>
          <t>Antes-Projeto</t>
        </is>
      </c>
      <c r="C189" s="63" t="inlineStr">
        <is>
          <t>Atend. Médico em UPA</t>
        </is>
      </c>
      <c r="D189" s="64" t="n">
        <v>206</v>
      </c>
      <c r="E189" s="64" t="n">
        <v>104</v>
      </c>
      <c r="F189" s="64" t="n">
        <v>102</v>
      </c>
      <c r="G189" s="64" t="n">
        <v>92</v>
      </c>
      <c r="H189" s="64" t="n">
        <v>70</v>
      </c>
      <c r="I189" s="64" t="n">
        <v>181</v>
      </c>
      <c r="J189" s="64" t="n">
        <v>91</v>
      </c>
      <c r="K189" s="64" t="n">
        <v>182</v>
      </c>
      <c r="L189" s="64" t="n">
        <v>89</v>
      </c>
      <c r="M189" s="64" t="n">
        <v>150</v>
      </c>
      <c r="N189" s="64" t="n">
        <v>163</v>
      </c>
      <c r="O189" s="64" t="n">
        <v>185</v>
      </c>
      <c r="P189" s="64" t="n">
        <v>134</v>
      </c>
    </row>
    <row r="190" ht="15.75" customHeight="1" s="45">
      <c r="A190" s="61" t="n">
        <v>46157</v>
      </c>
      <c r="B190" s="62" t="inlineStr">
        <is>
          <t>Antes-Projeto</t>
        </is>
      </c>
      <c r="C190" s="65" t="inlineStr">
        <is>
          <t>Exames Laboratoriais</t>
        </is>
      </c>
      <c r="D190" s="66" t="n">
        <v>582</v>
      </c>
      <c r="E190" s="66" t="n">
        <v>382</v>
      </c>
      <c r="F190" s="66" t="n">
        <v>491</v>
      </c>
      <c r="G190" s="66" t="n">
        <v>320</v>
      </c>
      <c r="H190" s="66" t="n">
        <v>431</v>
      </c>
      <c r="I190" s="66" t="n">
        <v>568</v>
      </c>
      <c r="J190" s="66" t="n">
        <v>355</v>
      </c>
      <c r="K190" s="66" t="n">
        <v>1027</v>
      </c>
      <c r="L190" s="66" t="n">
        <v>561</v>
      </c>
      <c r="M190" s="66" t="n">
        <v>590</v>
      </c>
      <c r="N190" s="66" t="n">
        <v>718</v>
      </c>
      <c r="O190" s="66" t="n">
        <v>413</v>
      </c>
      <c r="P190" s="66" t="n">
        <v>408</v>
      </c>
    </row>
    <row r="191" ht="15.75" customHeight="1" s="45">
      <c r="A191" s="61" t="n">
        <v>46157</v>
      </c>
      <c r="B191" s="62" t="inlineStr">
        <is>
          <t>Antes-Projeto</t>
        </is>
      </c>
      <c r="C191" s="63" t="inlineStr">
        <is>
          <t>Radiografias</t>
        </is>
      </c>
      <c r="D191" s="64" t="n">
        <v>30</v>
      </c>
      <c r="E191" s="64" t="n">
        <v>22</v>
      </c>
      <c r="F191" s="64" t="n">
        <v>26</v>
      </c>
      <c r="G191" s="64" t="n">
        <v>10</v>
      </c>
      <c r="H191" s="64" t="n">
        <v>20</v>
      </c>
      <c r="I191" s="64" t="n">
        <v>20</v>
      </c>
      <c r="J191" s="64" t="n">
        <v>20</v>
      </c>
      <c r="K191" s="64" t="n">
        <v>5</v>
      </c>
      <c r="L191" s="64" t="n">
        <v>14</v>
      </c>
      <c r="M191" s="64" t="n">
        <v>50</v>
      </c>
      <c r="N191" s="64" t="n">
        <v>26</v>
      </c>
      <c r="O191" s="64" t="n">
        <v>36</v>
      </c>
      <c r="P191" s="64" t="n">
        <v>37</v>
      </c>
    </row>
    <row r="192" ht="15.75" customHeight="1" s="45">
      <c r="A192" s="61" t="n">
        <v>46157</v>
      </c>
      <c r="B192" s="62" t="inlineStr">
        <is>
          <t>Antes-Projeto</t>
        </is>
      </c>
      <c r="C192" s="65" t="inlineStr">
        <is>
          <t>Eletrocardiogramas</t>
        </is>
      </c>
      <c r="D192" s="66" t="n">
        <v>21</v>
      </c>
      <c r="E192" s="66" t="n">
        <v>17</v>
      </c>
      <c r="F192" s="66" t="n">
        <v>18</v>
      </c>
      <c r="G192" s="66" t="n">
        <v>14</v>
      </c>
      <c r="H192" s="66" t="n">
        <v>9</v>
      </c>
      <c r="I192" s="66" t="n">
        <v>12</v>
      </c>
      <c r="J192" s="66" t="n">
        <v>12</v>
      </c>
      <c r="K192" s="66" t="n">
        <v>22</v>
      </c>
      <c r="L192" s="66" t="n">
        <v>5</v>
      </c>
      <c r="M192" s="66" t="n">
        <v>16</v>
      </c>
      <c r="N192" s="66" t="n">
        <v>19</v>
      </c>
      <c r="O192" s="66" t="n">
        <v>17</v>
      </c>
      <c r="P192" s="66" t="n">
        <v>18</v>
      </c>
    </row>
    <row r="193" ht="15.75" customHeight="1" s="45">
      <c r="A193" s="61" t="n">
        <v>46157</v>
      </c>
      <c r="B193" s="62" t="inlineStr">
        <is>
          <t>Antes-Projeto</t>
        </is>
      </c>
      <c r="C193" s="68" t="inlineStr">
        <is>
          <t>GAEs Abertas</t>
        </is>
      </c>
      <c r="D193" s="69" t="n">
        <v>228</v>
      </c>
      <c r="E193" s="69" t="n">
        <v>144</v>
      </c>
      <c r="F193" s="69" t="n">
        <v>148</v>
      </c>
      <c r="G193" s="69" t="n">
        <v>126</v>
      </c>
      <c r="H193" s="69" t="n">
        <v>119</v>
      </c>
      <c r="I193" s="69" t="n">
        <v>215</v>
      </c>
      <c r="J193" s="69" t="n">
        <v>124</v>
      </c>
      <c r="K193" s="69" t="n">
        <v>301</v>
      </c>
      <c r="L193" s="69" t="n">
        <v>131</v>
      </c>
      <c r="M193" s="69" t="n">
        <v>253</v>
      </c>
      <c r="N193" s="69" t="n">
        <v>172</v>
      </c>
      <c r="O193" s="69" t="n">
        <v>285</v>
      </c>
      <c r="P193" s="69" t="n">
        <v>249</v>
      </c>
    </row>
    <row r="194" ht="15.75" customHeight="1" s="45">
      <c r="A194" s="61" t="n">
        <v>46157</v>
      </c>
      <c r="B194" s="62" t="inlineStr">
        <is>
          <t>Antes-Projeto</t>
        </is>
      </c>
      <c r="C194" s="68" t="inlineStr">
        <is>
          <t>GAEs Classificadas</t>
        </is>
      </c>
      <c r="D194" s="69" t="n">
        <v>220</v>
      </c>
      <c r="E194" s="69" t="n">
        <v>138</v>
      </c>
      <c r="F194" s="69" t="n">
        <v>149</v>
      </c>
      <c r="G194" s="69" t="n">
        <v>123</v>
      </c>
      <c r="H194" s="69" t="n">
        <v>112</v>
      </c>
      <c r="I194" s="69" t="n">
        <v>202</v>
      </c>
      <c r="J194" s="69" t="n">
        <v>123</v>
      </c>
      <c r="K194" s="69" t="n">
        <v>275</v>
      </c>
      <c r="L194" s="69" t="n">
        <v>127</v>
      </c>
      <c r="M194" s="69" t="n">
        <v>245</v>
      </c>
      <c r="N194" s="69" t="n">
        <v>163</v>
      </c>
      <c r="O194" s="69" t="n">
        <v>275</v>
      </c>
      <c r="P194" s="69" t="n">
        <v>240</v>
      </c>
    </row>
    <row r="195" ht="15.75" customHeight="1" s="45">
      <c r="A195" s="61" t="n">
        <v>46157</v>
      </c>
      <c r="B195" s="62" t="inlineStr">
        <is>
          <t>Antes-Projeto</t>
        </is>
      </c>
      <c r="C195" s="70" t="inlineStr">
        <is>
          <t>Percentual de GAEs abertas classificadas</t>
        </is>
      </c>
      <c r="D195" s="71">
        <f>IFERROR(D194/D193,"-")</f>
        <v/>
      </c>
      <c r="E195" s="71">
        <f>IFERROR(E194/E193,"-")</f>
        <v/>
      </c>
      <c r="F195" s="71">
        <f>IFERROR(F194/F193,"-")</f>
        <v/>
      </c>
      <c r="G195" s="71">
        <f>IFERROR(G194/G193,"-")</f>
        <v/>
      </c>
      <c r="H195" s="71">
        <f>IFERROR(H194/H193,"-")</f>
        <v/>
      </c>
      <c r="I195" s="71">
        <f>IFERROR(I194/I193,"-")</f>
        <v/>
      </c>
      <c r="J195" s="71">
        <f>IFERROR(J194/J193,"-")</f>
        <v/>
      </c>
      <c r="K195" s="71">
        <f>IFERROR(K194/K193,"-")</f>
        <v/>
      </c>
      <c r="L195" s="71">
        <f>IFERROR(L194/L193,"-")</f>
        <v/>
      </c>
      <c r="M195" s="71">
        <f>IFERROR(M194/M193,"-")</f>
        <v/>
      </c>
      <c r="N195" s="71">
        <f>IFERROR(N194/N193,"-")</f>
        <v/>
      </c>
      <c r="O195" s="71">
        <f>IFERROR(O194/O193,"-")</f>
        <v/>
      </c>
      <c r="P195" s="71">
        <f>IFERROR(P194/P193,"-")</f>
        <v/>
      </c>
    </row>
    <row r="196" ht="15.75" customHeight="1" s="45">
      <c r="A196" s="61" t="n">
        <v>46157</v>
      </c>
      <c r="B196" s="62" t="inlineStr">
        <is>
          <t>Antes-Projeto</t>
        </is>
      </c>
      <c r="C196" s="72" t="inlineStr">
        <is>
          <t>Tempo Médio — 🟡 Amarelo (hh:mm)</t>
        </is>
      </c>
      <c r="D196" s="73" t="n">
        <v>0.02548611111111111</v>
      </c>
      <c r="E196" s="73" t="n">
        <v>0.03796296296296296</v>
      </c>
      <c r="F196" s="73" t="n">
        <v>0.05174768518518519</v>
      </c>
      <c r="G196" s="73" t="n">
        <v>0.06064814814814815</v>
      </c>
      <c r="H196" s="73" t="n">
        <v>0.0706712962962963</v>
      </c>
      <c r="I196" s="73" t="n">
        <v>0.03327546296296297</v>
      </c>
      <c r="J196" s="73" t="n">
        <v>0.03585648148148148</v>
      </c>
      <c r="K196" s="73" t="n">
        <v>0.08500000000000001</v>
      </c>
      <c r="L196" s="73" t="n">
        <v>0.06961805555555556</v>
      </c>
      <c r="M196" s="73" t="n">
        <v>0.03520833333333333</v>
      </c>
      <c r="N196" s="73" t="n">
        <v>0.05001157407407408</v>
      </c>
      <c r="O196" s="73" t="n">
        <v>0.09280092592592593</v>
      </c>
      <c r="P196" s="73" t="n">
        <v>0.1455902777777778</v>
      </c>
    </row>
    <row r="197" ht="15.75" customHeight="1" s="45">
      <c r="A197" s="61" t="n">
        <v>46157</v>
      </c>
      <c r="B197" s="62" t="inlineStr">
        <is>
          <t>Antes-Projeto</t>
        </is>
      </c>
      <c r="C197" s="74" t="inlineStr">
        <is>
          <t>Tempo Médio — 🟠 Laranja (hh:mm)</t>
        </is>
      </c>
      <c r="D197" s="75" t="n">
        <v>0.005659722222222222</v>
      </c>
      <c r="E197" s="75" t="n">
        <v>0.02034722222222222</v>
      </c>
      <c r="F197" s="75" t="n">
        <v>0.005613425925925926</v>
      </c>
      <c r="G197" s="75" t="n">
        <v>0.003877314814814815</v>
      </c>
      <c r="H197" s="75" t="n">
        <v>0.00625</v>
      </c>
      <c r="I197" s="75" t="n">
        <v>0.007037037037037037</v>
      </c>
      <c r="J197" s="75" t="n">
        <v>0.01186342592592593</v>
      </c>
      <c r="K197" s="75" t="n">
        <v>0.0208912037037037</v>
      </c>
      <c r="L197" s="75" t="n">
        <v>0.01027777777777778</v>
      </c>
      <c r="M197" s="75" t="n">
        <v>0.009942129629629629</v>
      </c>
      <c r="N197" s="75" t="n">
        <v>0.0122337962962963</v>
      </c>
      <c r="O197" s="75" t="n">
        <v>0.01489583333333333</v>
      </c>
      <c r="P197" s="75" t="n">
        <v>0.01313657407407407</v>
      </c>
    </row>
    <row r="198" ht="15.75" customHeight="1" s="45">
      <c r="A198" s="76" t="n">
        <v>46157</v>
      </c>
      <c r="B198" s="77" t="inlineStr">
        <is>
          <t>Antes-Projeto</t>
        </is>
      </c>
      <c r="C198" s="78" t="inlineStr">
        <is>
          <t>Tempo Médio — 🟢 Verde   (hh:mm)</t>
        </is>
      </c>
      <c r="D198" s="79" t="n">
        <v>0.06155092592592593</v>
      </c>
      <c r="E198" s="79" t="n">
        <v>0.04283564814814815</v>
      </c>
      <c r="F198" s="79" t="n">
        <v>0.08940972222222222</v>
      </c>
      <c r="G198" s="79" t="n">
        <v>0.06377314814814815</v>
      </c>
      <c r="H198" s="79" t="n">
        <v>0.07423611111111111</v>
      </c>
      <c r="I198" s="79" t="n">
        <v>0.1043981481481481</v>
      </c>
      <c r="J198" s="79" t="n">
        <v>0.08694444444444445</v>
      </c>
      <c r="K198" s="79" t="n">
        <v>0.1010648148148148</v>
      </c>
      <c r="L198" s="79" t="n">
        <v>0.1228240740740741</v>
      </c>
      <c r="M198" s="79" t="n">
        <v>0.1070138888888889</v>
      </c>
      <c r="N198" s="79" t="n">
        <v>0.09609953703703704</v>
      </c>
      <c r="O198" s="79" t="n">
        <v>0.1724305555555556</v>
      </c>
      <c r="P198" s="79" t="n">
        <v>0.1700231481481481</v>
      </c>
    </row>
    <row r="199" ht="15.75" customHeight="1" s="45">
      <c r="A199" s="57" t="n">
        <v>46158</v>
      </c>
      <c r="B199" s="58" t="inlineStr">
        <is>
          <t>Antes-Projeto</t>
        </is>
      </c>
      <c r="C199" s="59" t="inlineStr">
        <is>
          <t>Acolhim. + Atend. Urgência + Atend. UPA</t>
        </is>
      </c>
      <c r="D199" s="60">
        <f>SUM(D200:D202)</f>
        <v/>
      </c>
      <c r="E199" s="60">
        <f>SUM(E200:E202)</f>
        <v/>
      </c>
      <c r="F199" s="60">
        <f>SUM(F200:F202)</f>
        <v/>
      </c>
      <c r="G199" s="60">
        <f>SUM(G200:G202)</f>
        <v/>
      </c>
      <c r="H199" s="60">
        <f>SUM(H200:H202)</f>
        <v/>
      </c>
      <c r="I199" s="60">
        <f>SUM(I200:I202)</f>
        <v/>
      </c>
      <c r="J199" s="60">
        <f>SUM(J200:J202)</f>
        <v/>
      </c>
      <c r="K199" s="60">
        <f>SUM(K200:K202)</f>
        <v/>
      </c>
      <c r="L199" s="60">
        <f>SUM(L200:L202)</f>
        <v/>
      </c>
      <c r="M199" s="60">
        <f>SUM(M200:M202)</f>
        <v/>
      </c>
      <c r="N199" s="60">
        <f>SUM(N200:N202)</f>
        <v/>
      </c>
      <c r="O199" s="60">
        <f>SUM(O200:O202)</f>
        <v/>
      </c>
      <c r="P199" s="60">
        <f>SUM(P200:P202)</f>
        <v/>
      </c>
    </row>
    <row r="200" ht="15.75" customHeight="1" s="45">
      <c r="A200" s="61" t="n">
        <v>46158</v>
      </c>
      <c r="B200" s="62" t="inlineStr">
        <is>
          <t>Antes-Projeto</t>
        </is>
      </c>
      <c r="C200" s="65" t="inlineStr">
        <is>
          <t>Acolhimento c/ Classif. de Risco</t>
        </is>
      </c>
      <c r="D200" s="66" t="n">
        <v>189</v>
      </c>
      <c r="E200" s="66" t="n">
        <v>132</v>
      </c>
      <c r="F200" s="66" t="n">
        <v>135</v>
      </c>
      <c r="G200" s="66" t="n">
        <v>118</v>
      </c>
      <c r="H200" s="66" t="n">
        <v>100</v>
      </c>
      <c r="I200" s="66" t="n">
        <v>163</v>
      </c>
      <c r="J200" s="66" t="n">
        <v>107</v>
      </c>
      <c r="K200" s="66" t="n">
        <v>263</v>
      </c>
      <c r="L200" s="66" t="n">
        <v>125</v>
      </c>
      <c r="M200" s="66" t="n">
        <v>197</v>
      </c>
      <c r="N200" s="66" t="n">
        <v>170</v>
      </c>
      <c r="O200" s="66" t="n">
        <v>255</v>
      </c>
      <c r="P200" s="66" t="n">
        <v>228</v>
      </c>
    </row>
    <row r="201" ht="15.75" customHeight="1" s="45">
      <c r="A201" s="61" t="n">
        <v>46158</v>
      </c>
      <c r="B201" s="62" t="inlineStr">
        <is>
          <t>Antes-Projeto</t>
        </is>
      </c>
      <c r="C201" s="63" t="inlineStr">
        <is>
          <t>Atend. Urgência Obs. ≤ 24h</t>
        </is>
      </c>
      <c r="D201" s="64" t="n">
        <v>43</v>
      </c>
      <c r="E201" s="64" t="n">
        <v>66</v>
      </c>
      <c r="F201" s="64" t="n">
        <v>27</v>
      </c>
      <c r="G201" s="64" t="n">
        <v>18</v>
      </c>
      <c r="H201" s="64" t="n">
        <v>8</v>
      </c>
      <c r="I201" s="64" t="n">
        <v>18</v>
      </c>
      <c r="J201" s="64" t="n">
        <v>35</v>
      </c>
      <c r="K201" s="64" t="n">
        <v>83</v>
      </c>
      <c r="L201" s="64" t="n">
        <v>53</v>
      </c>
      <c r="M201" s="64" t="n">
        <v>35</v>
      </c>
      <c r="N201" s="64" t="n">
        <v>17</v>
      </c>
      <c r="O201" s="64" t="n">
        <v>26</v>
      </c>
      <c r="P201" s="64" t="n">
        <v>77</v>
      </c>
    </row>
    <row r="202" ht="15.75" customHeight="1" s="45">
      <c r="A202" s="61" t="n">
        <v>46158</v>
      </c>
      <c r="B202" s="62" t="inlineStr">
        <is>
          <t>Antes-Projeto</t>
        </is>
      </c>
      <c r="C202" s="65" t="inlineStr">
        <is>
          <t>Atend. Médico em UPA</t>
        </is>
      </c>
      <c r="D202" s="66" t="n">
        <v>156</v>
      </c>
      <c r="E202" s="66" t="n">
        <v>78</v>
      </c>
      <c r="F202" s="66" t="n">
        <v>78</v>
      </c>
      <c r="G202" s="66" t="n">
        <v>75</v>
      </c>
      <c r="H202" s="66" t="n">
        <v>81</v>
      </c>
      <c r="I202" s="66" t="n">
        <v>139</v>
      </c>
      <c r="J202" s="66" t="n">
        <v>50</v>
      </c>
      <c r="K202" s="66" t="n">
        <v>203</v>
      </c>
      <c r="L202" s="66" t="n">
        <v>83</v>
      </c>
      <c r="M202" s="66" t="n">
        <v>106</v>
      </c>
      <c r="N202" s="66" t="n">
        <v>160</v>
      </c>
      <c r="O202" s="66" t="n">
        <v>214</v>
      </c>
      <c r="P202" s="66" t="n">
        <v>122</v>
      </c>
    </row>
    <row r="203" ht="15.75" customHeight="1" s="45">
      <c r="A203" s="61" t="n">
        <v>46158</v>
      </c>
      <c r="B203" s="62" t="inlineStr">
        <is>
          <t>Antes-Projeto</t>
        </is>
      </c>
      <c r="C203" s="63" t="inlineStr">
        <is>
          <t>Exames Laboratoriais</t>
        </is>
      </c>
      <c r="D203" s="64" t="n">
        <v>633</v>
      </c>
      <c r="E203" s="64" t="n">
        <v>282</v>
      </c>
      <c r="F203" s="64" t="n">
        <v>554</v>
      </c>
      <c r="G203" s="64" t="n">
        <v>214</v>
      </c>
      <c r="H203" s="64" t="n">
        <v>244</v>
      </c>
      <c r="I203" s="64" t="n">
        <v>602</v>
      </c>
      <c r="J203" s="64" t="n">
        <v>206</v>
      </c>
      <c r="K203" s="64" t="n">
        <v>941</v>
      </c>
      <c r="L203" s="64" t="n">
        <v>588</v>
      </c>
      <c r="M203" s="64" t="n">
        <v>696</v>
      </c>
      <c r="N203" s="64" t="n">
        <v>556</v>
      </c>
      <c r="O203" s="64" t="n">
        <v>474</v>
      </c>
      <c r="P203" s="64" t="n">
        <v>386</v>
      </c>
    </row>
    <row r="204" ht="15.75" customHeight="1" s="45">
      <c r="A204" s="61" t="n">
        <v>46158</v>
      </c>
      <c r="B204" s="62" t="inlineStr">
        <is>
          <t>Antes-Projeto</t>
        </is>
      </c>
      <c r="C204" s="65" t="inlineStr">
        <is>
          <t>Radiografias</t>
        </is>
      </c>
      <c r="D204" s="66" t="n">
        <v>22</v>
      </c>
      <c r="E204" s="66" t="n">
        <v>24</v>
      </c>
      <c r="F204" s="66" t="n">
        <v>24</v>
      </c>
      <c r="G204" s="66" t="n">
        <v>23</v>
      </c>
      <c r="H204" s="66" t="n">
        <v>13</v>
      </c>
      <c r="I204" s="66" t="n">
        <v>35</v>
      </c>
      <c r="J204" s="66" t="n">
        <v>17</v>
      </c>
      <c r="K204" s="66" t="n">
        <v>28</v>
      </c>
      <c r="L204" s="66" t="n">
        <v>10</v>
      </c>
      <c r="M204" s="66" t="n">
        <v>52</v>
      </c>
      <c r="N204" s="66" t="n">
        <v>35</v>
      </c>
      <c r="O204" s="66" t="n">
        <v>35</v>
      </c>
      <c r="P204" s="66" t="n">
        <v>44</v>
      </c>
    </row>
    <row r="205" ht="15.75" customHeight="1" s="45">
      <c r="A205" s="61" t="n">
        <v>46158</v>
      </c>
      <c r="B205" s="62" t="inlineStr">
        <is>
          <t>Antes-Projeto</t>
        </is>
      </c>
      <c r="C205" s="63" t="inlineStr">
        <is>
          <t>Eletrocardiogramas</t>
        </is>
      </c>
      <c r="D205" s="64" t="n">
        <v>14</v>
      </c>
      <c r="E205" s="64" t="n">
        <v>18</v>
      </c>
      <c r="F205" s="64" t="n">
        <v>18</v>
      </c>
      <c r="G205" s="64" t="n">
        <v>13</v>
      </c>
      <c r="H205" s="64" t="n">
        <v>7</v>
      </c>
      <c r="I205" s="64" t="n">
        <v>13</v>
      </c>
      <c r="J205" s="64" t="n">
        <v>13</v>
      </c>
      <c r="K205" s="64" t="n">
        <v>19</v>
      </c>
      <c r="L205" s="64" t="n">
        <v>13</v>
      </c>
      <c r="M205" s="64" t="n">
        <v>22</v>
      </c>
      <c r="N205" s="64" t="n">
        <v>16</v>
      </c>
      <c r="O205" s="64" t="n">
        <v>15</v>
      </c>
      <c r="P205" s="64" t="n">
        <v>9</v>
      </c>
    </row>
    <row r="206" ht="15.75" customHeight="1" s="45">
      <c r="A206" s="61" t="n">
        <v>46158</v>
      </c>
      <c r="B206" s="62" t="inlineStr">
        <is>
          <t>Antes-Projeto</t>
        </is>
      </c>
      <c r="C206" s="68" t="inlineStr">
        <is>
          <t>GAEs Abertas</t>
        </is>
      </c>
      <c r="D206" s="69" t="n">
        <v>196</v>
      </c>
      <c r="E206" s="69" t="n">
        <v>132</v>
      </c>
      <c r="F206" s="69" t="n">
        <v>137</v>
      </c>
      <c r="G206" s="69" t="n">
        <v>131</v>
      </c>
      <c r="H206" s="69" t="n">
        <v>101</v>
      </c>
      <c r="I206" s="69" t="n">
        <v>177</v>
      </c>
      <c r="J206" s="69" t="n">
        <v>109</v>
      </c>
      <c r="K206" s="69" t="n">
        <v>288</v>
      </c>
      <c r="L206" s="69" t="n">
        <v>136</v>
      </c>
      <c r="M206" s="69" t="n">
        <v>223</v>
      </c>
      <c r="N206" s="69" t="n">
        <v>175</v>
      </c>
      <c r="O206" s="69" t="n">
        <v>274</v>
      </c>
      <c r="P206" s="69" t="n">
        <v>238</v>
      </c>
    </row>
    <row r="207" ht="15.75" customHeight="1" s="45">
      <c r="A207" s="61" t="n">
        <v>46158</v>
      </c>
      <c r="B207" s="62" t="inlineStr">
        <is>
          <t>Antes-Projeto</t>
        </is>
      </c>
      <c r="C207" s="68" t="inlineStr">
        <is>
          <t>GAEs Classificadas</t>
        </is>
      </c>
      <c r="D207" s="69" t="n">
        <v>191</v>
      </c>
      <c r="E207" s="69" t="n">
        <v>128</v>
      </c>
      <c r="F207" s="69" t="n">
        <v>134</v>
      </c>
      <c r="G207" s="69" t="n">
        <v>118</v>
      </c>
      <c r="H207" s="69" t="n">
        <v>99</v>
      </c>
      <c r="I207" s="69" t="n">
        <v>161</v>
      </c>
      <c r="J207" s="69" t="n">
        <v>106</v>
      </c>
      <c r="K207" s="69" t="n">
        <v>261</v>
      </c>
      <c r="L207" s="69" t="n">
        <v>125</v>
      </c>
      <c r="M207" s="69" t="n">
        <v>201</v>
      </c>
      <c r="N207" s="69" t="n">
        <v>168</v>
      </c>
      <c r="O207" s="69" t="n">
        <v>257</v>
      </c>
      <c r="P207" s="69" t="n">
        <v>233</v>
      </c>
    </row>
    <row r="208" ht="15.75" customHeight="1" s="45">
      <c r="A208" s="61" t="n">
        <v>46158</v>
      </c>
      <c r="B208" s="62" t="inlineStr">
        <is>
          <t>Antes-Projeto</t>
        </is>
      </c>
      <c r="C208" s="70" t="inlineStr">
        <is>
          <t>Percentual de GAEs abertas classificadas</t>
        </is>
      </c>
      <c r="D208" s="71">
        <f>IFERROR(D207/D206,"-")</f>
        <v/>
      </c>
      <c r="E208" s="71">
        <f>IFERROR(E207/E206,"-")</f>
        <v/>
      </c>
      <c r="F208" s="71">
        <f>IFERROR(F207/F206,"-")</f>
        <v/>
      </c>
      <c r="G208" s="71">
        <f>IFERROR(G207/G206,"-")</f>
        <v/>
      </c>
      <c r="H208" s="71">
        <f>IFERROR(H207/H206,"-")</f>
        <v/>
      </c>
      <c r="I208" s="71">
        <f>IFERROR(I207/I206,"-")</f>
        <v/>
      </c>
      <c r="J208" s="71">
        <f>IFERROR(J207/J206,"-")</f>
        <v/>
      </c>
      <c r="K208" s="71">
        <f>IFERROR(K207/K206,"-")</f>
        <v/>
      </c>
      <c r="L208" s="71">
        <f>IFERROR(L207/L206,"-")</f>
        <v/>
      </c>
      <c r="M208" s="71">
        <f>IFERROR(M207/M206,"-")</f>
        <v/>
      </c>
      <c r="N208" s="71">
        <f>IFERROR(N207/N206,"-")</f>
        <v/>
      </c>
      <c r="O208" s="71">
        <f>IFERROR(O207/O206,"-")</f>
        <v/>
      </c>
      <c r="P208" s="71">
        <f>IFERROR(P207/P206,"-")</f>
        <v/>
      </c>
    </row>
    <row r="209" ht="15.75" customHeight="1" s="45">
      <c r="A209" s="61" t="n">
        <v>46158</v>
      </c>
      <c r="B209" s="62" t="inlineStr">
        <is>
          <t>Antes-Projeto</t>
        </is>
      </c>
      <c r="C209" s="72" t="inlineStr">
        <is>
          <t>Tempo Médio — 🟡 Amarelo (hh:mm)</t>
        </is>
      </c>
      <c r="D209" s="73" t="n">
        <v>0.03965277777777778</v>
      </c>
      <c r="E209" s="73" t="n">
        <v>0.06420138888888889</v>
      </c>
      <c r="F209" s="73" t="n">
        <v>0.04908564814814815</v>
      </c>
      <c r="G209" s="73" t="n">
        <v>0.08621527777777778</v>
      </c>
      <c r="H209" s="73" t="n">
        <v>0.03201388888888889</v>
      </c>
      <c r="I209" s="73" t="n">
        <v>0.0444212962962963</v>
      </c>
      <c r="J209" s="73" t="n">
        <v>0.1159837962962963</v>
      </c>
      <c r="K209" s="73" t="n">
        <v>0.1189699074074074</v>
      </c>
      <c r="L209" s="73" t="n">
        <v>0.1008796296296296</v>
      </c>
      <c r="M209" s="73" t="n">
        <v>0.1003703703703704</v>
      </c>
      <c r="N209" s="73" t="n">
        <v>0.06421296296296296</v>
      </c>
      <c r="O209" s="73" t="n">
        <v>0.02480324074074074</v>
      </c>
      <c r="P209" s="73" t="n">
        <v>0.1031365740740741</v>
      </c>
    </row>
    <row r="210" ht="15.75" customHeight="1" s="45">
      <c r="A210" s="61" t="n">
        <v>46158</v>
      </c>
      <c r="B210" s="62" t="inlineStr">
        <is>
          <t>Antes-Projeto</t>
        </is>
      </c>
      <c r="C210" s="74" t="inlineStr">
        <is>
          <t>Tempo Médio — 🟠 Laranja (hh:mm)</t>
        </is>
      </c>
      <c r="D210" s="75" t="n">
        <v>0.007118055555555555</v>
      </c>
      <c r="E210" s="75" t="n">
        <v>0.00818287037037037</v>
      </c>
      <c r="F210" s="75" t="n">
        <v>0.006145833333333333</v>
      </c>
      <c r="G210" s="75" t="n">
        <v>0.0122337962962963</v>
      </c>
      <c r="H210" s="75" t="n">
        <v>0.007569444444444445</v>
      </c>
      <c r="I210" s="75" t="n">
        <v>0.008946759259259258</v>
      </c>
      <c r="J210" s="75" t="n">
        <v>0.009155092592592593</v>
      </c>
      <c r="K210" s="75" t="n">
        <v>0.01708333333333333</v>
      </c>
      <c r="L210" s="75" t="n">
        <v>0.0174537037037037</v>
      </c>
      <c r="M210" s="75" t="n">
        <v>0.01693287037037037</v>
      </c>
      <c r="N210" s="75" t="n">
        <v>0.009641203703703704</v>
      </c>
      <c r="O210" s="75" t="n">
        <v>0.009872685185185186</v>
      </c>
      <c r="P210" s="75" t="n">
        <v>0.00818287037037037</v>
      </c>
    </row>
    <row r="211" ht="15.75" customHeight="1" s="45">
      <c r="A211" s="76" t="n">
        <v>46158</v>
      </c>
      <c r="B211" s="77" t="inlineStr">
        <is>
          <t>Antes-Projeto</t>
        </is>
      </c>
      <c r="C211" s="78" t="inlineStr">
        <is>
          <t>Tempo Médio — 🟢 Verde   (hh:mm)</t>
        </is>
      </c>
      <c r="D211" s="79" t="n">
        <v>0.09940972222222222</v>
      </c>
      <c r="E211" s="79" t="n">
        <v>0.1967361111111111</v>
      </c>
      <c r="F211" s="79" t="n">
        <v>0.1835069444444444</v>
      </c>
      <c r="G211" s="79" t="n">
        <v>0.08726851851851852</v>
      </c>
      <c r="H211" s="79" t="n">
        <v>0.08238425925925925</v>
      </c>
      <c r="I211" s="79" t="n">
        <v>0.1156134259259259</v>
      </c>
      <c r="J211" s="79" t="n">
        <v>0.1471759259259259</v>
      </c>
      <c r="K211" s="79" t="n">
        <v>0.1877083333333333</v>
      </c>
      <c r="L211" s="79" t="n">
        <v>0.1798611111111111</v>
      </c>
      <c r="M211" s="79" t="n">
        <v>0.1288657407407408</v>
      </c>
      <c r="N211" s="79" t="n">
        <v>0.1744907407407408</v>
      </c>
      <c r="O211" s="79" t="n">
        <v>0.05913194444444445</v>
      </c>
      <c r="P211" s="79" t="n">
        <v>0.1206828703703704</v>
      </c>
    </row>
    <row r="212" ht="15.75" customHeight="1" s="45">
      <c r="A212" s="57" t="n">
        <v>46159</v>
      </c>
      <c r="B212" s="58" t="inlineStr">
        <is>
          <t>Antes-Projeto</t>
        </is>
      </c>
      <c r="C212" s="59" t="inlineStr">
        <is>
          <t>Acolhim. + Atend. Urgência + Atend. UPA</t>
        </is>
      </c>
      <c r="D212" s="60">
        <f>SUM(D213:D215)</f>
        <v/>
      </c>
      <c r="E212" s="60">
        <f>SUM(E213:E215)</f>
        <v/>
      </c>
      <c r="F212" s="60">
        <f>SUM(F213:F215)</f>
        <v/>
      </c>
      <c r="G212" s="60">
        <f>SUM(G213:G215)</f>
        <v/>
      </c>
      <c r="H212" s="60">
        <f>SUM(H213:H215)</f>
        <v/>
      </c>
      <c r="I212" s="60">
        <f>SUM(I213:I215)</f>
        <v/>
      </c>
      <c r="J212" s="60">
        <f>SUM(J213:J215)</f>
        <v/>
      </c>
      <c r="K212" s="60">
        <f>SUM(K213:K215)</f>
        <v/>
      </c>
      <c r="L212" s="60">
        <f>SUM(L213:L215)</f>
        <v/>
      </c>
      <c r="M212" s="60">
        <f>SUM(M213:M215)</f>
        <v/>
      </c>
      <c r="N212" s="60">
        <f>SUM(N213:N215)</f>
        <v/>
      </c>
      <c r="O212" s="60">
        <f>SUM(O213:O215)</f>
        <v/>
      </c>
      <c r="P212" s="60">
        <f>SUM(P213:P215)</f>
        <v/>
      </c>
    </row>
    <row r="213" ht="15.75" customHeight="1" s="45">
      <c r="A213" s="61" t="n">
        <v>46159</v>
      </c>
      <c r="B213" s="62" t="inlineStr">
        <is>
          <t>Antes-Projeto</t>
        </is>
      </c>
      <c r="C213" s="63" t="inlineStr">
        <is>
          <t>Acolhimento c/ Classif. de Risco</t>
        </is>
      </c>
      <c r="D213" s="64" t="n">
        <v>168</v>
      </c>
      <c r="E213" s="64" t="n">
        <v>136</v>
      </c>
      <c r="F213" s="64" t="n">
        <v>128</v>
      </c>
      <c r="G213" s="64" t="n">
        <v>125</v>
      </c>
      <c r="H213" s="64" t="n">
        <v>101</v>
      </c>
      <c r="I213" s="64" t="n">
        <v>173</v>
      </c>
      <c r="J213" s="64" t="n">
        <v>113</v>
      </c>
      <c r="K213" s="64" t="n">
        <v>237</v>
      </c>
      <c r="L213" s="64" t="n">
        <v>119</v>
      </c>
      <c r="M213" s="64" t="n">
        <v>213</v>
      </c>
      <c r="N213" s="64" t="n">
        <v>161</v>
      </c>
      <c r="O213" s="64" t="n">
        <v>250</v>
      </c>
      <c r="P213" s="64" t="n">
        <v>229</v>
      </c>
    </row>
    <row r="214" ht="15.75" customHeight="1" s="45">
      <c r="A214" s="61" t="n">
        <v>46159</v>
      </c>
      <c r="B214" s="62" t="inlineStr">
        <is>
          <t>Antes-Projeto</t>
        </is>
      </c>
      <c r="C214" s="65" t="inlineStr">
        <is>
          <t>Atend. Urgência Obs. ≤ 24h</t>
        </is>
      </c>
      <c r="D214" s="66" t="n">
        <v>26</v>
      </c>
      <c r="E214" s="66" t="n">
        <v>66</v>
      </c>
      <c r="F214" s="66" t="n">
        <v>26</v>
      </c>
      <c r="G214" s="66" t="n">
        <v>58</v>
      </c>
      <c r="H214" s="66" t="n">
        <v>13</v>
      </c>
      <c r="I214" s="66" t="n">
        <v>23</v>
      </c>
      <c r="J214" s="66" t="n">
        <v>21</v>
      </c>
      <c r="K214" s="66" t="n">
        <v>27</v>
      </c>
      <c r="L214" s="66" t="n">
        <v>69</v>
      </c>
      <c r="M214" s="66" t="n">
        <v>22</v>
      </c>
      <c r="N214" s="66" t="n">
        <v>20</v>
      </c>
      <c r="O214" s="66" t="n">
        <v>14</v>
      </c>
      <c r="P214" s="66" t="n">
        <v>14</v>
      </c>
    </row>
    <row r="215" ht="15.75" customHeight="1" s="45">
      <c r="A215" s="61" t="n">
        <v>46159</v>
      </c>
      <c r="B215" s="62" t="inlineStr">
        <is>
          <t>Antes-Projeto</t>
        </is>
      </c>
      <c r="C215" s="63" t="inlineStr">
        <is>
          <t>Atend. Médico em UPA</t>
        </is>
      </c>
      <c r="D215" s="64" t="n">
        <v>149</v>
      </c>
      <c r="E215" s="64" t="n">
        <v>73</v>
      </c>
      <c r="F215" s="64" t="n">
        <v>89</v>
      </c>
      <c r="G215" s="64" t="n">
        <v>33</v>
      </c>
      <c r="H215" s="64" t="n">
        <v>63</v>
      </c>
      <c r="I215" s="64" t="n">
        <v>128</v>
      </c>
      <c r="J215" s="64" t="n">
        <v>91</v>
      </c>
      <c r="K215" s="64" t="n">
        <v>137</v>
      </c>
      <c r="L215" s="64" t="n">
        <v>81</v>
      </c>
      <c r="M215" s="64" t="n">
        <v>88</v>
      </c>
      <c r="N215" s="64" t="n">
        <v>157</v>
      </c>
      <c r="O215" s="64" t="n">
        <v>210</v>
      </c>
      <c r="P215" s="64" t="n">
        <v>161</v>
      </c>
    </row>
    <row r="216" ht="15.75" customHeight="1" s="45">
      <c r="A216" s="61" t="n">
        <v>46159</v>
      </c>
      <c r="B216" s="62" t="inlineStr">
        <is>
          <t>Antes-Projeto</t>
        </is>
      </c>
      <c r="C216" s="65" t="inlineStr">
        <is>
          <t>Exames Laboratoriais</t>
        </is>
      </c>
      <c r="D216" s="66" t="n">
        <v>535</v>
      </c>
      <c r="E216" s="66" t="n">
        <v>192</v>
      </c>
      <c r="F216" s="66" t="n">
        <v>530</v>
      </c>
      <c r="G216" s="66" t="n">
        <v>199</v>
      </c>
      <c r="H216" s="66" t="n">
        <v>192</v>
      </c>
      <c r="I216" s="66" t="n">
        <v>540</v>
      </c>
      <c r="J216" s="66" t="n">
        <v>235</v>
      </c>
      <c r="K216" s="66" t="n">
        <v>765</v>
      </c>
      <c r="L216" s="66" t="n">
        <v>511</v>
      </c>
      <c r="M216" s="66" t="n">
        <v>654</v>
      </c>
      <c r="N216" s="66" t="n">
        <v>395</v>
      </c>
      <c r="O216" s="66" t="n">
        <v>333</v>
      </c>
      <c r="P216" s="66" t="n">
        <v>448</v>
      </c>
    </row>
    <row r="217" ht="15.75" customHeight="1" s="45">
      <c r="A217" s="61" t="n">
        <v>46159</v>
      </c>
      <c r="B217" s="62" t="inlineStr">
        <is>
          <t>Antes-Projeto</t>
        </is>
      </c>
      <c r="C217" s="63" t="inlineStr">
        <is>
          <t>Radiografias</t>
        </is>
      </c>
      <c r="D217" s="64" t="n">
        <v>43</v>
      </c>
      <c r="E217" s="64" t="n">
        <v>23</v>
      </c>
      <c r="F217" s="64" t="n">
        <v>27</v>
      </c>
      <c r="G217" s="64" t="n">
        <v>19</v>
      </c>
      <c r="H217" s="64" t="n">
        <v>12</v>
      </c>
      <c r="I217" s="64" t="n">
        <v>21</v>
      </c>
      <c r="J217" s="64" t="n">
        <v>14</v>
      </c>
      <c r="K217" s="64" t="n">
        <v>5</v>
      </c>
      <c r="L217" s="64" t="n">
        <v>7</v>
      </c>
      <c r="M217" s="64" t="n">
        <v>34</v>
      </c>
      <c r="N217" s="64" t="n">
        <v>17</v>
      </c>
      <c r="O217" s="64" t="n">
        <v>10</v>
      </c>
      <c r="P217" s="64" t="n">
        <v>55</v>
      </c>
    </row>
    <row r="218" ht="15.75" customHeight="1" s="45">
      <c r="A218" s="61" t="n">
        <v>46159</v>
      </c>
      <c r="B218" s="62" t="inlineStr">
        <is>
          <t>Antes-Projeto</t>
        </is>
      </c>
      <c r="C218" s="65" t="inlineStr">
        <is>
          <t>Eletrocardiogramas</t>
        </is>
      </c>
      <c r="D218" s="66" t="n">
        <v>19</v>
      </c>
      <c r="E218" s="66" t="n">
        <v>2</v>
      </c>
      <c r="F218" s="66" t="n">
        <v>24</v>
      </c>
      <c r="G218" s="66" t="n">
        <v>10</v>
      </c>
      <c r="H218" s="66" t="n">
        <v>4</v>
      </c>
      <c r="I218" s="66" t="n">
        <v>7</v>
      </c>
      <c r="J218" s="66" t="n">
        <v>3</v>
      </c>
      <c r="K218" s="66" t="n">
        <v>13</v>
      </c>
      <c r="L218" s="66" t="n">
        <v>5</v>
      </c>
      <c r="M218" s="66" t="n">
        <v>9</v>
      </c>
      <c r="N218" s="66" t="n">
        <v>7</v>
      </c>
      <c r="O218" s="66" t="n">
        <v>10</v>
      </c>
      <c r="P218" s="66" t="n">
        <v>17</v>
      </c>
    </row>
    <row r="219" ht="15.75" customHeight="1" s="45">
      <c r="A219" s="61" t="n">
        <v>46159</v>
      </c>
      <c r="B219" s="62" t="inlineStr">
        <is>
          <t>Antes-Projeto</t>
        </is>
      </c>
      <c r="C219" s="68" t="inlineStr">
        <is>
          <t>GAEs Abertas</t>
        </is>
      </c>
      <c r="D219" s="69" t="n">
        <v>174</v>
      </c>
      <c r="E219" s="69" t="n">
        <v>156</v>
      </c>
      <c r="F219" s="69" t="n">
        <v>131</v>
      </c>
      <c r="G219" s="69" t="n">
        <v>127</v>
      </c>
      <c r="H219" s="69" t="n">
        <v>117</v>
      </c>
      <c r="I219" s="69" t="n">
        <v>182</v>
      </c>
      <c r="J219" s="69" t="n">
        <v>118</v>
      </c>
      <c r="K219" s="69" t="n">
        <v>266</v>
      </c>
      <c r="L219" s="69" t="n">
        <v>127</v>
      </c>
      <c r="M219" s="69" t="n">
        <v>222</v>
      </c>
      <c r="N219" s="69" t="n">
        <v>168</v>
      </c>
      <c r="O219" s="69" t="n">
        <v>265</v>
      </c>
      <c r="P219" s="69" t="n">
        <v>240</v>
      </c>
    </row>
    <row r="220" ht="15.75" customHeight="1" s="45">
      <c r="A220" s="61" t="n">
        <v>46159</v>
      </c>
      <c r="B220" s="62" t="inlineStr">
        <is>
          <t>Antes-Projeto</t>
        </is>
      </c>
      <c r="C220" s="68" t="inlineStr">
        <is>
          <t>GAEs Classificadas</t>
        </is>
      </c>
      <c r="D220" s="69" t="n">
        <v>166</v>
      </c>
      <c r="E220" s="69" t="n">
        <v>135</v>
      </c>
      <c r="F220" s="69" t="n">
        <v>129</v>
      </c>
      <c r="G220" s="69" t="n">
        <v>125</v>
      </c>
      <c r="H220" s="69" t="n">
        <v>103</v>
      </c>
      <c r="I220" s="69" t="n">
        <v>173</v>
      </c>
      <c r="J220" s="69" t="n">
        <v>113</v>
      </c>
      <c r="K220" s="69" t="n">
        <v>238</v>
      </c>
      <c r="L220" s="69" t="n">
        <v>121</v>
      </c>
      <c r="M220" s="69" t="n">
        <v>207</v>
      </c>
      <c r="N220" s="69" t="n">
        <v>159</v>
      </c>
      <c r="O220" s="69" t="n">
        <v>248</v>
      </c>
      <c r="P220" s="69" t="n">
        <v>226</v>
      </c>
    </row>
    <row r="221" ht="15.75" customHeight="1" s="45">
      <c r="A221" s="61" t="n">
        <v>46159</v>
      </c>
      <c r="B221" s="62" t="inlineStr">
        <is>
          <t>Antes-Projeto</t>
        </is>
      </c>
      <c r="C221" s="70" t="inlineStr">
        <is>
          <t>Percentual de GAEs abertas classificadas</t>
        </is>
      </c>
      <c r="D221" s="71">
        <f>IFERROR(D220/D219,"-")</f>
        <v/>
      </c>
      <c r="E221" s="71">
        <f>IFERROR(E220/E219,"-")</f>
        <v/>
      </c>
      <c r="F221" s="71">
        <f>IFERROR(F220/F219,"-")</f>
        <v/>
      </c>
      <c r="G221" s="71">
        <f>IFERROR(G220/G219,"-")</f>
        <v/>
      </c>
      <c r="H221" s="71">
        <f>IFERROR(H220/H219,"-")</f>
        <v/>
      </c>
      <c r="I221" s="71">
        <f>IFERROR(I220/I219,"-")</f>
        <v/>
      </c>
      <c r="J221" s="71">
        <f>IFERROR(J220/J219,"-")</f>
        <v/>
      </c>
      <c r="K221" s="71">
        <f>IFERROR(K220/K219,"-")</f>
        <v/>
      </c>
      <c r="L221" s="71">
        <f>IFERROR(L220/L219,"-")</f>
        <v/>
      </c>
      <c r="M221" s="71">
        <f>IFERROR(M220/M219,"-")</f>
        <v/>
      </c>
      <c r="N221" s="71">
        <f>IFERROR(N220/N219,"-")</f>
        <v/>
      </c>
      <c r="O221" s="71">
        <f>IFERROR(O220/O219,"-")</f>
        <v/>
      </c>
      <c r="P221" s="71">
        <f>IFERROR(P220/P219,"-")</f>
        <v/>
      </c>
    </row>
    <row r="222" ht="15.75" customHeight="1" s="45">
      <c r="A222" s="61" t="n">
        <v>46159</v>
      </c>
      <c r="B222" s="62" t="inlineStr">
        <is>
          <t>Antes-Projeto</t>
        </is>
      </c>
      <c r="C222" s="72" t="inlineStr">
        <is>
          <t>Tempo Médio — 🟡 Amarelo (hh:mm)</t>
        </is>
      </c>
      <c r="D222" s="73" t="n">
        <v>0.0322337962962963</v>
      </c>
      <c r="E222" s="73" t="n">
        <v>0.03532407407407408</v>
      </c>
      <c r="F222" s="73" t="n">
        <v>0.0487962962962963</v>
      </c>
      <c r="G222" s="73" t="n">
        <v>0.06407407407407407</v>
      </c>
      <c r="H222" s="73" t="n">
        <v>0.08166666666666667</v>
      </c>
      <c r="I222" s="73" t="n">
        <v>0.05501157407407407</v>
      </c>
      <c r="J222" s="73" t="n">
        <v>0.1618518518518519</v>
      </c>
      <c r="K222" s="73" t="n">
        <v>0.1343171296296296</v>
      </c>
      <c r="L222" s="73" t="n">
        <v>0.07413194444444444</v>
      </c>
      <c r="M222" s="73" t="n">
        <v>0.107962962962963</v>
      </c>
      <c r="N222" s="73" t="n">
        <v>0.06325231481481482</v>
      </c>
      <c r="O222" s="73" t="n">
        <v>0.03809027777777778</v>
      </c>
      <c r="P222" s="73" t="n">
        <v>0.04253472222222222</v>
      </c>
    </row>
    <row r="223" ht="15.75" customHeight="1" s="45">
      <c r="A223" s="61" t="n">
        <v>46159</v>
      </c>
      <c r="B223" s="62" t="inlineStr">
        <is>
          <t>Antes-Projeto</t>
        </is>
      </c>
      <c r="C223" s="74" t="inlineStr">
        <is>
          <t>Tempo Médio — 🟠 Laranja (hh:mm)</t>
        </is>
      </c>
      <c r="D223" s="75" t="n">
        <v>0.007569444444444445</v>
      </c>
      <c r="E223" s="75" t="n">
        <v>0.01210648148148148</v>
      </c>
      <c r="F223" s="75" t="n">
        <v>0.006956018518518518</v>
      </c>
      <c r="G223" s="75" t="n">
        <v>0.02959490740740741</v>
      </c>
      <c r="H223" s="75" t="n">
        <v>0.01240740740740741</v>
      </c>
      <c r="I223" s="75" t="n">
        <v>0.00849537037037037</v>
      </c>
      <c r="J223" s="75" t="n">
        <v>0.02733796296296296</v>
      </c>
      <c r="K223" s="75" t="n">
        <v>0.02262731481481482</v>
      </c>
      <c r="L223" s="75" t="n">
        <v>0.007604166666666667</v>
      </c>
      <c r="M223" s="75" t="n">
        <v>0.02865740740740741</v>
      </c>
      <c r="N223" s="75" t="n">
        <v>0.01112268518518519</v>
      </c>
      <c r="O223" s="75" t="n">
        <v>0.0108912037037037</v>
      </c>
      <c r="P223" s="75" t="n">
        <v>0.01049768518518518</v>
      </c>
    </row>
    <row r="224" ht="15.75" customHeight="1" s="45">
      <c r="A224" s="76" t="n">
        <v>46159</v>
      </c>
      <c r="B224" s="77" t="inlineStr">
        <is>
          <t>Antes-Projeto</t>
        </is>
      </c>
      <c r="C224" s="78" t="inlineStr">
        <is>
          <t>Tempo Médio — 🟢 Verde   (hh:mm)</t>
        </is>
      </c>
      <c r="D224" s="79" t="n">
        <v>0.1023726851851852</v>
      </c>
      <c r="E224" s="79" t="n">
        <v>0.05231481481481481</v>
      </c>
      <c r="F224" s="79" t="n">
        <v>0.2149884259259259</v>
      </c>
      <c r="G224" s="79" t="n">
        <v>0.1566087962962963</v>
      </c>
      <c r="H224" s="79" t="n">
        <v>0.1062847222222222</v>
      </c>
      <c r="I224" s="79" t="n">
        <v>0.139212962962963</v>
      </c>
      <c r="J224" s="79" t="n">
        <v>0.2057407407407408</v>
      </c>
      <c r="K224" s="79" t="n">
        <v>0.2804398148148148</v>
      </c>
      <c r="L224" s="79" t="n">
        <v>0.1494328703703704</v>
      </c>
      <c r="M224" s="79" t="n">
        <v>0.1229050925925926</v>
      </c>
      <c r="N224" s="79" t="n">
        <v>0.09619212962962963</v>
      </c>
      <c r="O224" s="79" t="n">
        <v>0.07594907407407407</v>
      </c>
      <c r="P224" s="79" t="n">
        <v>0.08115740740740741</v>
      </c>
    </row>
    <row r="225" ht="15.75" customHeight="1" s="45">
      <c r="A225" s="57" t="n">
        <v>46160</v>
      </c>
      <c r="B225" s="58" t="inlineStr">
        <is>
          <t>Antes-Projeto</t>
        </is>
      </c>
      <c r="C225" s="59" t="inlineStr">
        <is>
          <t>Acolhim. + Atend. Urgência + Atend. UPA</t>
        </is>
      </c>
      <c r="D225" s="60">
        <f>SUM(D226:D228)</f>
        <v/>
      </c>
      <c r="E225" s="60">
        <f>SUM(E226:E228)</f>
        <v/>
      </c>
      <c r="F225" s="60">
        <f>SUM(F226:F228)</f>
        <v/>
      </c>
      <c r="G225" s="60">
        <f>SUM(G226:G228)</f>
        <v/>
      </c>
      <c r="H225" s="60">
        <f>SUM(H226:H228)</f>
        <v/>
      </c>
      <c r="I225" s="60">
        <f>SUM(I226:I228)</f>
        <v/>
      </c>
      <c r="J225" s="60">
        <f>SUM(J226:J228)</f>
        <v/>
      </c>
      <c r="K225" s="60">
        <f>SUM(K226:K228)</f>
        <v/>
      </c>
      <c r="L225" s="60">
        <f>SUM(L226:L228)</f>
        <v/>
      </c>
      <c r="M225" s="60">
        <f>SUM(M226:M228)</f>
        <v/>
      </c>
      <c r="N225" s="60">
        <f>SUM(N226:N228)</f>
        <v/>
      </c>
      <c r="O225" s="60">
        <f>SUM(O226:O228)</f>
        <v/>
      </c>
      <c r="P225" s="60">
        <f>SUM(P226:P228)</f>
        <v/>
      </c>
    </row>
    <row r="226" ht="15.75" customHeight="1" s="45">
      <c r="A226" s="61" t="n">
        <v>46160</v>
      </c>
      <c r="B226" s="62" t="inlineStr">
        <is>
          <t>Antes-Projeto</t>
        </is>
      </c>
      <c r="C226" s="65" t="inlineStr">
        <is>
          <t>Acolhimento c/ Classif. de Risco</t>
        </is>
      </c>
      <c r="D226" s="66" t="n">
        <v>251</v>
      </c>
      <c r="E226" s="66" t="n">
        <v>196</v>
      </c>
      <c r="F226" s="66" t="n">
        <v>194</v>
      </c>
      <c r="G226" s="66" t="n">
        <v>132</v>
      </c>
      <c r="H226" s="66" t="n">
        <v>167</v>
      </c>
      <c r="I226" s="66" t="n">
        <v>232</v>
      </c>
      <c r="J226" s="66" t="n">
        <v>129</v>
      </c>
      <c r="K226" s="66" t="n">
        <v>334</v>
      </c>
      <c r="L226" s="66" t="n">
        <v>194</v>
      </c>
      <c r="M226" s="66" t="n">
        <v>267</v>
      </c>
      <c r="N226" s="66" t="n">
        <v>212</v>
      </c>
      <c r="O226" s="66" t="n">
        <v>345</v>
      </c>
      <c r="P226" s="66" t="n">
        <v>325</v>
      </c>
    </row>
    <row r="227" ht="15.75" customHeight="1" s="45">
      <c r="A227" s="61" t="n">
        <v>46160</v>
      </c>
      <c r="B227" s="62" t="inlineStr">
        <is>
          <t>Antes-Projeto</t>
        </is>
      </c>
      <c r="C227" s="63" t="inlineStr">
        <is>
          <t>Atend. Urgência Obs. ≤ 24h</t>
        </is>
      </c>
      <c r="D227" s="64" t="n">
        <v>23</v>
      </c>
      <c r="E227" s="64" t="n">
        <v>42</v>
      </c>
      <c r="F227" s="64" t="n">
        <v>29</v>
      </c>
      <c r="G227" s="64" t="n">
        <v>30</v>
      </c>
      <c r="H227" s="64" t="n">
        <v>24</v>
      </c>
      <c r="I227" s="64" t="n">
        <v>24</v>
      </c>
      <c r="J227" s="64" t="n">
        <v>21</v>
      </c>
      <c r="K227" s="64" t="n">
        <v>57</v>
      </c>
      <c r="L227" s="64" t="n">
        <v>32</v>
      </c>
      <c r="M227" s="64" t="n">
        <v>40</v>
      </c>
      <c r="N227" s="64" t="n">
        <v>46</v>
      </c>
      <c r="O227" s="64" t="n">
        <v>27</v>
      </c>
      <c r="P227" s="64" t="n">
        <v>32</v>
      </c>
    </row>
    <row r="228" ht="15.75" customHeight="1" s="45">
      <c r="A228" s="61" t="n">
        <v>46160</v>
      </c>
      <c r="B228" s="62" t="inlineStr">
        <is>
          <t>Antes-Projeto</t>
        </is>
      </c>
      <c r="C228" s="65" t="inlineStr">
        <is>
          <t>Atend. Médico em UPA</t>
        </is>
      </c>
      <c r="D228" s="66" t="n">
        <v>194</v>
      </c>
      <c r="E228" s="66" t="n">
        <v>99</v>
      </c>
      <c r="F228" s="66" t="n">
        <v>93</v>
      </c>
      <c r="G228" s="66" t="n">
        <v>75</v>
      </c>
      <c r="H228" s="66" t="n">
        <v>97</v>
      </c>
      <c r="I228" s="66" t="n">
        <v>201</v>
      </c>
      <c r="J228" s="66" t="n">
        <v>53</v>
      </c>
      <c r="K228" s="66" t="n">
        <v>299</v>
      </c>
      <c r="L228" s="66" t="n">
        <v>146</v>
      </c>
      <c r="M228" s="66" t="n">
        <v>166</v>
      </c>
      <c r="N228" s="66" t="n">
        <v>214</v>
      </c>
      <c r="O228" s="66" t="n">
        <v>279</v>
      </c>
      <c r="P228" s="66" t="n">
        <v>173</v>
      </c>
    </row>
    <row r="229" ht="15.75" customHeight="1" s="45">
      <c r="A229" s="61" t="n">
        <v>46160</v>
      </c>
      <c r="B229" s="62" t="inlineStr">
        <is>
          <t>Antes-Projeto</t>
        </is>
      </c>
      <c r="C229" s="63" t="inlineStr">
        <is>
          <t>Exames Laboratoriais</t>
        </is>
      </c>
      <c r="D229" s="64" t="n">
        <v>714</v>
      </c>
      <c r="E229" s="64" t="n">
        <v>368</v>
      </c>
      <c r="F229" s="64" t="n">
        <v>442</v>
      </c>
      <c r="G229" s="64" t="n">
        <v>427</v>
      </c>
      <c r="H229" s="64" t="n">
        <v>239</v>
      </c>
      <c r="I229" s="64" t="n">
        <v>752</v>
      </c>
      <c r="J229" s="64" t="n">
        <v>262</v>
      </c>
      <c r="K229" s="64" t="n">
        <v>1023</v>
      </c>
      <c r="L229" s="64" t="n">
        <v>811</v>
      </c>
      <c r="M229" s="64" t="n">
        <v>697</v>
      </c>
      <c r="N229" s="64" t="n">
        <v>842</v>
      </c>
      <c r="O229" s="64" t="n">
        <v>557</v>
      </c>
      <c r="P229" s="64" t="n">
        <v>763</v>
      </c>
    </row>
    <row r="230" ht="15.75" customHeight="1" s="45">
      <c r="A230" s="61" t="n">
        <v>46160</v>
      </c>
      <c r="B230" s="62" t="inlineStr">
        <is>
          <t>Antes-Projeto</t>
        </is>
      </c>
      <c r="C230" s="65" t="inlineStr">
        <is>
          <t>Radiografias</t>
        </is>
      </c>
      <c r="D230" s="66" t="n">
        <v>32</v>
      </c>
      <c r="E230" s="66" t="n">
        <v>21</v>
      </c>
      <c r="F230" s="66" t="n">
        <v>16</v>
      </c>
      <c r="G230" s="66" t="n">
        <v>14</v>
      </c>
      <c r="H230" s="66" t="n">
        <v>33</v>
      </c>
      <c r="I230" s="66" t="n">
        <v>33</v>
      </c>
      <c r="J230" s="66" t="n">
        <v>13</v>
      </c>
      <c r="K230" s="66" t="n">
        <v>40</v>
      </c>
      <c r="L230" s="66" t="n">
        <v>22</v>
      </c>
      <c r="M230" s="66" t="n">
        <v>56</v>
      </c>
      <c r="N230" s="66" t="n">
        <v>28</v>
      </c>
      <c r="O230" s="66" t="n">
        <v>53</v>
      </c>
      <c r="P230" s="66" t="n">
        <v>76</v>
      </c>
    </row>
    <row r="231" ht="15.75" customHeight="1" s="45">
      <c r="A231" s="61" t="n">
        <v>46160</v>
      </c>
      <c r="B231" s="62" t="inlineStr">
        <is>
          <t>Antes-Projeto</t>
        </is>
      </c>
      <c r="C231" s="63" t="inlineStr">
        <is>
          <t>Eletrocardiogramas</t>
        </is>
      </c>
      <c r="D231" s="64" t="n">
        <v>18</v>
      </c>
      <c r="E231" s="64" t="n">
        <v>12</v>
      </c>
      <c r="F231" s="64" t="n">
        <v>20</v>
      </c>
      <c r="G231" s="64" t="n">
        <v>5</v>
      </c>
      <c r="H231" s="64" t="n">
        <v>6</v>
      </c>
      <c r="I231" s="64" t="n">
        <v>15</v>
      </c>
      <c r="J231" s="64" t="n">
        <v>4</v>
      </c>
      <c r="K231" s="64" t="n">
        <v>25</v>
      </c>
      <c r="L231" s="64" t="n">
        <v>22</v>
      </c>
      <c r="M231" s="64" t="n">
        <v>8</v>
      </c>
      <c r="N231" s="64" t="n">
        <v>20</v>
      </c>
      <c r="O231" s="64" t="n">
        <v>11</v>
      </c>
      <c r="P231" s="64" t="n">
        <v>32</v>
      </c>
    </row>
    <row r="232" ht="15.75" customHeight="1" s="45">
      <c r="A232" s="61" t="n">
        <v>46160</v>
      </c>
      <c r="B232" s="62" t="inlineStr">
        <is>
          <t>Antes-Projeto</t>
        </is>
      </c>
      <c r="C232" s="68" t="inlineStr">
        <is>
          <t>GAEs Abertas</t>
        </is>
      </c>
      <c r="D232" s="69" t="n">
        <v>260</v>
      </c>
      <c r="E232" s="69" t="n">
        <v>199</v>
      </c>
      <c r="F232" s="69" t="n">
        <v>220</v>
      </c>
      <c r="G232" s="69" t="n">
        <v>164</v>
      </c>
      <c r="H232" s="69" t="n">
        <v>177</v>
      </c>
      <c r="I232" s="69" t="n">
        <v>249</v>
      </c>
      <c r="J232" s="69" t="n">
        <v>134</v>
      </c>
      <c r="K232" s="69" t="n">
        <v>394</v>
      </c>
      <c r="L232" s="69" t="n">
        <v>205</v>
      </c>
      <c r="M232" s="69" t="n">
        <v>326</v>
      </c>
      <c r="N232" s="69" t="n">
        <v>219</v>
      </c>
      <c r="O232" s="69" t="n">
        <v>376</v>
      </c>
      <c r="P232" s="69" t="n">
        <v>331</v>
      </c>
    </row>
    <row r="233" ht="15.75" customHeight="1" s="45">
      <c r="A233" s="61" t="n">
        <v>46160</v>
      </c>
      <c r="B233" s="62" t="inlineStr">
        <is>
          <t>Antes-Projeto</t>
        </is>
      </c>
      <c r="C233" s="68" t="inlineStr">
        <is>
          <t>GAEs Classificadas</t>
        </is>
      </c>
      <c r="D233" s="69" t="n">
        <v>248</v>
      </c>
      <c r="E233" s="69" t="n">
        <v>198</v>
      </c>
      <c r="F233" s="69" t="n">
        <v>195</v>
      </c>
      <c r="G233" s="69" t="n">
        <v>132</v>
      </c>
      <c r="H233" s="69" t="n">
        <v>168</v>
      </c>
      <c r="I233" s="69" t="n">
        <v>231</v>
      </c>
      <c r="J233" s="69" t="n">
        <v>129</v>
      </c>
      <c r="K233" s="69" t="n">
        <v>332</v>
      </c>
      <c r="L233" s="69" t="n">
        <v>196</v>
      </c>
      <c r="M233" s="69" t="n">
        <v>276</v>
      </c>
      <c r="N233" s="69" t="n">
        <v>210</v>
      </c>
      <c r="O233" s="69" t="n">
        <v>348</v>
      </c>
      <c r="P233" s="69" t="n">
        <v>326</v>
      </c>
    </row>
    <row r="234" ht="15.75" customHeight="1" s="45">
      <c r="A234" s="61" t="n">
        <v>46160</v>
      </c>
      <c r="B234" s="62" t="inlineStr">
        <is>
          <t>Antes-Projeto</t>
        </is>
      </c>
      <c r="C234" s="70" t="inlineStr">
        <is>
          <t>Percentual de GAEs abertas classificadas</t>
        </is>
      </c>
      <c r="D234" s="71">
        <f>IFERROR(D233/D232,"-")</f>
        <v/>
      </c>
      <c r="E234" s="71">
        <f>IFERROR(E233/E232,"-")</f>
        <v/>
      </c>
      <c r="F234" s="71">
        <f>IFERROR(F233/F232,"-")</f>
        <v/>
      </c>
      <c r="G234" s="71">
        <f>IFERROR(G233/G232,"-")</f>
        <v/>
      </c>
      <c r="H234" s="71">
        <f>IFERROR(H233/H232,"-")</f>
        <v/>
      </c>
      <c r="I234" s="71">
        <f>IFERROR(I233/I232,"-")</f>
        <v/>
      </c>
      <c r="J234" s="71">
        <f>IFERROR(J233/J232,"-")</f>
        <v/>
      </c>
      <c r="K234" s="71">
        <f>IFERROR(K233/K232,"-")</f>
        <v/>
      </c>
      <c r="L234" s="71">
        <f>IFERROR(L233/L232,"-")</f>
        <v/>
      </c>
      <c r="M234" s="71">
        <f>IFERROR(M233/M232,"-")</f>
        <v/>
      </c>
      <c r="N234" s="71">
        <f>IFERROR(N233/N232,"-")</f>
        <v/>
      </c>
      <c r="O234" s="71">
        <f>IFERROR(O233/O232,"-")</f>
        <v/>
      </c>
      <c r="P234" s="71">
        <f>IFERROR(P233/P232,"-")</f>
        <v/>
      </c>
    </row>
    <row r="235" ht="15.75" customHeight="1" s="45">
      <c r="A235" s="61" t="n">
        <v>46160</v>
      </c>
      <c r="B235" s="62" t="inlineStr">
        <is>
          <t>Antes-Projeto</t>
        </is>
      </c>
      <c r="C235" s="72" t="inlineStr">
        <is>
          <t>Tempo Médio — 🟡 Amarelo (hh:mm)</t>
        </is>
      </c>
      <c r="D235" s="73" t="n">
        <v>0.06501157407407407</v>
      </c>
      <c r="E235" s="73" t="n">
        <v>0.05375</v>
      </c>
      <c r="F235" s="73" t="n">
        <v>0.1448148148148148</v>
      </c>
      <c r="G235" s="73" t="n">
        <v>0.03990740740740741</v>
      </c>
      <c r="H235" s="73" t="n">
        <v>0.07697916666666667</v>
      </c>
      <c r="I235" s="73" t="n">
        <v>0.04828703703703704</v>
      </c>
      <c r="J235" s="73" t="n">
        <v>0.1456365740740741</v>
      </c>
      <c r="K235" s="73" t="n">
        <v>0.04152777777777777</v>
      </c>
      <c r="L235" s="73" t="n">
        <v>0.1151041666666667</v>
      </c>
      <c r="M235" s="73" t="n">
        <v>0.07045138888888888</v>
      </c>
      <c r="N235" s="73" t="n">
        <v>0.06457175925925926</v>
      </c>
      <c r="O235" s="73" t="n">
        <v>0.05552083333333333</v>
      </c>
      <c r="P235" s="73" t="n">
        <v>0.07991898148148148</v>
      </c>
    </row>
    <row r="236" ht="15.75" customHeight="1" s="45">
      <c r="A236" s="61" t="n">
        <v>46160</v>
      </c>
      <c r="B236" s="62" t="inlineStr">
        <is>
          <t>Antes-Projeto</t>
        </is>
      </c>
      <c r="C236" s="74" t="inlineStr">
        <is>
          <t>Tempo Médio — 🟠 Laranja (hh:mm)</t>
        </is>
      </c>
      <c r="D236" s="75" t="n">
        <v>0.01071759259259259</v>
      </c>
      <c r="E236" s="75" t="n">
        <v>0.007048611111111111</v>
      </c>
      <c r="F236" s="75" t="n">
        <v>0.01063657407407407</v>
      </c>
      <c r="G236" s="75" t="n">
        <v>0.005486111111111111</v>
      </c>
      <c r="H236" s="75" t="n">
        <v>0.01013888888888889</v>
      </c>
      <c r="I236" s="75" t="n">
        <v>0.007650462962962963</v>
      </c>
      <c r="J236" s="75" t="n">
        <v>0.02665509259259259</v>
      </c>
      <c r="K236" s="75" t="n">
        <v>0.01622685185185185</v>
      </c>
      <c r="L236" s="75" t="n">
        <v>0.01122685185185185</v>
      </c>
      <c r="M236" s="75" t="n">
        <v>0.01711805555555556</v>
      </c>
      <c r="N236" s="75" t="n">
        <v>0.01280092592592593</v>
      </c>
      <c r="O236" s="75" t="n">
        <v>0.0109375</v>
      </c>
      <c r="P236" s="75" t="n">
        <v>0.01450231481481482</v>
      </c>
    </row>
    <row r="237" ht="15.75" customHeight="1" s="45">
      <c r="A237" s="76" t="n">
        <v>46160</v>
      </c>
      <c r="B237" s="77" t="inlineStr">
        <is>
          <t>Antes-Projeto</t>
        </is>
      </c>
      <c r="C237" s="78" t="inlineStr">
        <is>
          <t>Tempo Médio — 🟢 Verde   (hh:mm)</t>
        </is>
      </c>
      <c r="D237" s="79" t="n">
        <v>0.1303587962962963</v>
      </c>
      <c r="E237" s="79" t="n">
        <v>0.1503356481481481</v>
      </c>
      <c r="F237" s="79" t="n">
        <v>0.2039351851851852</v>
      </c>
      <c r="G237" s="79" t="n">
        <v>0.1014351851851852</v>
      </c>
      <c r="H237" s="79" t="n">
        <v>0.114224537037037</v>
      </c>
      <c r="I237" s="79" t="n">
        <v>0.1797453703703704</v>
      </c>
      <c r="J237" s="79" t="n">
        <v>0.2136111111111111</v>
      </c>
      <c r="K237" s="79" t="n">
        <v>0.0739699074074074</v>
      </c>
      <c r="L237" s="79" t="n">
        <v>0.122349537037037</v>
      </c>
      <c r="M237" s="79" t="n">
        <v>0.1136921296296296</v>
      </c>
      <c r="N237" s="79" t="n">
        <v>0.0972800925925926</v>
      </c>
      <c r="O237" s="79" t="n">
        <v>0.1188194444444444</v>
      </c>
      <c r="P237" s="79" t="n">
        <v>0.1209027777777778</v>
      </c>
    </row>
    <row r="238" ht="15.75" customHeight="1" s="45">
      <c r="A238" s="57" t="n">
        <v>46161</v>
      </c>
      <c r="B238" s="58" t="inlineStr">
        <is>
          <t>Antes-Projeto</t>
        </is>
      </c>
      <c r="C238" s="59" t="inlineStr">
        <is>
          <t>Acolhim. + Atend. Urgência + Atend. UPA</t>
        </is>
      </c>
      <c r="D238" s="60">
        <f>SUM(D239:D241)</f>
        <v/>
      </c>
      <c r="E238" s="60">
        <f>SUM(E239:E241)</f>
        <v/>
      </c>
      <c r="F238" s="60">
        <f>SUM(F239:F241)</f>
        <v/>
      </c>
      <c r="G238" s="60">
        <f>SUM(G239:G241)</f>
        <v/>
      </c>
      <c r="H238" s="60">
        <f>SUM(H239:H241)</f>
        <v/>
      </c>
      <c r="I238" s="60">
        <f>SUM(I239:I241)</f>
        <v/>
      </c>
      <c r="J238" s="60">
        <f>SUM(J239:J241)</f>
        <v/>
      </c>
      <c r="K238" s="60">
        <f>SUM(K239:K241)</f>
        <v/>
      </c>
      <c r="L238" s="60">
        <f>SUM(L239:L241)</f>
        <v/>
      </c>
      <c r="M238" s="60">
        <f>SUM(M239:M241)</f>
        <v/>
      </c>
      <c r="N238" s="60">
        <f>SUM(N239:N241)</f>
        <v/>
      </c>
      <c r="O238" s="60">
        <f>SUM(O239:O241)</f>
        <v/>
      </c>
      <c r="P238" s="60">
        <f>SUM(P239:P241)</f>
        <v/>
      </c>
    </row>
    <row r="239" ht="15.75" customHeight="1" s="45">
      <c r="A239" s="61" t="n">
        <v>46161</v>
      </c>
      <c r="B239" s="62" t="inlineStr">
        <is>
          <t>Antes-Projeto</t>
        </is>
      </c>
      <c r="C239" s="63" t="inlineStr">
        <is>
          <t>Acolhimento c/ Classif. de Risco</t>
        </is>
      </c>
      <c r="D239" s="64" t="n">
        <v>238</v>
      </c>
      <c r="E239" s="64" t="n">
        <v>180</v>
      </c>
      <c r="F239" s="64" t="n">
        <v>185</v>
      </c>
      <c r="G239" s="64" t="n">
        <v>144</v>
      </c>
      <c r="H239" s="64" t="n">
        <v>157</v>
      </c>
      <c r="I239" s="64" t="n">
        <v>214</v>
      </c>
      <c r="J239" s="64" t="n">
        <v>148</v>
      </c>
      <c r="K239" s="64" t="n">
        <v>322</v>
      </c>
      <c r="L239" s="64" t="n">
        <v>148</v>
      </c>
      <c r="M239" s="64" t="n">
        <v>279</v>
      </c>
      <c r="N239" s="64" t="n">
        <v>239</v>
      </c>
      <c r="O239" s="64" t="n">
        <v>322</v>
      </c>
      <c r="P239" s="64" t="n">
        <v>262</v>
      </c>
    </row>
    <row r="240" ht="15.75" customHeight="1" s="45">
      <c r="A240" s="61" t="n">
        <v>46161</v>
      </c>
      <c r="B240" s="62" t="inlineStr">
        <is>
          <t>Antes-Projeto</t>
        </is>
      </c>
      <c r="C240" s="65" t="inlineStr">
        <is>
          <t>Atend. Urgência Obs. ≤ 24h</t>
        </is>
      </c>
      <c r="D240" s="66" t="n">
        <v>27</v>
      </c>
      <c r="E240" s="66" t="n">
        <v>41</v>
      </c>
      <c r="F240" s="66" t="n">
        <v>31</v>
      </c>
      <c r="G240" s="66" t="n">
        <v>31</v>
      </c>
      <c r="H240" s="66" t="n">
        <v>21</v>
      </c>
      <c r="I240" s="66" t="n">
        <v>23</v>
      </c>
      <c r="J240" s="66" t="n">
        <v>35</v>
      </c>
      <c r="K240" s="66" t="n">
        <v>50</v>
      </c>
      <c r="L240" s="66" t="n">
        <v>42</v>
      </c>
      <c r="M240" s="66" t="n">
        <v>28</v>
      </c>
      <c r="N240" s="66" t="n">
        <v>38</v>
      </c>
      <c r="O240" s="66" t="n">
        <v>31</v>
      </c>
      <c r="P240" s="66" t="n">
        <v>22</v>
      </c>
    </row>
    <row r="241" ht="15.75" customHeight="1" s="45">
      <c r="A241" s="61" t="n">
        <v>46161</v>
      </c>
      <c r="B241" s="62" t="inlineStr">
        <is>
          <t>Antes-Projeto</t>
        </is>
      </c>
      <c r="C241" s="63" t="inlineStr">
        <is>
          <t>Atend. Médico em UPA</t>
        </is>
      </c>
      <c r="D241" s="64" t="n">
        <v>181</v>
      </c>
      <c r="E241" s="64" t="n">
        <v>119</v>
      </c>
      <c r="F241" s="64" t="n">
        <v>105</v>
      </c>
      <c r="G241" s="64" t="n">
        <v>82</v>
      </c>
      <c r="H241" s="64" t="n">
        <v>77</v>
      </c>
      <c r="I241" s="64" t="n">
        <v>138</v>
      </c>
      <c r="J241" s="64" t="n">
        <v>73</v>
      </c>
      <c r="K241" s="64" t="n">
        <v>276</v>
      </c>
      <c r="L241" s="64" t="n">
        <v>93</v>
      </c>
      <c r="M241" s="64" t="n">
        <v>158</v>
      </c>
      <c r="N241" s="64" t="n">
        <v>225</v>
      </c>
      <c r="O241" s="64" t="n">
        <v>201</v>
      </c>
      <c r="P241" s="64" t="n">
        <v>125</v>
      </c>
    </row>
    <row r="242" ht="15.75" customHeight="1" s="45">
      <c r="A242" s="61" t="n">
        <v>46161</v>
      </c>
      <c r="B242" s="62" t="inlineStr">
        <is>
          <t>Antes-Projeto</t>
        </is>
      </c>
      <c r="C242" s="65" t="inlineStr">
        <is>
          <t>Exames Laboratoriais</t>
        </is>
      </c>
      <c r="D242" s="66" t="n">
        <v>781</v>
      </c>
      <c r="E242" s="66" t="n">
        <v>256</v>
      </c>
      <c r="F242" s="66" t="n">
        <v>539</v>
      </c>
      <c r="G242" s="66" t="n">
        <v>429</v>
      </c>
      <c r="H242" s="66" t="n">
        <v>479</v>
      </c>
      <c r="I242" s="66" t="n">
        <v>648</v>
      </c>
      <c r="J242" s="66" t="n">
        <v>322</v>
      </c>
      <c r="K242" s="66" t="n">
        <v>860</v>
      </c>
      <c r="L242" s="66" t="n">
        <v>631</v>
      </c>
      <c r="M242" s="66" t="n">
        <v>899</v>
      </c>
      <c r="N242" s="66" t="n">
        <v>633</v>
      </c>
      <c r="O242" s="66" t="n">
        <v>520</v>
      </c>
      <c r="P242" s="66" t="n">
        <v>309</v>
      </c>
    </row>
    <row r="243" ht="15.75" customHeight="1" s="45">
      <c r="A243" s="61" t="n">
        <v>46161</v>
      </c>
      <c r="B243" s="62" t="inlineStr">
        <is>
          <t>Antes-Projeto</t>
        </is>
      </c>
      <c r="C243" s="63" t="inlineStr">
        <is>
          <t>Radiografias</t>
        </is>
      </c>
      <c r="D243" s="64" t="n">
        <v>28</v>
      </c>
      <c r="E243" s="64" t="n">
        <v>23</v>
      </c>
      <c r="F243" s="64" t="n">
        <v>25</v>
      </c>
      <c r="G243" s="64" t="n">
        <v>17</v>
      </c>
      <c r="H243" s="64" t="n">
        <v>29</v>
      </c>
      <c r="I243" s="64" t="n">
        <v>32</v>
      </c>
      <c r="J243" s="64" t="n">
        <v>24</v>
      </c>
      <c r="K243" s="64" t="n">
        <v>54</v>
      </c>
      <c r="L243" s="64" t="n">
        <v>22</v>
      </c>
      <c r="M243" s="64" t="n">
        <v>52</v>
      </c>
      <c r="N243" s="64" t="n">
        <v>33</v>
      </c>
      <c r="O243" s="64" t="n">
        <v>71</v>
      </c>
      <c r="P243" s="64" t="n">
        <v>35</v>
      </c>
    </row>
    <row r="244" ht="15.75" customHeight="1" s="45">
      <c r="A244" s="61" t="n">
        <v>46161</v>
      </c>
      <c r="B244" s="62" t="inlineStr">
        <is>
          <t>Antes-Projeto</t>
        </is>
      </c>
      <c r="C244" s="65" t="inlineStr">
        <is>
          <t>Eletrocardiogramas</t>
        </is>
      </c>
      <c r="D244" s="66" t="n">
        <v>25</v>
      </c>
      <c r="E244" s="66" t="n">
        <v>5</v>
      </c>
      <c r="F244" s="66" t="n">
        <v>30</v>
      </c>
      <c r="G244" s="66" t="n">
        <v>6</v>
      </c>
      <c r="H244" s="66" t="n">
        <v>10</v>
      </c>
      <c r="I244" s="66" t="n">
        <v>10</v>
      </c>
      <c r="J244" s="66" t="n">
        <v>12</v>
      </c>
      <c r="K244" s="66" t="n">
        <v>27</v>
      </c>
      <c r="L244" s="66" t="n">
        <v>8</v>
      </c>
      <c r="M244" s="66" t="n">
        <v>17</v>
      </c>
      <c r="N244" s="66" t="n">
        <v>23</v>
      </c>
      <c r="O244" s="66" t="n">
        <v>14</v>
      </c>
      <c r="P244" s="66" t="n">
        <v>18</v>
      </c>
    </row>
    <row r="245" ht="15.75" customHeight="1" s="45">
      <c r="A245" s="61" t="n">
        <v>46161</v>
      </c>
      <c r="B245" s="62" t="inlineStr">
        <is>
          <t>Antes-Projeto</t>
        </is>
      </c>
      <c r="C245" s="68" t="inlineStr">
        <is>
          <t>GAEs Abertas</t>
        </is>
      </c>
      <c r="D245" s="69" t="n">
        <v>257</v>
      </c>
      <c r="E245" s="69" t="n">
        <v>189</v>
      </c>
      <c r="F245" s="69" t="n">
        <v>197</v>
      </c>
      <c r="G245" s="69" t="n">
        <v>146</v>
      </c>
      <c r="H245" s="69" t="n">
        <v>174</v>
      </c>
      <c r="I245" s="69" t="n">
        <v>228</v>
      </c>
      <c r="J245" s="69" t="n">
        <v>153</v>
      </c>
      <c r="K245" s="69" t="n">
        <v>392</v>
      </c>
      <c r="L245" s="69" t="n">
        <v>147</v>
      </c>
      <c r="M245" s="69" t="n">
        <v>278</v>
      </c>
      <c r="N245" s="69" t="n">
        <v>246</v>
      </c>
      <c r="O245" s="69" t="n">
        <v>329</v>
      </c>
      <c r="P245" s="69" t="n">
        <v>285</v>
      </c>
    </row>
    <row r="246" ht="15.75" customHeight="1" s="45">
      <c r="A246" s="61" t="n">
        <v>46161</v>
      </c>
      <c r="B246" s="62" t="inlineStr">
        <is>
          <t>Antes-Projeto</t>
        </is>
      </c>
      <c r="C246" s="68" t="inlineStr">
        <is>
          <t>GAEs Classificadas</t>
        </is>
      </c>
      <c r="D246" s="69" t="n">
        <v>238</v>
      </c>
      <c r="E246" s="69" t="n">
        <v>180</v>
      </c>
      <c r="F246" s="69" t="n">
        <v>184</v>
      </c>
      <c r="G246" s="69" t="n">
        <v>143</v>
      </c>
      <c r="H246" s="69" t="n">
        <v>155</v>
      </c>
      <c r="I246" s="69" t="n">
        <v>213</v>
      </c>
      <c r="J246" s="69" t="n">
        <v>148</v>
      </c>
      <c r="K246" s="69" t="n">
        <v>327</v>
      </c>
      <c r="L246" s="69" t="n">
        <v>147</v>
      </c>
      <c r="M246" s="69" t="n">
        <v>270</v>
      </c>
      <c r="N246" s="69" t="n">
        <v>238</v>
      </c>
      <c r="O246" s="69" t="n">
        <v>320</v>
      </c>
      <c r="P246" s="69" t="n">
        <v>262</v>
      </c>
    </row>
    <row r="247" ht="15.75" customHeight="1" s="45">
      <c r="A247" s="61" t="n">
        <v>46161</v>
      </c>
      <c r="B247" s="62" t="inlineStr">
        <is>
          <t>Antes-Projeto</t>
        </is>
      </c>
      <c r="C247" s="70" t="inlineStr">
        <is>
          <t>Percentual de GAEs abertas classificadas</t>
        </is>
      </c>
      <c r="D247" s="71">
        <f>IFERROR(D246/D245,"-")</f>
        <v/>
      </c>
      <c r="E247" s="71">
        <f>IFERROR(E246/E245,"-")</f>
        <v/>
      </c>
      <c r="F247" s="71">
        <f>IFERROR(F246/F245,"-")</f>
        <v/>
      </c>
      <c r="G247" s="71">
        <f>IFERROR(G246/G245,"-")</f>
        <v/>
      </c>
      <c r="H247" s="71">
        <f>IFERROR(H246/H245,"-")</f>
        <v/>
      </c>
      <c r="I247" s="71">
        <f>IFERROR(I246/I245,"-")</f>
        <v/>
      </c>
      <c r="J247" s="71">
        <f>IFERROR(J246/J245,"-")</f>
        <v/>
      </c>
      <c r="K247" s="71">
        <f>IFERROR(K246/K245,"-")</f>
        <v/>
      </c>
      <c r="L247" s="71">
        <f>IFERROR(L246/L245,"-")</f>
        <v/>
      </c>
      <c r="M247" s="71">
        <f>IFERROR(M246/M245,"-")</f>
        <v/>
      </c>
      <c r="N247" s="71">
        <f>IFERROR(N246/N245,"-")</f>
        <v/>
      </c>
      <c r="O247" s="71">
        <f>IFERROR(O246/O245,"-")</f>
        <v/>
      </c>
      <c r="P247" s="71">
        <f>IFERROR(P246/P245,"-")</f>
        <v/>
      </c>
    </row>
    <row r="248" ht="15.75" customHeight="1" s="45">
      <c r="A248" s="61" t="n">
        <v>46161</v>
      </c>
      <c r="B248" s="62" t="inlineStr">
        <is>
          <t>Antes-Projeto</t>
        </is>
      </c>
      <c r="C248" s="72" t="inlineStr">
        <is>
          <t>Tempo Médio — 🟡 Amarelo (hh:mm)</t>
        </is>
      </c>
      <c r="D248" s="73" t="n">
        <v>0.05912037037037037</v>
      </c>
      <c r="E248" s="73" t="n">
        <v>0.02149305555555556</v>
      </c>
      <c r="F248" s="73" t="n">
        <v>0.09331018518518519</v>
      </c>
      <c r="G248" s="73" t="n">
        <v>0.05733796296296297</v>
      </c>
      <c r="H248" s="73" t="n">
        <v>0.07314814814814814</v>
      </c>
      <c r="I248" s="73" t="n">
        <v>0.06489583333333333</v>
      </c>
      <c r="J248" s="73" t="n">
        <v>0.07256944444444445</v>
      </c>
      <c r="K248" s="73" t="n">
        <v>0.08783564814814815</v>
      </c>
      <c r="L248" s="73" t="n">
        <v>0.2068634259259259</v>
      </c>
      <c r="M248" s="73" t="n">
        <v>0.05621527777777778</v>
      </c>
      <c r="N248" s="73" t="n">
        <v>0.1222569444444444</v>
      </c>
      <c r="O248" s="73" t="n">
        <v>0.04567129629629629</v>
      </c>
      <c r="P248" s="73" t="n">
        <v>0.1212615740740741</v>
      </c>
    </row>
    <row r="249" ht="15.75" customHeight="1" s="45">
      <c r="A249" s="61" t="n">
        <v>46161</v>
      </c>
      <c r="B249" s="62" t="inlineStr">
        <is>
          <t>Antes-Projeto</t>
        </is>
      </c>
      <c r="C249" s="74" t="inlineStr">
        <is>
          <t>Tempo Médio — 🟠 Laranja (hh:mm)</t>
        </is>
      </c>
      <c r="D249" s="75" t="n">
        <v>0.008541666666666666</v>
      </c>
      <c r="E249" s="75" t="n">
        <v>0.01354166666666667</v>
      </c>
      <c r="F249" s="75" t="n">
        <v>0.01025462962962963</v>
      </c>
      <c r="G249" s="75" t="n">
        <v>0.009155092592592593</v>
      </c>
      <c r="H249" s="75" t="n">
        <v>0.02269675925925926</v>
      </c>
      <c r="I249" s="75" t="n">
        <v>0.008645833333333333</v>
      </c>
      <c r="J249" s="75" t="n">
        <v>0.00917824074074074</v>
      </c>
      <c r="K249" s="75" t="n">
        <v>0.01672453703703704</v>
      </c>
      <c r="L249" s="75" t="n">
        <v>0.02001157407407407</v>
      </c>
      <c r="M249" s="75" t="n">
        <v>0.01637731481481481</v>
      </c>
      <c r="N249" s="75" t="n">
        <v>0.01829861111111111</v>
      </c>
      <c r="O249" s="75" t="n">
        <v>0.01332175925925926</v>
      </c>
      <c r="P249" s="75" t="n">
        <v>0.0175</v>
      </c>
    </row>
    <row r="250" ht="15.75" customHeight="1" s="45">
      <c r="A250" s="76" t="n">
        <v>46161</v>
      </c>
      <c r="B250" s="77" t="inlineStr">
        <is>
          <t>Antes-Projeto</t>
        </is>
      </c>
      <c r="C250" s="78" t="inlineStr">
        <is>
          <t>Tempo Médio — 🟢 Verde   (hh:mm)</t>
        </is>
      </c>
      <c r="D250" s="79" t="n">
        <v>0.08159722222222222</v>
      </c>
      <c r="E250" s="79" t="n">
        <v>0.08635416666666666</v>
      </c>
      <c r="F250" s="79" t="n">
        <v>0.1185416666666667</v>
      </c>
      <c r="G250" s="79" t="n">
        <v>0.1464583333333333</v>
      </c>
      <c r="H250" s="79" t="n">
        <v>0.05202546296296296</v>
      </c>
      <c r="I250" s="79" t="n">
        <v>0.1466666666666667</v>
      </c>
      <c r="J250" s="79" t="n">
        <v>0.1266435185185185</v>
      </c>
      <c r="K250" s="79" t="n">
        <v>0.07863425925925926</v>
      </c>
      <c r="L250" s="79" t="n">
        <v>0.2134490740740741</v>
      </c>
      <c r="M250" s="79" t="n">
        <v>0.1518981481481481</v>
      </c>
      <c r="N250" s="79" t="n">
        <v>0.1343171296296296</v>
      </c>
      <c r="O250" s="79" t="n">
        <v>0.1324768518518518</v>
      </c>
      <c r="P250" s="79" t="n">
        <v>0.09618055555555556</v>
      </c>
    </row>
    <row r="251" ht="15.75" customHeight="1" s="45">
      <c r="A251" s="57" t="n">
        <v>46162</v>
      </c>
      <c r="B251" s="58" t="inlineStr">
        <is>
          <t>Antes-Projeto</t>
        </is>
      </c>
      <c r="C251" s="59" t="inlineStr">
        <is>
          <t>Acolhim. + Atend. Urgência + Atend. UPA</t>
        </is>
      </c>
      <c r="D251" s="60">
        <f>SUM(D252:D254)</f>
        <v/>
      </c>
      <c r="E251" s="60">
        <f>SUM(E252:E254)</f>
        <v/>
      </c>
      <c r="F251" s="60">
        <f>SUM(F252:F254)</f>
        <v/>
      </c>
      <c r="G251" s="60">
        <f>SUM(G252:G254)</f>
        <v/>
      </c>
      <c r="H251" s="60">
        <f>SUM(H252:H254)</f>
        <v/>
      </c>
      <c r="I251" s="60">
        <f>SUM(I252:I254)</f>
        <v/>
      </c>
      <c r="J251" s="60">
        <f>SUM(J252:J254)</f>
        <v/>
      </c>
      <c r="K251" s="60">
        <f>SUM(K252:K254)</f>
        <v/>
      </c>
      <c r="L251" s="60">
        <f>SUM(L252:L254)</f>
        <v/>
      </c>
      <c r="M251" s="60">
        <f>SUM(M252:M254)</f>
        <v/>
      </c>
      <c r="N251" s="60">
        <f>SUM(N252:N254)</f>
        <v/>
      </c>
      <c r="O251" s="60">
        <f>SUM(O252:O254)</f>
        <v/>
      </c>
      <c r="P251" s="60">
        <f>SUM(P252:P254)</f>
        <v/>
      </c>
    </row>
    <row r="252" ht="15.75" customHeight="1" s="45">
      <c r="A252" s="61" t="n">
        <v>46162</v>
      </c>
      <c r="B252" s="62" t="inlineStr">
        <is>
          <t>Antes-Projeto</t>
        </is>
      </c>
      <c r="C252" s="65" t="inlineStr">
        <is>
          <t>Acolhimento c/ Classif. de Risco</t>
        </is>
      </c>
      <c r="D252" s="66" t="n">
        <v>230</v>
      </c>
      <c r="E252" s="66" t="n">
        <v>166</v>
      </c>
      <c r="F252" s="66" t="n">
        <v>183</v>
      </c>
      <c r="G252" s="66" t="n">
        <v>122</v>
      </c>
      <c r="H252" s="66" t="n">
        <v>140</v>
      </c>
      <c r="I252" s="66" t="n">
        <v>199</v>
      </c>
      <c r="J252" s="66" t="n">
        <v>144</v>
      </c>
      <c r="K252" s="66" t="n">
        <v>365</v>
      </c>
      <c r="L252" s="66" t="n">
        <v>137</v>
      </c>
      <c r="M252" s="66" t="n">
        <v>275</v>
      </c>
      <c r="N252" s="66" t="n">
        <v>220</v>
      </c>
      <c r="O252" s="66" t="n">
        <v>312</v>
      </c>
      <c r="P252" s="66" t="n">
        <v>273</v>
      </c>
    </row>
    <row r="253" ht="15.75" customHeight="1" s="45">
      <c r="A253" s="61" t="n">
        <v>46162</v>
      </c>
      <c r="B253" s="62" t="inlineStr">
        <is>
          <t>Antes-Projeto</t>
        </is>
      </c>
      <c r="C253" s="63" t="inlineStr">
        <is>
          <t>Atend. Urgência Obs. ≤ 24h</t>
        </is>
      </c>
      <c r="D253" s="64" t="n">
        <v>24</v>
      </c>
      <c r="E253" s="64" t="n">
        <v>47</v>
      </c>
      <c r="F253" s="64" t="n">
        <v>30</v>
      </c>
      <c r="G253" s="64" t="n">
        <v>65</v>
      </c>
      <c r="H253" s="64" t="n">
        <v>16</v>
      </c>
      <c r="I253" s="64" t="n">
        <v>18</v>
      </c>
      <c r="J253" s="64" t="n">
        <v>15</v>
      </c>
      <c r="K253" s="64" t="n">
        <v>65</v>
      </c>
      <c r="L253" s="64" t="n">
        <v>41</v>
      </c>
      <c r="M253" s="64" t="n">
        <v>61</v>
      </c>
      <c r="N253" s="64" t="n">
        <v>48</v>
      </c>
      <c r="O253" s="64" t="n">
        <v>20</v>
      </c>
      <c r="P253" s="64" t="n">
        <v>27</v>
      </c>
    </row>
    <row r="254" ht="15.75" customHeight="1" s="45">
      <c r="A254" s="61" t="n">
        <v>46162</v>
      </c>
      <c r="B254" s="62" t="inlineStr">
        <is>
          <t>Antes-Projeto</t>
        </is>
      </c>
      <c r="C254" s="65" t="inlineStr">
        <is>
          <t>Atend. Médico em UPA</t>
        </is>
      </c>
      <c r="D254" s="66" t="n">
        <v>140</v>
      </c>
      <c r="E254" s="66" t="n">
        <v>90</v>
      </c>
      <c r="F254" s="66" t="n">
        <v>94</v>
      </c>
      <c r="G254" s="66" t="n">
        <v>71</v>
      </c>
      <c r="H254" s="66" t="n">
        <v>96</v>
      </c>
      <c r="I254" s="66" t="n">
        <v>145</v>
      </c>
      <c r="J254" s="66" t="n">
        <v>112</v>
      </c>
      <c r="K254" s="66" t="n">
        <v>249</v>
      </c>
      <c r="L254" s="66" t="n">
        <v>76</v>
      </c>
      <c r="M254" s="66" t="n">
        <v>105</v>
      </c>
      <c r="N254" s="66" t="n">
        <v>231</v>
      </c>
      <c r="O254" s="66" t="n">
        <v>236</v>
      </c>
      <c r="P254" s="66" t="n">
        <v>121</v>
      </c>
    </row>
    <row r="255" ht="15.75" customHeight="1" s="45">
      <c r="A255" s="61" t="n">
        <v>46162</v>
      </c>
      <c r="B255" s="62" t="inlineStr">
        <is>
          <t>Antes-Projeto</t>
        </is>
      </c>
      <c r="C255" s="63" t="inlineStr">
        <is>
          <t>Exames Laboratoriais</t>
        </is>
      </c>
      <c r="D255" s="64" t="n">
        <v>628</v>
      </c>
      <c r="E255" s="64" t="n">
        <v>537</v>
      </c>
      <c r="F255" s="64" t="n">
        <v>528</v>
      </c>
      <c r="G255" s="64" t="n">
        <v>411</v>
      </c>
      <c r="H255" s="64" t="n">
        <v>384</v>
      </c>
      <c r="I255" s="64" t="n">
        <v>562</v>
      </c>
      <c r="J255" s="64" t="n">
        <v>394</v>
      </c>
      <c r="K255" s="64" t="n">
        <v>881</v>
      </c>
      <c r="L255" s="64" t="n">
        <v>557</v>
      </c>
      <c r="M255" s="64" t="n">
        <v>735</v>
      </c>
      <c r="N255" s="64" t="n">
        <v>643</v>
      </c>
      <c r="O255" s="64" t="n">
        <v>666</v>
      </c>
      <c r="P255" s="64" t="n">
        <v>552</v>
      </c>
    </row>
    <row r="256" ht="15.75" customHeight="1" s="45">
      <c r="A256" s="61" t="n">
        <v>46162</v>
      </c>
      <c r="B256" s="62" t="inlineStr">
        <is>
          <t>Antes-Projeto</t>
        </is>
      </c>
      <c r="C256" s="65" t="inlineStr">
        <is>
          <t>Radiografias</t>
        </is>
      </c>
      <c r="D256" s="66" t="n">
        <v>23</v>
      </c>
      <c r="E256" s="66" t="n">
        <v>26</v>
      </c>
      <c r="F256" s="66" t="n">
        <v>12</v>
      </c>
      <c r="G256" s="66" t="n">
        <v>16</v>
      </c>
      <c r="H256" s="66" t="n">
        <v>20</v>
      </c>
      <c r="I256" s="66" t="n">
        <v>24</v>
      </c>
      <c r="J256" s="66" t="n">
        <v>23</v>
      </c>
      <c r="K256" s="66" t="n">
        <v>73</v>
      </c>
      <c r="L256" s="66" t="n">
        <v>13</v>
      </c>
      <c r="M256" s="66" t="n">
        <v>42</v>
      </c>
      <c r="N256" s="66" t="n">
        <v>34</v>
      </c>
      <c r="O256" s="66" t="n">
        <v>64</v>
      </c>
      <c r="P256" s="66" t="n">
        <v>41</v>
      </c>
    </row>
    <row r="257" ht="15.75" customHeight="1" s="45">
      <c r="A257" s="61" t="n">
        <v>46162</v>
      </c>
      <c r="B257" s="62" t="inlineStr">
        <is>
          <t>Antes-Projeto</t>
        </is>
      </c>
      <c r="C257" s="63" t="inlineStr">
        <is>
          <t>Eletrocardiogramas</t>
        </is>
      </c>
      <c r="D257" s="64" t="n">
        <v>20</v>
      </c>
      <c r="E257" s="64" t="n">
        <v>20</v>
      </c>
      <c r="F257" s="64" t="n">
        <v>25</v>
      </c>
      <c r="G257" s="64" t="n">
        <v>5</v>
      </c>
      <c r="H257" s="64" t="n">
        <v>18</v>
      </c>
      <c r="I257" s="64" t="n">
        <v>13</v>
      </c>
      <c r="J257" s="64" t="n">
        <v>13</v>
      </c>
      <c r="K257" s="64" t="n">
        <v>15</v>
      </c>
      <c r="L257" s="64" t="n">
        <v>14</v>
      </c>
      <c r="M257" s="64" t="n">
        <v>11</v>
      </c>
      <c r="N257" s="64" t="n">
        <v>20</v>
      </c>
      <c r="O257" s="64" t="n">
        <v>16</v>
      </c>
      <c r="P257" s="64" t="n">
        <v>17</v>
      </c>
    </row>
    <row r="258" ht="15.75" customHeight="1" s="45">
      <c r="A258" s="61" t="n">
        <v>46162</v>
      </c>
      <c r="B258" s="62" t="inlineStr">
        <is>
          <t>Antes-Projeto</t>
        </is>
      </c>
      <c r="C258" s="68" t="inlineStr">
        <is>
          <t>GAEs Abertas</t>
        </is>
      </c>
      <c r="D258" s="69" t="n">
        <v>247</v>
      </c>
      <c r="E258" s="69" t="n">
        <v>173</v>
      </c>
      <c r="F258" s="69" t="n">
        <v>186</v>
      </c>
      <c r="G258" s="69" t="n">
        <v>133</v>
      </c>
      <c r="H258" s="69" t="n">
        <v>143</v>
      </c>
      <c r="I258" s="69" t="n">
        <v>222</v>
      </c>
      <c r="J258" s="69" t="n">
        <v>144</v>
      </c>
      <c r="K258" s="69" t="n">
        <v>415</v>
      </c>
      <c r="L258" s="69" t="n">
        <v>149</v>
      </c>
      <c r="M258" s="69" t="n">
        <v>297</v>
      </c>
      <c r="N258" s="69" t="n">
        <v>236</v>
      </c>
      <c r="O258" s="69" t="n">
        <v>327</v>
      </c>
      <c r="P258" s="69" t="n">
        <v>283</v>
      </c>
    </row>
    <row r="259" ht="15.75" customHeight="1" s="45">
      <c r="A259" s="61" t="n">
        <v>46162</v>
      </c>
      <c r="B259" s="62" t="inlineStr">
        <is>
          <t>Antes-Projeto</t>
        </is>
      </c>
      <c r="C259" s="68" t="inlineStr">
        <is>
          <t>GAEs Classificadas</t>
        </is>
      </c>
      <c r="D259" s="69" t="n">
        <v>231</v>
      </c>
      <c r="E259" s="69" t="n">
        <v>164</v>
      </c>
      <c r="F259" s="69" t="n">
        <v>184</v>
      </c>
      <c r="G259" s="69" t="n">
        <v>123</v>
      </c>
      <c r="H259" s="69" t="n">
        <v>138</v>
      </c>
      <c r="I259" s="69" t="n">
        <v>199</v>
      </c>
      <c r="J259" s="69" t="n">
        <v>144</v>
      </c>
      <c r="K259" s="69" t="n">
        <v>360</v>
      </c>
      <c r="L259" s="69" t="n">
        <v>133</v>
      </c>
      <c r="M259" s="69" t="n">
        <v>278</v>
      </c>
      <c r="N259" s="69" t="n">
        <v>222</v>
      </c>
      <c r="O259" s="69" t="n">
        <v>309</v>
      </c>
      <c r="P259" s="69" t="n">
        <v>271</v>
      </c>
    </row>
    <row r="260" ht="15.75" customHeight="1" s="45">
      <c r="A260" s="61" t="n">
        <v>46162</v>
      </c>
      <c r="B260" s="62" t="inlineStr">
        <is>
          <t>Antes-Projeto</t>
        </is>
      </c>
      <c r="C260" s="70" t="inlineStr">
        <is>
          <t>Percentual de GAEs abertas classificadas</t>
        </is>
      </c>
      <c r="D260" s="71">
        <f>IFERROR(D259/D258,"-")</f>
        <v/>
      </c>
      <c r="E260" s="71">
        <f>IFERROR(E259/E258,"-")</f>
        <v/>
      </c>
      <c r="F260" s="71">
        <f>IFERROR(F259/F258,"-")</f>
        <v/>
      </c>
      <c r="G260" s="71">
        <f>IFERROR(G259/G258,"-")</f>
        <v/>
      </c>
      <c r="H260" s="71">
        <f>IFERROR(H259/H258,"-")</f>
        <v/>
      </c>
      <c r="I260" s="71">
        <f>IFERROR(I259/I258,"-")</f>
        <v/>
      </c>
      <c r="J260" s="71">
        <f>IFERROR(J259/J258,"-")</f>
        <v/>
      </c>
      <c r="K260" s="71">
        <f>IFERROR(K259/K258,"-")</f>
        <v/>
      </c>
      <c r="L260" s="71">
        <f>IFERROR(L259/L258,"-")</f>
        <v/>
      </c>
      <c r="M260" s="71">
        <f>IFERROR(M259/M258,"-")</f>
        <v/>
      </c>
      <c r="N260" s="71">
        <f>IFERROR(N259/N258,"-")</f>
        <v/>
      </c>
      <c r="O260" s="71">
        <f>IFERROR(O259/O258,"-")</f>
        <v/>
      </c>
      <c r="P260" s="71">
        <f>IFERROR(P259/P258,"-")</f>
        <v/>
      </c>
    </row>
    <row r="261" ht="15.75" customHeight="1" s="45">
      <c r="A261" s="61" t="n">
        <v>46162</v>
      </c>
      <c r="B261" s="62" t="inlineStr">
        <is>
          <t>Antes-Projeto</t>
        </is>
      </c>
      <c r="C261" s="72" t="inlineStr">
        <is>
          <t>Tempo Médio — 🟡 Amarelo (hh:mm)</t>
        </is>
      </c>
      <c r="D261" s="73" t="n">
        <v>0.04158564814814815</v>
      </c>
      <c r="E261" s="73" t="n">
        <v>0.08777777777777777</v>
      </c>
      <c r="F261" s="73" t="n">
        <v>0.07381944444444444</v>
      </c>
      <c r="G261" s="73" t="n">
        <v>0.1019444444444444</v>
      </c>
      <c r="H261" s="73" t="n">
        <v>0.0554050925925926</v>
      </c>
      <c r="I261" s="73" t="n">
        <v>0.07062499999999999</v>
      </c>
      <c r="J261" s="73" t="n">
        <v>0.05009259259259259</v>
      </c>
      <c r="K261" s="73" t="n">
        <v>0.09607638888888889</v>
      </c>
      <c r="L261" s="73" t="n">
        <v>0.1711342592592593</v>
      </c>
      <c r="M261" s="73" t="n">
        <v>0.05636574074074074</v>
      </c>
      <c r="N261" s="73" t="n">
        <v>0.08648148148148148</v>
      </c>
      <c r="O261" s="73" t="n">
        <v>0.08400462962962962</v>
      </c>
      <c r="P261" s="73" t="n">
        <v>0.05032407407407408</v>
      </c>
    </row>
    <row r="262" ht="15.75" customHeight="1" s="45">
      <c r="A262" s="61" t="n">
        <v>46162</v>
      </c>
      <c r="B262" s="62" t="inlineStr">
        <is>
          <t>Antes-Projeto</t>
        </is>
      </c>
      <c r="C262" s="74" t="inlineStr">
        <is>
          <t>Tempo Médio — 🟠 Laranja (hh:mm)</t>
        </is>
      </c>
      <c r="D262" s="75" t="n">
        <v>0.01041666666666667</v>
      </c>
      <c r="E262" s="75" t="n">
        <v>0.009143518518518518</v>
      </c>
      <c r="F262" s="75" t="n">
        <v>0.005208333333333333</v>
      </c>
      <c r="G262" s="75" t="n">
        <v>0.01046296296296296</v>
      </c>
      <c r="H262" s="75" t="n">
        <v>0.005706018518518518</v>
      </c>
      <c r="I262" s="75" t="n">
        <v>0.01422453703703704</v>
      </c>
      <c r="J262" s="75" t="n">
        <v>0.01564814814814815</v>
      </c>
      <c r="K262" s="75" t="n">
        <v>0.02021990740740741</v>
      </c>
      <c r="L262" s="75" t="n">
        <v>0.005810185185185186</v>
      </c>
      <c r="M262" s="75" t="n">
        <v>0.02446759259259259</v>
      </c>
      <c r="N262" s="75" t="n">
        <v>0.02533564814814815</v>
      </c>
      <c r="O262" s="75" t="n">
        <v>0.01981481481481482</v>
      </c>
      <c r="P262" s="75" t="n">
        <v>0.01112268518518519</v>
      </c>
    </row>
    <row r="263" ht="15.75" customHeight="1" s="45">
      <c r="A263" s="76" t="n">
        <v>46162</v>
      </c>
      <c r="B263" s="77" t="inlineStr">
        <is>
          <t>Antes-Projeto</t>
        </is>
      </c>
      <c r="C263" s="78" t="inlineStr">
        <is>
          <t>Tempo Médio — 🟢 Verde   (hh:mm)</t>
        </is>
      </c>
      <c r="D263" s="79" t="n">
        <v>0.06258101851851852</v>
      </c>
      <c r="E263" s="79" t="n">
        <v>0.2583217592592593</v>
      </c>
      <c r="F263" s="79" t="n">
        <v>0.1018287037037037</v>
      </c>
      <c r="G263" s="79" t="n">
        <v>0.1132523148148148</v>
      </c>
      <c r="H263" s="79" t="n">
        <v>0.09746527777777778</v>
      </c>
      <c r="I263" s="79" t="n">
        <v>0.1832986111111111</v>
      </c>
      <c r="J263" s="79" t="n">
        <v>0.07891203703703703</v>
      </c>
      <c r="K263" s="79" t="n">
        <v>0.07415509259259259</v>
      </c>
      <c r="L263" s="79" t="n">
        <v>0.166400462962963</v>
      </c>
      <c r="M263" s="79" t="n">
        <v>0.1497106481481481</v>
      </c>
      <c r="N263" s="79" t="n">
        <v>0.09679398148148148</v>
      </c>
      <c r="O263" s="79" t="n">
        <v>0.1130208333333333</v>
      </c>
      <c r="P263" s="79" t="n">
        <v>0.1644560185185185</v>
      </c>
    </row>
    <row r="264" ht="15.75" customHeight="1" s="45">
      <c r="A264" s="57" t="n">
        <v>46163</v>
      </c>
      <c r="B264" s="58" t="inlineStr">
        <is>
          <t>Antes-Projeto</t>
        </is>
      </c>
      <c r="C264" s="59" t="inlineStr">
        <is>
          <t>Acolhim. + Atend. Urgência + Atend. UPA</t>
        </is>
      </c>
      <c r="D264" s="60">
        <f>SUM(D265:D267)</f>
        <v/>
      </c>
      <c r="E264" s="60">
        <f>SUM(E265:E267)</f>
        <v/>
      </c>
      <c r="F264" s="60">
        <f>SUM(F265:F267)</f>
        <v/>
      </c>
      <c r="G264" s="60">
        <f>SUM(G265:G267)</f>
        <v/>
      </c>
      <c r="H264" s="60">
        <f>SUM(H265:H267)</f>
        <v/>
      </c>
      <c r="I264" s="60">
        <f>SUM(I265:I267)</f>
        <v/>
      </c>
      <c r="J264" s="60">
        <f>SUM(J265:J267)</f>
        <v/>
      </c>
      <c r="K264" s="60">
        <f>SUM(K265:K267)</f>
        <v/>
      </c>
      <c r="L264" s="60">
        <f>SUM(L265:L267)</f>
        <v/>
      </c>
      <c r="M264" s="60">
        <f>SUM(M265:M267)</f>
        <v/>
      </c>
      <c r="N264" s="60">
        <f>SUM(N265:N267)</f>
        <v/>
      </c>
      <c r="O264" s="60">
        <f>SUM(O265:O267)</f>
        <v/>
      </c>
      <c r="P264" s="60">
        <f>SUM(P265:P267)</f>
        <v/>
      </c>
    </row>
    <row r="265" ht="15.75" customHeight="1" s="45">
      <c r="A265" s="61" t="n">
        <v>46163</v>
      </c>
      <c r="B265" s="62" t="inlineStr">
        <is>
          <t>Antes-Projeto</t>
        </is>
      </c>
      <c r="C265" s="63" t="inlineStr">
        <is>
          <t>Acolhimento c/ Classif. de Risco</t>
        </is>
      </c>
      <c r="D265" s="64" t="n">
        <v>216</v>
      </c>
      <c r="E265" s="64" t="n">
        <v>204</v>
      </c>
      <c r="F265" s="64" t="n">
        <v>181</v>
      </c>
      <c r="G265" s="64" t="n">
        <v>136</v>
      </c>
      <c r="H265" s="64" t="n">
        <v>153</v>
      </c>
      <c r="I265" s="64" t="n">
        <v>197</v>
      </c>
      <c r="J265" s="64" t="n">
        <v>142</v>
      </c>
      <c r="K265" s="64" t="n">
        <v>321</v>
      </c>
      <c r="L265" s="64" t="n">
        <v>142</v>
      </c>
      <c r="M265" s="64" t="n">
        <v>279</v>
      </c>
      <c r="N265" s="64" t="n">
        <v>203</v>
      </c>
      <c r="O265" s="64" t="n">
        <v>280</v>
      </c>
      <c r="P265" s="64" t="n">
        <v>248</v>
      </c>
    </row>
    <row r="266" ht="15.75" customHeight="1" s="45">
      <c r="A266" s="61" t="n">
        <v>46163</v>
      </c>
      <c r="B266" s="62" t="inlineStr">
        <is>
          <t>Antes-Projeto</t>
        </is>
      </c>
      <c r="C266" s="65" t="inlineStr">
        <is>
          <t>Atend. Urgência Obs. ≤ 24h</t>
        </is>
      </c>
      <c r="D266" s="66" t="n">
        <v>47</v>
      </c>
      <c r="E266" s="66" t="n">
        <v>73</v>
      </c>
      <c r="F266" s="66" t="n">
        <v>20</v>
      </c>
      <c r="G266" s="66" t="n">
        <v>23</v>
      </c>
      <c r="H266" s="66" t="n">
        <v>12</v>
      </c>
      <c r="I266" s="66" t="n">
        <v>26</v>
      </c>
      <c r="J266" s="66" t="n">
        <v>20</v>
      </c>
      <c r="K266" s="66" t="n">
        <v>44</v>
      </c>
      <c r="L266" s="66" t="n">
        <v>48</v>
      </c>
      <c r="M266" s="66" t="n">
        <v>53</v>
      </c>
      <c r="N266" s="66" t="n">
        <v>52</v>
      </c>
      <c r="O266" s="66" t="n">
        <v>23</v>
      </c>
      <c r="P266" s="66" t="n">
        <v>25</v>
      </c>
    </row>
    <row r="267" ht="15.75" customHeight="1" s="45">
      <c r="A267" s="61" t="n">
        <v>46163</v>
      </c>
      <c r="B267" s="62" t="inlineStr">
        <is>
          <t>Antes-Projeto</t>
        </is>
      </c>
      <c r="C267" s="63" t="inlineStr">
        <is>
          <t>Atend. Médico em UPA</t>
        </is>
      </c>
      <c r="D267" s="64" t="n">
        <v>196</v>
      </c>
      <c r="E267" s="64" t="n">
        <v>99</v>
      </c>
      <c r="F267" s="64" t="n">
        <v>130</v>
      </c>
      <c r="G267" s="64" t="n">
        <v>85</v>
      </c>
      <c r="H267" s="64" t="n">
        <v>85</v>
      </c>
      <c r="I267" s="64" t="n">
        <v>169</v>
      </c>
      <c r="J267" s="64" t="n">
        <v>75</v>
      </c>
      <c r="K267" s="64" t="n">
        <v>251</v>
      </c>
      <c r="L267" s="64" t="n">
        <v>114</v>
      </c>
      <c r="M267" s="64" t="n">
        <v>118</v>
      </c>
      <c r="N267" s="64" t="n">
        <v>197</v>
      </c>
      <c r="O267" s="64" t="n">
        <v>188</v>
      </c>
      <c r="P267" s="64" t="n">
        <v>152</v>
      </c>
    </row>
    <row r="268" ht="15.75" customHeight="1" s="45">
      <c r="A268" s="61" t="n">
        <v>46163</v>
      </c>
      <c r="B268" s="62" t="inlineStr">
        <is>
          <t>Antes-Projeto</t>
        </is>
      </c>
      <c r="C268" s="65" t="inlineStr">
        <is>
          <t>Exames Laboratoriais</t>
        </is>
      </c>
      <c r="D268" s="66" t="n">
        <v>624</v>
      </c>
      <c r="E268" s="66" t="n">
        <v>344</v>
      </c>
      <c r="F268" s="66" t="n">
        <v>469</v>
      </c>
      <c r="G268" s="66" t="n">
        <v>216</v>
      </c>
      <c r="H268" s="66" t="n">
        <v>464</v>
      </c>
      <c r="I268" s="66" t="n">
        <v>646</v>
      </c>
      <c r="J268" s="66" t="n">
        <v>374</v>
      </c>
      <c r="K268" s="66" t="n">
        <v>804</v>
      </c>
      <c r="L268" s="66" t="n">
        <v>695</v>
      </c>
      <c r="M268" s="66" t="n">
        <v>544</v>
      </c>
      <c r="N268" s="66" t="n">
        <v>580</v>
      </c>
      <c r="O268" s="66" t="n">
        <v>323</v>
      </c>
      <c r="P268" s="66" t="n">
        <v>417</v>
      </c>
    </row>
    <row r="269" ht="15.75" customHeight="1" s="45">
      <c r="A269" s="61" t="n">
        <v>46163</v>
      </c>
      <c r="B269" s="62" t="inlineStr">
        <is>
          <t>Antes-Projeto</t>
        </is>
      </c>
      <c r="C269" s="63" t="inlineStr">
        <is>
          <t>Radiografias</t>
        </is>
      </c>
      <c r="D269" s="64" t="n">
        <v>48</v>
      </c>
      <c r="E269" s="64" t="n">
        <v>17</v>
      </c>
      <c r="F269" s="64" t="n">
        <v>21</v>
      </c>
      <c r="G269" s="64" t="n">
        <v>14</v>
      </c>
      <c r="H269" s="64" t="n">
        <v>18</v>
      </c>
      <c r="I269" s="64" t="n">
        <v>24</v>
      </c>
      <c r="J269" s="64" t="n">
        <v>19</v>
      </c>
      <c r="K269" s="64" t="n">
        <v>43</v>
      </c>
      <c r="L269" s="64" t="n">
        <v>14</v>
      </c>
      <c r="M269" s="64" t="n">
        <v>49</v>
      </c>
      <c r="N269" s="64" t="n">
        <v>4</v>
      </c>
      <c r="O269" s="64" t="n">
        <v>36</v>
      </c>
      <c r="P269" s="64" t="n">
        <v>44</v>
      </c>
    </row>
    <row r="270" ht="15.75" customHeight="1" s="45">
      <c r="A270" s="61" t="n">
        <v>46163</v>
      </c>
      <c r="B270" s="62" t="inlineStr">
        <is>
          <t>Antes-Projeto</t>
        </is>
      </c>
      <c r="C270" s="65" t="inlineStr">
        <is>
          <t>Eletrocardiogramas</t>
        </is>
      </c>
      <c r="D270" s="66" t="n">
        <v>26</v>
      </c>
      <c r="E270" s="66" t="n">
        <v>7</v>
      </c>
      <c r="F270" s="66" t="n">
        <v>24</v>
      </c>
      <c r="G270" s="66" t="n">
        <v>16</v>
      </c>
      <c r="H270" s="66" t="n">
        <v>9</v>
      </c>
      <c r="I270" s="66" t="n">
        <v>17</v>
      </c>
      <c r="J270" s="66" t="n">
        <v>10</v>
      </c>
      <c r="K270" s="66" t="n">
        <v>16</v>
      </c>
      <c r="L270" s="66" t="n">
        <v>13</v>
      </c>
      <c r="M270" s="66" t="n">
        <v>17</v>
      </c>
      <c r="N270" s="66" t="n">
        <v>32</v>
      </c>
      <c r="O270" s="66" t="n">
        <v>14</v>
      </c>
      <c r="P270" s="66" t="n">
        <v>14</v>
      </c>
    </row>
    <row r="271" ht="15.75" customHeight="1" s="45">
      <c r="A271" s="61" t="n">
        <v>46163</v>
      </c>
      <c r="B271" s="62" t="inlineStr">
        <is>
          <t>Antes-Projeto</t>
        </is>
      </c>
      <c r="C271" s="68" t="inlineStr">
        <is>
          <t>GAEs Abertas</t>
        </is>
      </c>
      <c r="D271" s="69" t="n">
        <v>233</v>
      </c>
      <c r="E271" s="69" t="n">
        <v>211</v>
      </c>
      <c r="F271" s="69" t="n">
        <v>188</v>
      </c>
      <c r="G271" s="69" t="n">
        <v>138</v>
      </c>
      <c r="H271" s="69" t="n">
        <v>165</v>
      </c>
      <c r="I271" s="69" t="n">
        <v>209</v>
      </c>
      <c r="J271" s="69" t="n">
        <v>146</v>
      </c>
      <c r="K271" s="69" t="n">
        <v>352</v>
      </c>
      <c r="L271" s="69" t="n">
        <v>149</v>
      </c>
      <c r="M271" s="69" t="n">
        <v>284</v>
      </c>
      <c r="N271" s="69" t="n">
        <v>211</v>
      </c>
      <c r="O271" s="69" t="n">
        <v>299</v>
      </c>
      <c r="P271" s="69" t="n">
        <v>257</v>
      </c>
    </row>
    <row r="272" ht="15.75" customHeight="1" s="45">
      <c r="A272" s="61" t="n">
        <v>46163</v>
      </c>
      <c r="B272" s="62" t="inlineStr">
        <is>
          <t>Antes-Projeto</t>
        </is>
      </c>
      <c r="C272" s="68" t="inlineStr">
        <is>
          <t>GAEs Classificadas</t>
        </is>
      </c>
      <c r="D272" s="69" t="n">
        <v>214</v>
      </c>
      <c r="E272" s="69" t="n">
        <v>206</v>
      </c>
      <c r="F272" s="69" t="n">
        <v>180</v>
      </c>
      <c r="G272" s="69" t="n">
        <v>136</v>
      </c>
      <c r="H272" s="69" t="n">
        <v>153</v>
      </c>
      <c r="I272" s="69" t="n">
        <v>195</v>
      </c>
      <c r="J272" s="69" t="n">
        <v>142</v>
      </c>
      <c r="K272" s="69" t="n">
        <v>323</v>
      </c>
      <c r="L272" s="69" t="n">
        <v>143</v>
      </c>
      <c r="M272" s="69" t="n">
        <v>280</v>
      </c>
      <c r="N272" s="69" t="n">
        <v>201</v>
      </c>
      <c r="O272" s="69" t="n">
        <v>281</v>
      </c>
      <c r="P272" s="69" t="n">
        <v>249</v>
      </c>
    </row>
    <row r="273" ht="15.75" customHeight="1" s="45">
      <c r="A273" s="61" t="n">
        <v>46163</v>
      </c>
      <c r="B273" s="62" t="inlineStr">
        <is>
          <t>Antes-Projeto</t>
        </is>
      </c>
      <c r="C273" s="70" t="inlineStr">
        <is>
          <t>Percentual de GAEs abertas classificadas</t>
        </is>
      </c>
      <c r="D273" s="71">
        <f>IFERROR(D272/D271,"-")</f>
        <v/>
      </c>
      <c r="E273" s="71">
        <f>IFERROR(E272/E271,"-")</f>
        <v/>
      </c>
      <c r="F273" s="71">
        <f>IFERROR(F272/F271,"-")</f>
        <v/>
      </c>
      <c r="G273" s="71">
        <f>IFERROR(G272/G271,"-")</f>
        <v/>
      </c>
      <c r="H273" s="71">
        <f>IFERROR(H272/H271,"-")</f>
        <v/>
      </c>
      <c r="I273" s="71">
        <f>IFERROR(I272/I271,"-")</f>
        <v/>
      </c>
      <c r="J273" s="71">
        <f>IFERROR(J272/J271,"-")</f>
        <v/>
      </c>
      <c r="K273" s="71">
        <f>IFERROR(K272/K271,"-")</f>
        <v/>
      </c>
      <c r="L273" s="71">
        <f>IFERROR(L272/L271,"-")</f>
        <v/>
      </c>
      <c r="M273" s="71">
        <f>IFERROR(M272/M271,"-")</f>
        <v/>
      </c>
      <c r="N273" s="71">
        <f>IFERROR(N272/N271,"-")</f>
        <v/>
      </c>
      <c r="O273" s="71">
        <f>IFERROR(O272/O271,"-")</f>
        <v/>
      </c>
      <c r="P273" s="71">
        <f>IFERROR(P272/P271,"-")</f>
        <v/>
      </c>
    </row>
    <row r="274" ht="15.75" customHeight="1" s="45">
      <c r="A274" s="61" t="n">
        <v>46163</v>
      </c>
      <c r="B274" s="62" t="inlineStr">
        <is>
          <t>Antes-Projeto</t>
        </is>
      </c>
      <c r="C274" s="72" t="inlineStr">
        <is>
          <t>Tempo Médio — 🟡 Amarelo (hh:mm)</t>
        </is>
      </c>
      <c r="D274" s="73" t="n">
        <v>0.02325231481481482</v>
      </c>
      <c r="E274" s="73" t="n">
        <v>0.1128240740740741</v>
      </c>
      <c r="F274" s="73" t="n">
        <v>0.1157407407407407</v>
      </c>
      <c r="G274" s="73" t="n">
        <v>0.0296412037037037</v>
      </c>
      <c r="H274" s="73" t="n">
        <v>0.06611111111111111</v>
      </c>
      <c r="I274" s="73" t="n">
        <v>0.0453125</v>
      </c>
      <c r="J274" s="73" t="n">
        <v>0.1325231481481481</v>
      </c>
      <c r="K274" s="73" t="n">
        <v>0.148599537037037</v>
      </c>
      <c r="L274" s="73" t="n">
        <v>0.1122685185185185</v>
      </c>
      <c r="M274" s="73" t="n">
        <v>0.05583333333333333</v>
      </c>
      <c r="N274" s="73" t="n">
        <v>0.1456134259259259</v>
      </c>
      <c r="O274" s="73" t="n">
        <v>0.05972222222222223</v>
      </c>
      <c r="P274" s="73" t="n">
        <v>0.08831018518518519</v>
      </c>
    </row>
    <row r="275" ht="15.75" customHeight="1" s="45">
      <c r="A275" s="61" t="n">
        <v>46163</v>
      </c>
      <c r="B275" s="62" t="inlineStr">
        <is>
          <t>Antes-Projeto</t>
        </is>
      </c>
      <c r="C275" s="74" t="inlineStr">
        <is>
          <t>Tempo Médio — 🟠 Laranja (hh:mm)</t>
        </is>
      </c>
      <c r="D275" s="75" t="n">
        <v>0.006724537037037037</v>
      </c>
      <c r="E275" s="75" t="n">
        <v>0.00917824074074074</v>
      </c>
      <c r="F275" s="75" t="n">
        <v>0.008564814814814815</v>
      </c>
      <c r="G275" s="75" t="n">
        <v>0.006608796296296297</v>
      </c>
      <c r="H275" s="75" t="n">
        <v>0.007916666666666667</v>
      </c>
      <c r="I275" s="75" t="n">
        <v>0.006354166666666667</v>
      </c>
      <c r="J275" s="75" t="n">
        <v>0.01498842592592593</v>
      </c>
      <c r="K275" s="75" t="n">
        <v>0.02800925925925926</v>
      </c>
      <c r="L275" s="75" t="n">
        <v>0.01333333333333333</v>
      </c>
      <c r="M275" s="75" t="n">
        <v>0.01355324074074074</v>
      </c>
      <c r="N275" s="75" t="n">
        <v>0.01853009259259259</v>
      </c>
      <c r="O275" s="75" t="n">
        <v>0.01266203703703704</v>
      </c>
      <c r="P275" s="75" t="n">
        <v>0.01136574074074074</v>
      </c>
    </row>
    <row r="276" ht="15.75" customHeight="1" s="45">
      <c r="A276" s="76" t="n">
        <v>46163</v>
      </c>
      <c r="B276" s="77" t="inlineStr">
        <is>
          <t>Antes-Projeto</t>
        </is>
      </c>
      <c r="C276" s="78" t="inlineStr">
        <is>
          <t>Tempo Médio — 🟢 Verde   (hh:mm)</t>
        </is>
      </c>
      <c r="D276" s="79" t="n">
        <v>0.05907407407407408</v>
      </c>
      <c r="E276" s="79" t="n">
        <v>0.1379050925925926</v>
      </c>
      <c r="F276" s="79" t="n">
        <v>0.09556712962962963</v>
      </c>
      <c r="G276" s="79" t="n">
        <v>0.08909722222222222</v>
      </c>
      <c r="H276" s="79" t="n">
        <v>0.109849537037037</v>
      </c>
      <c r="I276" s="79" t="n">
        <v>0.1330208333333333</v>
      </c>
      <c r="J276" s="79" t="n">
        <v>0.1259259259259259</v>
      </c>
      <c r="K276" s="79" t="n">
        <v>0.1248726851851852</v>
      </c>
      <c r="L276" s="79" t="n">
        <v>0.1436921296296296</v>
      </c>
      <c r="M276" s="79" t="n">
        <v>0.1316435185185185</v>
      </c>
      <c r="N276" s="79" t="n">
        <v>0.1088194444444444</v>
      </c>
      <c r="O276" s="79" t="n">
        <v>0.1219560185185185</v>
      </c>
      <c r="P276" s="79" t="n">
        <v>0.1301736111111111</v>
      </c>
    </row>
    <row r="277" ht="15.75" customHeight="1" s="45">
      <c r="A277" s="57" t="n">
        <v>46164</v>
      </c>
      <c r="B277" s="58" t="inlineStr">
        <is>
          <t>Antes-Projeto</t>
        </is>
      </c>
      <c r="C277" s="59" t="inlineStr">
        <is>
          <t>Acolhim. + Atend. Urgência + Atend. UPA</t>
        </is>
      </c>
      <c r="D277" s="60">
        <f>SUM(D278:D280)</f>
        <v/>
      </c>
      <c r="E277" s="60">
        <f>SUM(E278:E280)</f>
        <v/>
      </c>
      <c r="F277" s="60">
        <f>SUM(F278:F280)</f>
        <v/>
      </c>
      <c r="G277" s="60">
        <f>SUM(G278:G280)</f>
        <v/>
      </c>
      <c r="H277" s="60">
        <f>SUM(H278:H280)</f>
        <v/>
      </c>
      <c r="I277" s="60">
        <f>SUM(I278:I280)</f>
        <v/>
      </c>
      <c r="J277" s="60">
        <f>SUM(J278:J280)</f>
        <v/>
      </c>
      <c r="K277" s="60">
        <f>SUM(K278:K280)</f>
        <v/>
      </c>
      <c r="L277" s="60">
        <f>SUM(L278:L280)</f>
        <v/>
      </c>
      <c r="M277" s="60">
        <f>SUM(M278:M280)</f>
        <v/>
      </c>
      <c r="N277" s="60">
        <f>SUM(N278:N280)</f>
        <v/>
      </c>
      <c r="O277" s="60">
        <f>SUM(O278:O280)</f>
        <v/>
      </c>
      <c r="P277" s="60">
        <f>SUM(P278:P280)</f>
        <v/>
      </c>
    </row>
    <row r="278" ht="15.75" customHeight="1" s="45">
      <c r="A278" s="61" t="n">
        <v>46164</v>
      </c>
      <c r="B278" s="62" t="inlineStr">
        <is>
          <t>Antes-Projeto</t>
        </is>
      </c>
      <c r="C278" s="65" t="inlineStr">
        <is>
          <t>Acolhimento c/ Classif. de Risco</t>
        </is>
      </c>
      <c r="D278" s="66" t="n">
        <v>202</v>
      </c>
      <c r="E278" s="66" t="n">
        <v>142</v>
      </c>
      <c r="F278" s="66" t="n">
        <v>130</v>
      </c>
      <c r="G278" s="66" t="n">
        <v>135</v>
      </c>
      <c r="H278" s="66" t="n">
        <v>147</v>
      </c>
      <c r="I278" s="66" t="n">
        <v>193</v>
      </c>
      <c r="J278" s="66" t="n">
        <v>95</v>
      </c>
      <c r="K278" s="66" t="n">
        <v>280</v>
      </c>
      <c r="L278" s="66" t="n">
        <v>148</v>
      </c>
      <c r="M278" s="66" t="n">
        <v>264</v>
      </c>
      <c r="N278" s="66" t="n">
        <v>193</v>
      </c>
      <c r="O278" s="66" t="n">
        <v>263</v>
      </c>
      <c r="P278" s="66" t="n">
        <v>212</v>
      </c>
    </row>
    <row r="279" ht="15.75" customHeight="1" s="45">
      <c r="A279" s="61" t="n">
        <v>46164</v>
      </c>
      <c r="B279" s="62" t="inlineStr">
        <is>
          <t>Antes-Projeto</t>
        </is>
      </c>
      <c r="C279" s="63" t="inlineStr">
        <is>
          <t>Atend. Urgência Obs. ≤ 24h</t>
        </is>
      </c>
      <c r="D279" s="64" t="n">
        <v>24</v>
      </c>
      <c r="E279" s="64" t="n">
        <v>71</v>
      </c>
      <c r="F279" s="64" t="n">
        <v>19</v>
      </c>
      <c r="G279" s="64" t="n">
        <v>49</v>
      </c>
      <c r="H279" s="64" t="n">
        <v>26</v>
      </c>
      <c r="I279" s="64" t="n">
        <v>39</v>
      </c>
      <c r="J279" s="64" t="n">
        <v>21</v>
      </c>
      <c r="K279" s="64" t="n">
        <v>45</v>
      </c>
      <c r="L279" s="64" t="n">
        <v>40</v>
      </c>
      <c r="M279" s="64" t="n">
        <v>9</v>
      </c>
      <c r="N279" s="64" t="n">
        <v>50</v>
      </c>
      <c r="O279" s="64" t="n">
        <v>11</v>
      </c>
      <c r="P279" s="64" t="n">
        <v>32</v>
      </c>
    </row>
    <row r="280" ht="15.75" customHeight="1" s="45">
      <c r="A280" s="61" t="n">
        <v>46164</v>
      </c>
      <c r="B280" s="62" t="inlineStr">
        <is>
          <t>Antes-Projeto</t>
        </is>
      </c>
      <c r="C280" s="65" t="inlineStr">
        <is>
          <t>Atend. Médico em UPA</t>
        </is>
      </c>
      <c r="D280" s="66" t="n">
        <v>172</v>
      </c>
      <c r="E280" s="66" t="n">
        <v>95</v>
      </c>
      <c r="F280" s="66" t="n">
        <v>81</v>
      </c>
      <c r="G280" s="66" t="n">
        <v>95</v>
      </c>
      <c r="H280" s="66" t="n">
        <v>116</v>
      </c>
      <c r="I280" s="66" t="n">
        <v>146</v>
      </c>
      <c r="J280" s="66" t="n">
        <v>69</v>
      </c>
      <c r="K280" s="66" t="n">
        <v>248</v>
      </c>
      <c r="L280" s="66" t="n">
        <v>86</v>
      </c>
      <c r="M280" s="66" t="n">
        <v>185</v>
      </c>
      <c r="N280" s="66" t="n">
        <v>235</v>
      </c>
      <c r="O280" s="66" t="n">
        <v>197</v>
      </c>
      <c r="P280" s="66" t="n">
        <v>139</v>
      </c>
    </row>
    <row r="281" ht="15.75" customHeight="1" s="45">
      <c r="A281" s="61" t="n">
        <v>46164</v>
      </c>
      <c r="B281" s="62" t="inlineStr">
        <is>
          <t>Antes-Projeto</t>
        </is>
      </c>
      <c r="C281" s="63" t="inlineStr">
        <is>
          <t>Exames Laboratoriais</t>
        </is>
      </c>
      <c r="D281" s="64" t="n">
        <v>627</v>
      </c>
      <c r="E281" s="64" t="n">
        <v>481</v>
      </c>
      <c r="F281" s="64" t="n">
        <v>505</v>
      </c>
      <c r="G281" s="64" t="n">
        <v>220</v>
      </c>
      <c r="H281" s="64" t="n">
        <v>448</v>
      </c>
      <c r="I281" s="64" t="n">
        <v>569</v>
      </c>
      <c r="J281" s="64" t="n">
        <v>265</v>
      </c>
      <c r="K281" s="64" t="n">
        <v>921</v>
      </c>
      <c r="L281" s="64" t="n">
        <v>662</v>
      </c>
      <c r="M281" s="64" t="n">
        <v>523</v>
      </c>
      <c r="N281" s="64" t="n">
        <v>535</v>
      </c>
      <c r="O281" s="64" t="n">
        <v>482</v>
      </c>
      <c r="P281" s="64" t="n">
        <v>624</v>
      </c>
    </row>
    <row r="282" ht="15.75" customHeight="1" s="45">
      <c r="A282" s="61" t="n">
        <v>46164</v>
      </c>
      <c r="B282" s="62" t="inlineStr">
        <is>
          <t>Antes-Projeto</t>
        </is>
      </c>
      <c r="C282" s="65" t="inlineStr">
        <is>
          <t>Radiografias</t>
        </is>
      </c>
      <c r="D282" s="66" t="n">
        <v>28</v>
      </c>
      <c r="E282" s="66" t="n">
        <v>14</v>
      </c>
      <c r="F282" s="66" t="n">
        <v>27</v>
      </c>
      <c r="G282" s="66" t="n">
        <v>15</v>
      </c>
      <c r="H282" s="66" t="n">
        <v>16</v>
      </c>
      <c r="I282" s="66" t="n">
        <v>20</v>
      </c>
      <c r="J282" s="66" t="n">
        <v>9</v>
      </c>
      <c r="K282" s="66" t="n">
        <v>59</v>
      </c>
      <c r="L282" s="66" t="n">
        <v>11</v>
      </c>
      <c r="M282" s="66" t="n">
        <v>53</v>
      </c>
      <c r="N282" s="67" t="n">
        <v>0</v>
      </c>
      <c r="O282" s="66" t="n">
        <v>62</v>
      </c>
      <c r="P282" s="66" t="n">
        <v>50</v>
      </c>
    </row>
    <row r="283" ht="15.75" customHeight="1" s="45">
      <c r="A283" s="61" t="n">
        <v>46164</v>
      </c>
      <c r="B283" s="62" t="inlineStr">
        <is>
          <t>Antes-Projeto</t>
        </is>
      </c>
      <c r="C283" s="63" t="inlineStr">
        <is>
          <t>Eletrocardiogramas</t>
        </is>
      </c>
      <c r="D283" s="64" t="n">
        <v>32</v>
      </c>
      <c r="E283" s="64" t="n">
        <v>19</v>
      </c>
      <c r="F283" s="64" t="n">
        <v>8</v>
      </c>
      <c r="G283" s="64" t="n">
        <v>10</v>
      </c>
      <c r="H283" s="64" t="n">
        <v>16</v>
      </c>
      <c r="I283" s="64" t="n">
        <v>15</v>
      </c>
      <c r="J283" s="64" t="n">
        <v>8</v>
      </c>
      <c r="K283" s="64" t="n">
        <v>15</v>
      </c>
      <c r="L283" s="64" t="n">
        <v>10</v>
      </c>
      <c r="M283" s="64" t="n">
        <v>12</v>
      </c>
      <c r="N283" s="64" t="n">
        <v>21</v>
      </c>
      <c r="O283" s="64" t="n">
        <v>21</v>
      </c>
      <c r="P283" s="64" t="n">
        <v>19</v>
      </c>
    </row>
    <row r="284" ht="15.75" customHeight="1" s="45">
      <c r="A284" s="61" t="n">
        <v>46164</v>
      </c>
      <c r="B284" s="62" t="inlineStr">
        <is>
          <t>Antes-Projeto</t>
        </is>
      </c>
      <c r="C284" s="68" t="inlineStr">
        <is>
          <t>GAEs Abertas</t>
        </is>
      </c>
      <c r="D284" s="69" t="n">
        <v>213</v>
      </c>
      <c r="E284" s="69" t="n">
        <v>151</v>
      </c>
      <c r="F284" s="69" t="n">
        <v>134</v>
      </c>
      <c r="G284" s="69" t="n">
        <v>137</v>
      </c>
      <c r="H284" s="69" t="n">
        <v>149</v>
      </c>
      <c r="I284" s="69" t="n">
        <v>200</v>
      </c>
      <c r="J284" s="69" t="n">
        <v>102</v>
      </c>
      <c r="K284" s="69" t="n">
        <v>293</v>
      </c>
      <c r="L284" s="69" t="n">
        <v>153</v>
      </c>
      <c r="M284" s="69" t="n">
        <v>267</v>
      </c>
      <c r="N284" s="69" t="n">
        <v>196</v>
      </c>
      <c r="O284" s="69" t="n">
        <v>272</v>
      </c>
      <c r="P284" s="69" t="n">
        <v>214</v>
      </c>
    </row>
    <row r="285" ht="15.75" customHeight="1" s="45">
      <c r="A285" s="61" t="n">
        <v>46164</v>
      </c>
      <c r="B285" s="62" t="inlineStr">
        <is>
          <t>Antes-Projeto</t>
        </is>
      </c>
      <c r="C285" s="68" t="inlineStr">
        <is>
          <t>GAEs Classificadas</t>
        </is>
      </c>
      <c r="D285" s="69" t="n">
        <v>203</v>
      </c>
      <c r="E285" s="69" t="n">
        <v>139</v>
      </c>
      <c r="F285" s="69" t="n">
        <v>131</v>
      </c>
      <c r="G285" s="69" t="n">
        <v>135</v>
      </c>
      <c r="H285" s="69" t="n">
        <v>146</v>
      </c>
      <c r="I285" s="69" t="n">
        <v>189</v>
      </c>
      <c r="J285" s="69" t="n">
        <v>98</v>
      </c>
      <c r="K285" s="69" t="n">
        <v>278</v>
      </c>
      <c r="L285" s="69" t="n">
        <v>149</v>
      </c>
      <c r="M285" s="69" t="n">
        <v>260</v>
      </c>
      <c r="N285" s="69" t="n">
        <v>189</v>
      </c>
      <c r="O285" s="69" t="n">
        <v>263</v>
      </c>
      <c r="P285" s="69" t="n">
        <v>209</v>
      </c>
    </row>
    <row r="286" ht="15.75" customHeight="1" s="45">
      <c r="A286" s="61" t="n">
        <v>46164</v>
      </c>
      <c r="B286" s="62" t="inlineStr">
        <is>
          <t>Antes-Projeto</t>
        </is>
      </c>
      <c r="C286" s="70" t="inlineStr">
        <is>
          <t>Percentual de GAEs abertas classificadas</t>
        </is>
      </c>
      <c r="D286" s="71">
        <f>IFERROR(D285/D284,"-")</f>
        <v/>
      </c>
      <c r="E286" s="71">
        <f>IFERROR(E285/E284,"-")</f>
        <v/>
      </c>
      <c r="F286" s="71">
        <f>IFERROR(F285/F284,"-")</f>
        <v/>
      </c>
      <c r="G286" s="71">
        <f>IFERROR(G285/G284,"-")</f>
        <v/>
      </c>
      <c r="H286" s="71">
        <f>IFERROR(H285/H284,"-")</f>
        <v/>
      </c>
      <c r="I286" s="71">
        <f>IFERROR(I285/I284,"-")</f>
        <v/>
      </c>
      <c r="J286" s="71">
        <f>IFERROR(J285/J284,"-")</f>
        <v/>
      </c>
      <c r="K286" s="71">
        <f>IFERROR(K285/K284,"-")</f>
        <v/>
      </c>
      <c r="L286" s="71">
        <f>IFERROR(L285/L284,"-")</f>
        <v/>
      </c>
      <c r="M286" s="71">
        <f>IFERROR(M285/M284,"-")</f>
        <v/>
      </c>
      <c r="N286" s="71">
        <f>IFERROR(N285/N284,"-")</f>
        <v/>
      </c>
      <c r="O286" s="71">
        <f>IFERROR(O285/O284,"-")</f>
        <v/>
      </c>
      <c r="P286" s="71">
        <f>IFERROR(P285/P284,"-")</f>
        <v/>
      </c>
    </row>
    <row r="287" ht="15.75" customHeight="1" s="45">
      <c r="A287" s="61" t="n">
        <v>46164</v>
      </c>
      <c r="B287" s="62" t="inlineStr">
        <is>
          <t>Antes-Projeto</t>
        </is>
      </c>
      <c r="C287" s="72" t="inlineStr">
        <is>
          <t>Tempo Médio — 🟡 Amarelo (hh:mm)</t>
        </is>
      </c>
      <c r="D287" s="73" t="n">
        <v>0.04164351851851852</v>
      </c>
      <c r="E287" s="73" t="n">
        <v>0.2022222222222222</v>
      </c>
      <c r="F287" s="73" t="n">
        <v>0.06015046296296296</v>
      </c>
      <c r="G287" s="73" t="n">
        <v>0.1269212962962963</v>
      </c>
      <c r="H287" s="73" t="n">
        <v>0.07097222222222223</v>
      </c>
      <c r="I287" s="73" t="n">
        <v>0.05842592592592592</v>
      </c>
      <c r="J287" s="73" t="n">
        <v>0.0428587962962963</v>
      </c>
      <c r="K287" s="73" t="n">
        <v>0.05864583333333333</v>
      </c>
      <c r="L287" s="73" t="n">
        <v>0.1274421296296296</v>
      </c>
      <c r="M287" s="73" t="n">
        <v>0.02892361111111111</v>
      </c>
      <c r="N287" s="73" t="n">
        <v>0.05284722222222222</v>
      </c>
      <c r="O287" s="73" t="n">
        <v>0.09458333333333334</v>
      </c>
      <c r="P287" s="73" t="n">
        <v>0.06734953703703704</v>
      </c>
    </row>
    <row r="288" ht="15.75" customHeight="1" s="45">
      <c r="A288" s="61" t="n">
        <v>46164</v>
      </c>
      <c r="B288" s="62" t="inlineStr">
        <is>
          <t>Antes-Projeto</t>
        </is>
      </c>
      <c r="C288" s="74" t="inlineStr">
        <is>
          <t>Tempo Médio — 🟠 Laranja (hh:mm)</t>
        </is>
      </c>
      <c r="D288" s="75" t="n">
        <v>0.009236111111111112</v>
      </c>
      <c r="E288" s="75" t="n">
        <v>0.02162037037037037</v>
      </c>
      <c r="F288" s="75" t="n">
        <v>0.006018518518518519</v>
      </c>
      <c r="G288" s="75" t="n">
        <v>0.009479166666666667</v>
      </c>
      <c r="H288" s="75" t="n">
        <v>0.01037037037037037</v>
      </c>
      <c r="I288" s="75" t="n">
        <v>0.01362268518518519</v>
      </c>
      <c r="J288" s="75" t="n">
        <v>0.01696759259259259</v>
      </c>
      <c r="K288" s="75" t="n">
        <v>0.01758101851851852</v>
      </c>
      <c r="L288" s="75" t="n">
        <v>0.008854166666666666</v>
      </c>
      <c r="M288" s="75" t="n">
        <v>0.0109375</v>
      </c>
      <c r="N288" s="75" t="n">
        <v>0.01086805555555556</v>
      </c>
      <c r="O288" s="75" t="n">
        <v>0.01225694444444445</v>
      </c>
      <c r="P288" s="75" t="n">
        <v>0.01050925925925926</v>
      </c>
    </row>
    <row r="289" ht="15.75" customHeight="1" s="45">
      <c r="A289" s="76" t="n">
        <v>46164</v>
      </c>
      <c r="B289" s="77" t="inlineStr">
        <is>
          <t>Antes-Projeto</t>
        </is>
      </c>
      <c r="C289" s="78" t="inlineStr">
        <is>
          <t>Tempo Médio — 🟢 Verde   (hh:mm)</t>
        </is>
      </c>
      <c r="D289" s="79" t="n">
        <v>0.07193287037037037</v>
      </c>
      <c r="E289" s="79" t="n">
        <v>0.1843865740740741</v>
      </c>
      <c r="F289" s="79" t="n">
        <v>0.09092592592592592</v>
      </c>
      <c r="G289" s="79" t="n">
        <v>0.07754629629629629</v>
      </c>
      <c r="H289" s="79" t="n">
        <v>0.05291666666666667</v>
      </c>
      <c r="I289" s="79" t="n">
        <v>0.1482870370370371</v>
      </c>
      <c r="J289" s="79" t="n">
        <v>0.07600694444444445</v>
      </c>
      <c r="K289" s="79" t="n">
        <v>0.07528935185185186</v>
      </c>
      <c r="L289" s="79" t="n">
        <v>0.1480208333333333</v>
      </c>
      <c r="M289" s="79" t="n">
        <v>0.08590277777777777</v>
      </c>
      <c r="N289" s="79" t="n">
        <v>0.08383101851851851</v>
      </c>
      <c r="O289" s="79" t="n">
        <v>0.2385185185185185</v>
      </c>
      <c r="P289" s="79" t="n">
        <v>0.09587962962962963</v>
      </c>
    </row>
    <row r="290" ht="15.75" customHeight="1" s="45">
      <c r="A290" s="57" t="n">
        <v>46165</v>
      </c>
      <c r="B290" s="58" t="inlineStr">
        <is>
          <t>Antes-Projeto</t>
        </is>
      </c>
      <c r="C290" s="59" t="inlineStr">
        <is>
          <t>Acolhim. + Atend. Urgência + Atend. UPA</t>
        </is>
      </c>
      <c r="D290" s="60">
        <f>SUM(D291:D293)</f>
        <v/>
      </c>
      <c r="E290" s="60">
        <f>SUM(E291:E293)</f>
        <v/>
      </c>
      <c r="F290" s="60">
        <f>SUM(F291:F293)</f>
        <v/>
      </c>
      <c r="G290" s="60">
        <f>SUM(G291:G293)</f>
        <v/>
      </c>
      <c r="H290" s="60">
        <f>SUM(H291:H293)</f>
        <v/>
      </c>
      <c r="I290" s="60">
        <f>SUM(I291:I293)</f>
        <v/>
      </c>
      <c r="J290" s="60">
        <f>SUM(J291:J293)</f>
        <v/>
      </c>
      <c r="K290" s="60">
        <f>SUM(K291:K293)</f>
        <v/>
      </c>
      <c r="L290" s="60">
        <f>SUM(L291:L293)</f>
        <v/>
      </c>
      <c r="M290" s="60">
        <f>SUM(M291:M293)</f>
        <v/>
      </c>
      <c r="N290" s="60">
        <f>SUM(N291:N293)</f>
        <v/>
      </c>
      <c r="O290" s="60">
        <f>SUM(O291:O293)</f>
        <v/>
      </c>
      <c r="P290" s="60">
        <f>SUM(P291:P293)</f>
        <v/>
      </c>
    </row>
    <row r="291" ht="15.75" customHeight="1" s="45">
      <c r="A291" s="61" t="n">
        <v>46165</v>
      </c>
      <c r="B291" s="62" t="inlineStr">
        <is>
          <t>Antes-Projeto</t>
        </is>
      </c>
      <c r="C291" s="63" t="inlineStr">
        <is>
          <t>Acolhimento c/ Classif. de Risco</t>
        </is>
      </c>
      <c r="D291" s="64" t="n">
        <v>158</v>
      </c>
      <c r="E291" s="64" t="n">
        <v>111</v>
      </c>
      <c r="F291" s="64" t="n">
        <v>130</v>
      </c>
      <c r="G291" s="64" t="n">
        <v>115</v>
      </c>
      <c r="H291" s="64" t="n">
        <v>134</v>
      </c>
      <c r="I291" s="64" t="n">
        <v>166</v>
      </c>
      <c r="J291" s="64" t="n">
        <v>86</v>
      </c>
      <c r="K291" s="64" t="n">
        <v>211</v>
      </c>
      <c r="L291" s="64" t="n">
        <v>119</v>
      </c>
      <c r="M291" s="64" t="n">
        <v>211</v>
      </c>
      <c r="N291" s="64" t="n">
        <v>163</v>
      </c>
      <c r="O291" s="64" t="n">
        <v>221</v>
      </c>
      <c r="P291" s="64" t="n">
        <v>207</v>
      </c>
    </row>
    <row r="292" ht="15.75" customHeight="1" s="45">
      <c r="A292" s="61" t="n">
        <v>46165</v>
      </c>
      <c r="B292" s="62" t="inlineStr">
        <is>
          <t>Antes-Projeto</t>
        </is>
      </c>
      <c r="C292" s="65" t="inlineStr">
        <is>
          <t>Atend. Urgência Obs. ≤ 24h</t>
        </is>
      </c>
      <c r="D292" s="66" t="n">
        <v>21</v>
      </c>
      <c r="E292" s="66" t="n">
        <v>71</v>
      </c>
      <c r="F292" s="66" t="n">
        <v>16</v>
      </c>
      <c r="G292" s="66" t="n">
        <v>20</v>
      </c>
      <c r="H292" s="66" t="n">
        <v>6</v>
      </c>
      <c r="I292" s="66" t="n">
        <v>25</v>
      </c>
      <c r="J292" s="66" t="n">
        <v>47</v>
      </c>
      <c r="K292" s="66" t="n">
        <v>41</v>
      </c>
      <c r="L292" s="66" t="n">
        <v>50</v>
      </c>
      <c r="M292" s="66" t="n">
        <v>25</v>
      </c>
      <c r="N292" s="66" t="n">
        <v>22</v>
      </c>
      <c r="O292" s="66" t="n">
        <v>21</v>
      </c>
      <c r="P292" s="66" t="n">
        <v>19</v>
      </c>
    </row>
    <row r="293" ht="15.75" customHeight="1" s="45">
      <c r="A293" s="61" t="n">
        <v>46165</v>
      </c>
      <c r="B293" s="62" t="inlineStr">
        <is>
          <t>Antes-Projeto</t>
        </is>
      </c>
      <c r="C293" s="63" t="inlineStr">
        <is>
          <t>Atend. Médico em UPA</t>
        </is>
      </c>
      <c r="D293" s="64" t="n">
        <v>137</v>
      </c>
      <c r="E293" s="64" t="n">
        <v>64</v>
      </c>
      <c r="F293" s="64" t="n">
        <v>84</v>
      </c>
      <c r="G293" s="64" t="n">
        <v>71</v>
      </c>
      <c r="H293" s="64" t="n">
        <v>68</v>
      </c>
      <c r="I293" s="64" t="n">
        <v>151</v>
      </c>
      <c r="J293" s="64" t="n">
        <v>70</v>
      </c>
      <c r="K293" s="64" t="n">
        <v>182</v>
      </c>
      <c r="L293" s="64" t="n">
        <v>78</v>
      </c>
      <c r="M293" s="64" t="n">
        <v>135</v>
      </c>
      <c r="N293" s="64" t="n">
        <v>167</v>
      </c>
      <c r="O293" s="64" t="n">
        <v>163</v>
      </c>
      <c r="P293" s="64" t="n">
        <v>151</v>
      </c>
    </row>
    <row r="294" ht="15.75" customHeight="1" s="45">
      <c r="A294" s="61" t="n">
        <v>46165</v>
      </c>
      <c r="B294" s="62" t="inlineStr">
        <is>
          <t>Antes-Projeto</t>
        </is>
      </c>
      <c r="C294" s="65" t="inlineStr">
        <is>
          <t>Exames Laboratoriais</t>
        </is>
      </c>
      <c r="D294" s="66" t="n">
        <v>515</v>
      </c>
      <c r="E294" s="66" t="n">
        <v>181</v>
      </c>
      <c r="F294" s="66" t="n">
        <v>354</v>
      </c>
      <c r="G294" s="66" t="n">
        <v>325</v>
      </c>
      <c r="H294" s="66" t="n">
        <v>321</v>
      </c>
      <c r="I294" s="66" t="n">
        <v>594</v>
      </c>
      <c r="J294" s="66" t="n">
        <v>295</v>
      </c>
      <c r="K294" s="66" t="n">
        <v>761</v>
      </c>
      <c r="L294" s="66" t="n">
        <v>662</v>
      </c>
      <c r="M294" s="66" t="n">
        <v>571</v>
      </c>
      <c r="N294" s="66" t="n">
        <v>250</v>
      </c>
      <c r="O294" s="66" t="n">
        <v>469</v>
      </c>
      <c r="P294" s="66" t="n">
        <v>251</v>
      </c>
    </row>
    <row r="295" ht="15.75" customHeight="1" s="45">
      <c r="A295" s="61" t="n">
        <v>46165</v>
      </c>
      <c r="B295" s="62" t="inlineStr">
        <is>
          <t>Antes-Projeto</t>
        </is>
      </c>
      <c r="C295" s="63" t="inlineStr">
        <is>
          <t>Radiografias</t>
        </is>
      </c>
      <c r="D295" s="64" t="n">
        <v>18</v>
      </c>
      <c r="E295" s="64" t="n">
        <v>15</v>
      </c>
      <c r="F295" s="64" t="n">
        <v>23</v>
      </c>
      <c r="G295" s="64" t="n">
        <v>10</v>
      </c>
      <c r="H295" s="64" t="n">
        <v>13</v>
      </c>
      <c r="I295" s="64" t="n">
        <v>28</v>
      </c>
      <c r="J295" s="64" t="n">
        <v>15</v>
      </c>
      <c r="K295" s="64" t="n">
        <v>43</v>
      </c>
      <c r="L295" s="64" t="n">
        <v>16</v>
      </c>
      <c r="M295" s="64" t="n">
        <v>42</v>
      </c>
      <c r="N295" s="67" t="n">
        <v>0</v>
      </c>
      <c r="O295" s="64" t="n">
        <v>42</v>
      </c>
      <c r="P295" s="64" t="n">
        <v>54</v>
      </c>
    </row>
    <row r="296" ht="15.75" customHeight="1" s="45">
      <c r="A296" s="61" t="n">
        <v>46165</v>
      </c>
      <c r="B296" s="62" t="inlineStr">
        <is>
          <t>Antes-Projeto</t>
        </is>
      </c>
      <c r="C296" s="65" t="inlineStr">
        <is>
          <t>Eletrocardiogramas</t>
        </is>
      </c>
      <c r="D296" s="66" t="n">
        <v>35</v>
      </c>
      <c r="E296" s="66" t="n">
        <v>8</v>
      </c>
      <c r="F296" s="66" t="n">
        <v>8</v>
      </c>
      <c r="G296" s="66" t="n">
        <v>7</v>
      </c>
      <c r="H296" s="66" t="n">
        <v>2</v>
      </c>
      <c r="I296" s="66" t="n">
        <v>9</v>
      </c>
      <c r="J296" s="66" t="n">
        <v>5</v>
      </c>
      <c r="K296" s="66" t="n">
        <v>14</v>
      </c>
      <c r="L296" s="66" t="n">
        <v>13</v>
      </c>
      <c r="M296" s="66" t="n">
        <v>20</v>
      </c>
      <c r="N296" s="66" t="n">
        <v>21</v>
      </c>
      <c r="O296" s="66" t="n">
        <v>11</v>
      </c>
      <c r="P296" s="66" t="n">
        <v>17</v>
      </c>
    </row>
    <row r="297" ht="15.75" customHeight="1" s="45">
      <c r="A297" s="61" t="n">
        <v>46165</v>
      </c>
      <c r="B297" s="62" t="inlineStr">
        <is>
          <t>Antes-Projeto</t>
        </is>
      </c>
      <c r="C297" s="68" t="inlineStr">
        <is>
          <t>GAEs Abertas</t>
        </is>
      </c>
      <c r="D297" s="69" t="n">
        <v>168</v>
      </c>
      <c r="E297" s="69" t="n">
        <v>125</v>
      </c>
      <c r="F297" s="69" t="n">
        <v>130</v>
      </c>
      <c r="G297" s="69" t="n">
        <v>115</v>
      </c>
      <c r="H297" s="69" t="n">
        <v>138</v>
      </c>
      <c r="I297" s="69" t="n">
        <v>182</v>
      </c>
      <c r="J297" s="69" t="n">
        <v>90</v>
      </c>
      <c r="K297" s="69" t="n">
        <v>224</v>
      </c>
      <c r="L297" s="69" t="n">
        <v>127</v>
      </c>
      <c r="M297" s="69" t="n">
        <v>219</v>
      </c>
      <c r="N297" s="69" t="n">
        <v>175</v>
      </c>
      <c r="O297" s="69" t="n">
        <v>231</v>
      </c>
      <c r="P297" s="69" t="n">
        <v>217</v>
      </c>
    </row>
    <row r="298" ht="15.75" customHeight="1" s="45">
      <c r="A298" s="61" t="n">
        <v>46165</v>
      </c>
      <c r="B298" s="62" t="inlineStr">
        <is>
          <t>Antes-Projeto</t>
        </is>
      </c>
      <c r="C298" s="68" t="inlineStr">
        <is>
          <t>GAEs Classificadas</t>
        </is>
      </c>
      <c r="D298" s="69" t="n">
        <v>157</v>
      </c>
      <c r="E298" s="69" t="n">
        <v>111</v>
      </c>
      <c r="F298" s="69" t="n">
        <v>129</v>
      </c>
      <c r="G298" s="69" t="n">
        <v>115</v>
      </c>
      <c r="H298" s="69" t="n">
        <v>135</v>
      </c>
      <c r="I298" s="69" t="n">
        <v>167</v>
      </c>
      <c r="J298" s="69" t="n">
        <v>84</v>
      </c>
      <c r="K298" s="69" t="n">
        <v>211</v>
      </c>
      <c r="L298" s="69" t="n">
        <v>118</v>
      </c>
      <c r="M298" s="69" t="n">
        <v>217</v>
      </c>
      <c r="N298" s="69" t="n">
        <v>163</v>
      </c>
      <c r="O298" s="69" t="n">
        <v>224</v>
      </c>
      <c r="P298" s="69" t="n">
        <v>206</v>
      </c>
    </row>
    <row r="299" ht="15.75" customHeight="1" s="45">
      <c r="A299" s="61" t="n">
        <v>46165</v>
      </c>
      <c r="B299" s="62" t="inlineStr">
        <is>
          <t>Antes-Projeto</t>
        </is>
      </c>
      <c r="C299" s="70" t="inlineStr">
        <is>
          <t>Percentual de GAEs abertas classificadas</t>
        </is>
      </c>
      <c r="D299" s="71">
        <f>IFERROR(D298/D297,"-")</f>
        <v/>
      </c>
      <c r="E299" s="71">
        <f>IFERROR(E298/E297,"-")</f>
        <v/>
      </c>
      <c r="F299" s="71">
        <f>IFERROR(F298/F297,"-")</f>
        <v/>
      </c>
      <c r="G299" s="71">
        <f>IFERROR(G298/G297,"-")</f>
        <v/>
      </c>
      <c r="H299" s="71">
        <f>IFERROR(H298/H297,"-")</f>
        <v/>
      </c>
      <c r="I299" s="71">
        <f>IFERROR(I298/I297,"-")</f>
        <v/>
      </c>
      <c r="J299" s="71">
        <f>IFERROR(J298/J297,"-")</f>
        <v/>
      </c>
      <c r="K299" s="71">
        <f>IFERROR(K298/K297,"-")</f>
        <v/>
      </c>
      <c r="L299" s="71">
        <f>IFERROR(L298/L297,"-")</f>
        <v/>
      </c>
      <c r="M299" s="71">
        <f>IFERROR(M298/M297,"-")</f>
        <v/>
      </c>
      <c r="N299" s="71">
        <f>IFERROR(N298/N297,"-")</f>
        <v/>
      </c>
      <c r="O299" s="71">
        <f>IFERROR(O298/O297,"-")</f>
        <v/>
      </c>
      <c r="P299" s="71">
        <f>IFERROR(P298/P297,"-")</f>
        <v/>
      </c>
    </row>
    <row r="300" ht="15.75" customHeight="1" s="45">
      <c r="A300" s="61" t="n">
        <v>46165</v>
      </c>
      <c r="B300" s="62" t="inlineStr">
        <is>
          <t>Antes-Projeto</t>
        </is>
      </c>
      <c r="C300" s="72" t="inlineStr">
        <is>
          <t>Tempo Médio — 🟡 Amarelo (hh:mm)</t>
        </is>
      </c>
      <c r="D300" s="73" t="n">
        <v>0.02525462962962963</v>
      </c>
      <c r="E300" s="73" t="n">
        <v>0.06440972222222222</v>
      </c>
      <c r="F300" s="73" t="n">
        <v>0.07858796296296296</v>
      </c>
      <c r="G300" s="73" t="n">
        <v>0.0230787037037037</v>
      </c>
      <c r="H300" s="73" t="n">
        <v>0.02287037037037037</v>
      </c>
      <c r="I300" s="73" t="n">
        <v>0.03717592592592592</v>
      </c>
      <c r="J300" s="73" t="n">
        <v>0.04773148148148148</v>
      </c>
      <c r="K300" s="73" t="n">
        <v>0.02931712962962963</v>
      </c>
      <c r="L300" s="73" t="n">
        <v>0.1465509259259259</v>
      </c>
      <c r="M300" s="73" t="n">
        <v>0.02484953703703704</v>
      </c>
      <c r="N300" s="73" t="n">
        <v>0.04877314814814815</v>
      </c>
      <c r="O300" s="73" t="n">
        <v>0.05131944444444445</v>
      </c>
      <c r="P300" s="73" t="n">
        <v>0.03936342592592593</v>
      </c>
    </row>
    <row r="301" ht="15.75" customHeight="1" s="45">
      <c r="A301" s="61" t="n">
        <v>46165</v>
      </c>
      <c r="B301" s="62" t="inlineStr">
        <is>
          <t>Antes-Projeto</t>
        </is>
      </c>
      <c r="C301" s="74" t="inlineStr">
        <is>
          <t>Tempo Médio — 🟠 Laranja (hh:mm)</t>
        </is>
      </c>
      <c r="D301" s="75" t="n">
        <v>0.008275462962962964</v>
      </c>
      <c r="E301" s="75" t="n">
        <v>0.01310185185185185</v>
      </c>
      <c r="F301" s="75" t="n">
        <v>0.004710648148148148</v>
      </c>
      <c r="G301" s="75" t="n">
        <v>0.001979166666666667</v>
      </c>
      <c r="H301" s="75" t="n">
        <v>0.00369212962962963</v>
      </c>
      <c r="I301" s="75" t="n">
        <v>0.006388888888888889</v>
      </c>
      <c r="J301" s="75" t="n">
        <v>0.01097222222222222</v>
      </c>
      <c r="K301" s="75" t="n">
        <v>0.01548611111111111</v>
      </c>
      <c r="L301" s="75" t="n">
        <v>0.01231481481481481</v>
      </c>
      <c r="M301" s="75" t="n">
        <v>0.008506944444444444</v>
      </c>
      <c r="N301" s="75" t="n">
        <v>0.007847222222222222</v>
      </c>
      <c r="O301" s="75" t="n">
        <v>0.01795138888888889</v>
      </c>
      <c r="P301" s="75" t="n">
        <v>0.007951388888888888</v>
      </c>
    </row>
    <row r="302" ht="15.75" customHeight="1" s="45">
      <c r="A302" s="76" t="n">
        <v>46165</v>
      </c>
      <c r="B302" s="77" t="inlineStr">
        <is>
          <t>Antes-Projeto</t>
        </is>
      </c>
      <c r="C302" s="78" t="inlineStr">
        <is>
          <t>Tempo Médio — 🟢 Verde   (hh:mm)</t>
        </is>
      </c>
      <c r="D302" s="79" t="n">
        <v>0.1078125</v>
      </c>
      <c r="E302" s="79" t="n">
        <v>0.2384027777777778</v>
      </c>
      <c r="F302" s="79" t="n">
        <v>0.2133564814814815</v>
      </c>
      <c r="G302" s="79" t="n">
        <v>0.1025</v>
      </c>
      <c r="H302" s="79" t="n">
        <v>0.04876157407407408</v>
      </c>
      <c r="I302" s="79" t="n">
        <v>0.1524421296296296</v>
      </c>
      <c r="J302" s="79" t="n">
        <v>0.1232407407407407</v>
      </c>
      <c r="K302" s="79" t="n">
        <v>0.0715625</v>
      </c>
      <c r="L302" s="79" t="n">
        <v>0.1817476851851852</v>
      </c>
      <c r="M302" s="79" t="n">
        <v>0.07356481481481482</v>
      </c>
      <c r="N302" s="79" t="n">
        <v>0.3854513888888889</v>
      </c>
      <c r="O302" s="79" t="n">
        <v>0.1171412037037037</v>
      </c>
      <c r="P302" s="79" t="n">
        <v>0.06128472222222222</v>
      </c>
    </row>
    <row r="303" ht="15.75" customHeight="1" s="45">
      <c r="A303" s="57" t="n">
        <v>46166</v>
      </c>
      <c r="B303" s="58" t="inlineStr">
        <is>
          <t>Antes-Projeto</t>
        </is>
      </c>
      <c r="C303" s="59" t="inlineStr">
        <is>
          <t>Acolhim. + Atend. Urgência + Atend. UPA</t>
        </is>
      </c>
      <c r="D303" s="60">
        <f>SUM(D304:D306)</f>
        <v/>
      </c>
      <c r="E303" s="60">
        <f>SUM(E304:E306)</f>
        <v/>
      </c>
      <c r="F303" s="60">
        <f>SUM(F304:F306)</f>
        <v/>
      </c>
      <c r="G303" s="60">
        <f>SUM(G304:G306)</f>
        <v/>
      </c>
      <c r="H303" s="60">
        <f>SUM(H304:H306)</f>
        <v/>
      </c>
      <c r="I303" s="60">
        <f>SUM(I304:I306)</f>
        <v/>
      </c>
      <c r="J303" s="60">
        <f>SUM(J304:J306)</f>
        <v/>
      </c>
      <c r="K303" s="60">
        <f>SUM(K304:K306)</f>
        <v/>
      </c>
      <c r="L303" s="60">
        <f>SUM(L304:L306)</f>
        <v/>
      </c>
      <c r="M303" s="60">
        <f>SUM(M304:M306)</f>
        <v/>
      </c>
      <c r="N303" s="60">
        <f>SUM(N304:N306)</f>
        <v/>
      </c>
      <c r="O303" s="60">
        <f>SUM(O304:O306)</f>
        <v/>
      </c>
      <c r="P303" s="60">
        <f>SUM(P304:P306)</f>
        <v/>
      </c>
    </row>
    <row r="304" ht="15.75" customHeight="1" s="45">
      <c r="A304" s="61" t="n">
        <v>46166</v>
      </c>
      <c r="B304" s="62" t="inlineStr">
        <is>
          <t>Antes-Projeto</t>
        </is>
      </c>
      <c r="C304" s="65" t="inlineStr">
        <is>
          <t>Acolhimento c/ Classif. de Risco</t>
        </is>
      </c>
      <c r="D304" s="66" t="n">
        <v>148</v>
      </c>
      <c r="E304" s="66" t="n">
        <v>123</v>
      </c>
      <c r="F304" s="66" t="n">
        <v>117</v>
      </c>
      <c r="G304" s="66" t="n">
        <v>98</v>
      </c>
      <c r="H304" s="66" t="n">
        <v>106</v>
      </c>
      <c r="I304" s="66" t="n">
        <v>146</v>
      </c>
      <c r="J304" s="66" t="n">
        <v>83</v>
      </c>
      <c r="K304" s="66" t="n">
        <v>238</v>
      </c>
      <c r="L304" s="66" t="n">
        <v>102</v>
      </c>
      <c r="M304" s="66" t="n">
        <v>214</v>
      </c>
      <c r="N304" s="66" t="n">
        <v>166</v>
      </c>
      <c r="O304" s="66" t="n">
        <v>225</v>
      </c>
      <c r="P304" s="66" t="n">
        <v>202</v>
      </c>
    </row>
    <row r="305" ht="15.75" customHeight="1" s="45">
      <c r="A305" s="61" t="n">
        <v>46166</v>
      </c>
      <c r="B305" s="62" t="inlineStr">
        <is>
          <t>Antes-Projeto</t>
        </is>
      </c>
      <c r="C305" s="63" t="inlineStr">
        <is>
          <t>Atend. Urgência Obs. ≤ 24h</t>
        </is>
      </c>
      <c r="D305" s="64" t="n">
        <v>21</v>
      </c>
      <c r="E305" s="64" t="n">
        <v>32</v>
      </c>
      <c r="F305" s="64" t="n">
        <v>22</v>
      </c>
      <c r="G305" s="64" t="n">
        <v>27</v>
      </c>
      <c r="H305" s="64" t="n">
        <v>8</v>
      </c>
      <c r="I305" s="64" t="n">
        <v>22</v>
      </c>
      <c r="J305" s="64" t="n">
        <v>24</v>
      </c>
      <c r="K305" s="64" t="n">
        <v>30</v>
      </c>
      <c r="L305" s="64" t="n">
        <v>54</v>
      </c>
      <c r="M305" s="64" t="n">
        <v>35</v>
      </c>
      <c r="N305" s="64" t="n">
        <v>32</v>
      </c>
      <c r="O305" s="64" t="n">
        <v>15</v>
      </c>
      <c r="P305" s="64" t="n">
        <v>4</v>
      </c>
    </row>
    <row r="306" ht="15.75" customHeight="1" s="45">
      <c r="A306" s="61" t="n">
        <v>46166</v>
      </c>
      <c r="B306" s="62" t="inlineStr">
        <is>
          <t>Antes-Projeto</t>
        </is>
      </c>
      <c r="C306" s="65" t="inlineStr">
        <is>
          <t>Atend. Médico em UPA</t>
        </is>
      </c>
      <c r="D306" s="66" t="n">
        <v>128</v>
      </c>
      <c r="E306" s="66" t="n">
        <v>63</v>
      </c>
      <c r="F306" s="66" t="n">
        <v>94</v>
      </c>
      <c r="G306" s="66" t="n">
        <v>46</v>
      </c>
      <c r="H306" s="66" t="n">
        <v>71</v>
      </c>
      <c r="I306" s="66" t="n">
        <v>106</v>
      </c>
      <c r="J306" s="66" t="n">
        <v>63</v>
      </c>
      <c r="K306" s="66" t="n">
        <v>173</v>
      </c>
      <c r="L306" s="66" t="n">
        <v>49</v>
      </c>
      <c r="M306" s="66" t="n">
        <v>107</v>
      </c>
      <c r="N306" s="66" t="n">
        <v>151</v>
      </c>
      <c r="O306" s="66" t="n">
        <v>136</v>
      </c>
      <c r="P306" s="66" t="n">
        <v>153</v>
      </c>
    </row>
    <row r="307" ht="15.75" customHeight="1" s="45">
      <c r="A307" s="61" t="n">
        <v>46166</v>
      </c>
      <c r="B307" s="62" t="inlineStr">
        <is>
          <t>Antes-Projeto</t>
        </is>
      </c>
      <c r="C307" s="63" t="inlineStr">
        <is>
          <t>Exames Laboratoriais</t>
        </is>
      </c>
      <c r="D307" s="64" t="n">
        <v>428</v>
      </c>
      <c r="E307" s="64" t="n">
        <v>323</v>
      </c>
      <c r="F307" s="64" t="n">
        <v>451</v>
      </c>
      <c r="G307" s="64" t="n">
        <v>206</v>
      </c>
      <c r="H307" s="64" t="n">
        <v>284</v>
      </c>
      <c r="I307" s="64" t="n">
        <v>563</v>
      </c>
      <c r="J307" s="64" t="n">
        <v>236</v>
      </c>
      <c r="K307" s="64" t="n">
        <v>729</v>
      </c>
      <c r="L307" s="64" t="n">
        <v>467</v>
      </c>
      <c r="M307" s="64" t="n">
        <v>560</v>
      </c>
      <c r="N307" s="64" t="n">
        <v>485</v>
      </c>
      <c r="O307" s="64" t="n">
        <v>386</v>
      </c>
      <c r="P307" s="64" t="n">
        <v>471</v>
      </c>
    </row>
    <row r="308" ht="15.75" customHeight="1" s="45">
      <c r="A308" s="61" t="n">
        <v>46166</v>
      </c>
      <c r="B308" s="62" t="inlineStr">
        <is>
          <t>Antes-Projeto</t>
        </is>
      </c>
      <c r="C308" s="65" t="inlineStr">
        <is>
          <t>Radiografias</t>
        </is>
      </c>
      <c r="D308" s="66" t="n">
        <v>21</v>
      </c>
      <c r="E308" s="66" t="n">
        <v>5</v>
      </c>
      <c r="F308" s="66" t="n">
        <v>18</v>
      </c>
      <c r="G308" s="66" t="n">
        <v>9</v>
      </c>
      <c r="H308" s="66" t="n">
        <v>25</v>
      </c>
      <c r="I308" s="66" t="n">
        <v>18</v>
      </c>
      <c r="J308" s="66" t="n">
        <v>11</v>
      </c>
      <c r="K308" s="66" t="n">
        <v>27</v>
      </c>
      <c r="L308" s="66" t="n">
        <v>11</v>
      </c>
      <c r="M308" s="66" t="n">
        <v>35</v>
      </c>
      <c r="N308" s="67" t="n">
        <v>0</v>
      </c>
      <c r="O308" s="66" t="n">
        <v>42</v>
      </c>
      <c r="P308" s="66" t="n">
        <v>54</v>
      </c>
    </row>
    <row r="309" ht="15.75" customHeight="1" s="45">
      <c r="A309" s="61" t="n">
        <v>46166</v>
      </c>
      <c r="B309" s="62" t="inlineStr">
        <is>
          <t>Antes-Projeto</t>
        </is>
      </c>
      <c r="C309" s="63" t="inlineStr">
        <is>
          <t>Eletrocardiogramas</t>
        </is>
      </c>
      <c r="D309" s="64" t="n">
        <v>16</v>
      </c>
      <c r="E309" s="64" t="n">
        <v>16</v>
      </c>
      <c r="F309" s="64" t="n">
        <v>14</v>
      </c>
      <c r="G309" s="64" t="n">
        <v>7</v>
      </c>
      <c r="H309" s="64" t="n">
        <v>5</v>
      </c>
      <c r="I309" s="64" t="n">
        <v>7</v>
      </c>
      <c r="J309" s="64" t="n">
        <v>7</v>
      </c>
      <c r="K309" s="64" t="n">
        <v>11</v>
      </c>
      <c r="L309" s="64" t="n">
        <v>14</v>
      </c>
      <c r="M309" s="64" t="n">
        <v>15</v>
      </c>
      <c r="N309" s="64" t="n">
        <v>27</v>
      </c>
      <c r="O309" s="64" t="n">
        <v>14</v>
      </c>
      <c r="P309" s="64" t="n">
        <v>16</v>
      </c>
    </row>
    <row r="310" ht="15.75" customHeight="1" s="45">
      <c r="A310" s="61" t="n">
        <v>46166</v>
      </c>
      <c r="B310" s="62" t="inlineStr">
        <is>
          <t>Antes-Projeto</t>
        </is>
      </c>
      <c r="C310" s="68" t="inlineStr">
        <is>
          <t>GAEs Abertas</t>
        </is>
      </c>
      <c r="D310" s="69" t="n">
        <v>152</v>
      </c>
      <c r="E310" s="69" t="n">
        <v>125</v>
      </c>
      <c r="F310" s="69" t="n">
        <v>121</v>
      </c>
      <c r="G310" s="69" t="n">
        <v>102</v>
      </c>
      <c r="H310" s="69" t="n">
        <v>110</v>
      </c>
      <c r="I310" s="69" t="n">
        <v>157</v>
      </c>
      <c r="J310" s="69" t="n">
        <v>83</v>
      </c>
      <c r="K310" s="69" t="n">
        <v>254</v>
      </c>
      <c r="L310" s="69" t="n">
        <v>108</v>
      </c>
      <c r="M310" s="69" t="n">
        <v>225</v>
      </c>
      <c r="N310" s="69" t="n">
        <v>167</v>
      </c>
      <c r="O310" s="69" t="n">
        <v>239</v>
      </c>
      <c r="P310" s="69" t="n">
        <v>205</v>
      </c>
    </row>
    <row r="311" ht="15.75" customHeight="1" s="45">
      <c r="A311" s="61" t="n">
        <v>46166</v>
      </c>
      <c r="B311" s="62" t="inlineStr">
        <is>
          <t>Antes-Projeto</t>
        </is>
      </c>
      <c r="C311" s="68" t="inlineStr">
        <is>
          <t>GAEs Classificadas</t>
        </is>
      </c>
      <c r="D311" s="69" t="n">
        <v>149</v>
      </c>
      <c r="E311" s="69" t="n">
        <v>122</v>
      </c>
      <c r="F311" s="69" t="n">
        <v>118</v>
      </c>
      <c r="G311" s="69" t="n">
        <v>101</v>
      </c>
      <c r="H311" s="69" t="n">
        <v>106</v>
      </c>
      <c r="I311" s="69" t="n">
        <v>148</v>
      </c>
      <c r="J311" s="69" t="n">
        <v>84</v>
      </c>
      <c r="K311" s="69" t="n">
        <v>239</v>
      </c>
      <c r="L311" s="69" t="n">
        <v>102</v>
      </c>
      <c r="M311" s="69" t="n">
        <v>209</v>
      </c>
      <c r="N311" s="69" t="n">
        <v>165</v>
      </c>
      <c r="O311" s="69" t="n">
        <v>226</v>
      </c>
      <c r="P311" s="69" t="n">
        <v>204</v>
      </c>
    </row>
    <row r="312" ht="15.75" customHeight="1" s="45">
      <c r="A312" s="61" t="n">
        <v>46166</v>
      </c>
      <c r="B312" s="62" t="inlineStr">
        <is>
          <t>Antes-Projeto</t>
        </is>
      </c>
      <c r="C312" s="70" t="inlineStr">
        <is>
          <t>Percentual de GAEs abertas classificadas</t>
        </is>
      </c>
      <c r="D312" s="71">
        <f>IFERROR(D311/D310,"-")</f>
        <v/>
      </c>
      <c r="E312" s="71">
        <f>IFERROR(E311/E310,"-")</f>
        <v/>
      </c>
      <c r="F312" s="71">
        <f>IFERROR(F311/F310,"-")</f>
        <v/>
      </c>
      <c r="G312" s="71">
        <f>IFERROR(G311/G310,"-")</f>
        <v/>
      </c>
      <c r="H312" s="71">
        <f>IFERROR(H311/H310,"-")</f>
        <v/>
      </c>
      <c r="I312" s="71">
        <f>IFERROR(I311/I310,"-")</f>
        <v/>
      </c>
      <c r="J312" s="71">
        <f>IFERROR(J311/J310,"-")</f>
        <v/>
      </c>
      <c r="K312" s="71">
        <f>IFERROR(K311/K310,"-")</f>
        <v/>
      </c>
      <c r="L312" s="71">
        <f>IFERROR(L311/L310,"-")</f>
        <v/>
      </c>
      <c r="M312" s="71">
        <f>IFERROR(M311/M310,"-")</f>
        <v/>
      </c>
      <c r="N312" s="71">
        <f>IFERROR(N311/N310,"-")</f>
        <v/>
      </c>
      <c r="O312" s="71">
        <f>IFERROR(O311/O310,"-")</f>
        <v/>
      </c>
      <c r="P312" s="71">
        <f>IFERROR(P311/P310,"-")</f>
        <v/>
      </c>
    </row>
    <row r="313" ht="15.75" customHeight="1" s="45">
      <c r="A313" s="61" t="n">
        <v>46166</v>
      </c>
      <c r="B313" s="62" t="inlineStr">
        <is>
          <t>Antes-Projeto</t>
        </is>
      </c>
      <c r="C313" s="72" t="inlineStr">
        <is>
          <t>Tempo Médio — 🟡 Amarelo (hh:mm)</t>
        </is>
      </c>
      <c r="D313" s="73" t="n">
        <v>0.05528935185185185</v>
      </c>
      <c r="E313" s="73" t="n">
        <v>0.2013773148148148</v>
      </c>
      <c r="F313" s="73" t="n">
        <v>0.04797453703703704</v>
      </c>
      <c r="G313" s="73" t="n">
        <v>0.02825231481481481</v>
      </c>
      <c r="H313" s="73" t="n">
        <v>0.03783564814814815</v>
      </c>
      <c r="I313" s="73" t="n">
        <v>0.04894675925925926</v>
      </c>
      <c r="J313" s="73" t="n">
        <v>0.03538194444444445</v>
      </c>
      <c r="K313" s="73" t="n">
        <v>0.08033564814814814</v>
      </c>
      <c r="L313" s="73" t="n">
        <v>0.2933101851851852</v>
      </c>
      <c r="M313" s="73" t="n">
        <v>0.07869212962962963</v>
      </c>
      <c r="N313" s="73" t="n">
        <v>0.1024305555555556</v>
      </c>
      <c r="O313" s="73" t="n">
        <v>0.03724537037037037</v>
      </c>
      <c r="P313" s="73" t="n">
        <v>0.04400462962962963</v>
      </c>
    </row>
    <row r="314" ht="15.75" customHeight="1" s="45">
      <c r="A314" s="61" t="n">
        <v>46166</v>
      </c>
      <c r="B314" s="62" t="inlineStr">
        <is>
          <t>Antes-Projeto</t>
        </is>
      </c>
      <c r="C314" s="74" t="inlineStr">
        <is>
          <t>Tempo Médio — 🟠 Laranja (hh:mm)</t>
        </is>
      </c>
      <c r="D314" s="75" t="n">
        <v>0.008344907407407407</v>
      </c>
      <c r="E314" s="75" t="n">
        <v>0.02107638888888889</v>
      </c>
      <c r="F314" s="75" t="n">
        <v>0.006053240740740741</v>
      </c>
      <c r="G314" s="75" t="n">
        <v>0.01324074074074074</v>
      </c>
      <c r="H314" s="75" t="n">
        <v>0.006157407407407407</v>
      </c>
      <c r="I314" s="75" t="n">
        <v>0.01083333333333333</v>
      </c>
      <c r="J314" s="75" t="n">
        <v>0.01381944444444444</v>
      </c>
      <c r="K314" s="75" t="n">
        <v>0.01375</v>
      </c>
      <c r="L314" s="75" t="n">
        <v>0.03582175925925926</v>
      </c>
      <c r="M314" s="75" t="n">
        <v>0.01300925925925926</v>
      </c>
      <c r="N314" s="75" t="n">
        <v>0.01583333333333333</v>
      </c>
      <c r="O314" s="75" t="n">
        <v>0.01061342592592593</v>
      </c>
      <c r="P314" s="75" t="n">
        <v>0.01239583333333333</v>
      </c>
    </row>
    <row r="315" ht="15.75" customHeight="1" s="45">
      <c r="A315" s="76" t="n">
        <v>46166</v>
      </c>
      <c r="B315" s="77" t="inlineStr">
        <is>
          <t>Antes-Projeto</t>
        </is>
      </c>
      <c r="C315" s="78" t="inlineStr">
        <is>
          <t>Tempo Médio — 🟢 Verde   (hh:mm)</t>
        </is>
      </c>
      <c r="D315" s="79" t="n">
        <v>0.1117592592592593</v>
      </c>
      <c r="E315" s="79" t="n">
        <v>0.2285069444444444</v>
      </c>
      <c r="F315" s="79" t="n">
        <v>0.1145138888888889</v>
      </c>
      <c r="G315" s="79" t="n">
        <v>0.1047453703703704</v>
      </c>
      <c r="H315" s="79" t="n">
        <v>0.1460532407407407</v>
      </c>
      <c r="I315" s="79" t="n">
        <v>0.0650462962962963</v>
      </c>
      <c r="J315" s="79" t="n">
        <v>0.07988425925925927</v>
      </c>
      <c r="K315" s="79" t="n">
        <v>0.1005787037037037</v>
      </c>
      <c r="L315" s="79" t="n">
        <v>0.356087962962963</v>
      </c>
      <c r="M315" s="79" t="n">
        <v>0.1212731481481481</v>
      </c>
      <c r="N315" s="79" t="n">
        <v>0.2320023148148148</v>
      </c>
      <c r="O315" s="79" t="n">
        <v>0.1166782407407407</v>
      </c>
      <c r="P315" s="79" t="n">
        <v>0.07825231481481482</v>
      </c>
    </row>
    <row r="316" ht="15.75" customHeight="1" s="45">
      <c r="A316" s="57" t="n">
        <v>46167</v>
      </c>
      <c r="B316" s="58" t="inlineStr">
        <is>
          <t>Antes-Projeto</t>
        </is>
      </c>
      <c r="C316" s="59" t="inlineStr">
        <is>
          <t>Acolhim. + Atend. Urgência + Atend. UPA</t>
        </is>
      </c>
      <c r="D316" s="60">
        <f>SUM(D317:D319)</f>
        <v/>
      </c>
      <c r="E316" s="60">
        <f>SUM(E317:E319)</f>
        <v/>
      </c>
      <c r="F316" s="60">
        <f>SUM(F317:F319)</f>
        <v/>
      </c>
      <c r="G316" s="60">
        <f>SUM(G317:G319)</f>
        <v/>
      </c>
      <c r="H316" s="60">
        <f>SUM(H317:H319)</f>
        <v/>
      </c>
      <c r="I316" s="60">
        <f>SUM(I317:I319)</f>
        <v/>
      </c>
      <c r="J316" s="60">
        <f>SUM(J317:J319)</f>
        <v/>
      </c>
      <c r="K316" s="60">
        <f>SUM(K317:K319)</f>
        <v/>
      </c>
      <c r="L316" s="60">
        <f>SUM(L317:L319)</f>
        <v/>
      </c>
      <c r="M316" s="60">
        <f>SUM(M317:M319)</f>
        <v/>
      </c>
      <c r="N316" s="60">
        <f>SUM(N317:N319)</f>
        <v/>
      </c>
      <c r="O316" s="60">
        <f>SUM(O317:O319)</f>
        <v/>
      </c>
      <c r="P316" s="60">
        <f>SUM(P317:P319)</f>
        <v/>
      </c>
    </row>
    <row r="317" ht="15.75" customHeight="1" s="45">
      <c r="A317" s="61" t="n">
        <v>46167</v>
      </c>
      <c r="B317" s="62" t="inlineStr">
        <is>
          <t>Antes-Projeto</t>
        </is>
      </c>
      <c r="C317" s="63" t="inlineStr">
        <is>
          <t>Acolhimento c/ Classif. de Risco</t>
        </is>
      </c>
      <c r="D317" s="64" t="n">
        <v>249</v>
      </c>
      <c r="E317" s="64" t="n">
        <v>179</v>
      </c>
      <c r="F317" s="64" t="n">
        <v>180</v>
      </c>
      <c r="G317" s="64" t="n">
        <v>172</v>
      </c>
      <c r="H317" s="64" t="n">
        <v>147</v>
      </c>
      <c r="I317" s="64" t="n">
        <v>248</v>
      </c>
      <c r="J317" s="64" t="n">
        <v>149</v>
      </c>
      <c r="K317" s="64" t="n">
        <v>353</v>
      </c>
      <c r="L317" s="64" t="n">
        <v>174</v>
      </c>
      <c r="M317" s="64" t="n">
        <v>321</v>
      </c>
      <c r="N317" s="64" t="n">
        <v>254</v>
      </c>
      <c r="O317" s="64" t="n">
        <v>309</v>
      </c>
      <c r="P317" s="64" t="n">
        <v>293</v>
      </c>
    </row>
    <row r="318" ht="15.75" customHeight="1" s="45">
      <c r="A318" s="61" t="n">
        <v>46167</v>
      </c>
      <c r="B318" s="62" t="inlineStr">
        <is>
          <t>Antes-Projeto</t>
        </is>
      </c>
      <c r="C318" s="65" t="inlineStr">
        <is>
          <t>Atend. Urgência Obs. ≤ 24h</t>
        </is>
      </c>
      <c r="D318" s="66" t="n">
        <v>13</v>
      </c>
      <c r="E318" s="66" t="n">
        <v>19</v>
      </c>
      <c r="F318" s="66" t="n">
        <v>25</v>
      </c>
      <c r="G318" s="66" t="n">
        <v>27</v>
      </c>
      <c r="H318" s="66" t="n">
        <v>18</v>
      </c>
      <c r="I318" s="66" t="n">
        <v>36</v>
      </c>
      <c r="J318" s="66" t="n">
        <v>43</v>
      </c>
      <c r="K318" s="66" t="n">
        <v>41</v>
      </c>
      <c r="L318" s="66" t="n">
        <v>33</v>
      </c>
      <c r="M318" s="66" t="n">
        <v>28</v>
      </c>
      <c r="N318" s="66" t="n">
        <v>28</v>
      </c>
      <c r="O318" s="66" t="n">
        <v>10</v>
      </c>
      <c r="P318" s="66" t="n">
        <v>8</v>
      </c>
    </row>
    <row r="319" ht="15.75" customHeight="1" s="45">
      <c r="A319" s="61" t="n">
        <v>46167</v>
      </c>
      <c r="B319" s="62" t="inlineStr">
        <is>
          <t>Antes-Projeto</t>
        </is>
      </c>
      <c r="C319" s="63" t="inlineStr">
        <is>
          <t>Atend. Médico em UPA</t>
        </is>
      </c>
      <c r="D319" s="64" t="n">
        <v>201</v>
      </c>
      <c r="E319" s="64" t="n">
        <v>95</v>
      </c>
      <c r="F319" s="64" t="n">
        <v>89</v>
      </c>
      <c r="G319" s="64" t="n">
        <v>95</v>
      </c>
      <c r="H319" s="64" t="n">
        <v>63</v>
      </c>
      <c r="I319" s="64" t="n">
        <v>189</v>
      </c>
      <c r="J319" s="64" t="n">
        <v>91</v>
      </c>
      <c r="K319" s="64" t="n">
        <v>248</v>
      </c>
      <c r="L319" s="64" t="n">
        <v>108</v>
      </c>
      <c r="M319" s="64" t="n">
        <v>179</v>
      </c>
      <c r="N319" s="64" t="n">
        <v>226</v>
      </c>
      <c r="O319" s="64" t="n">
        <v>189</v>
      </c>
      <c r="P319" s="64" t="n">
        <v>155</v>
      </c>
    </row>
    <row r="320" ht="15.75" customHeight="1" s="45">
      <c r="A320" s="61" t="n">
        <v>46167</v>
      </c>
      <c r="B320" s="62" t="inlineStr">
        <is>
          <t>Antes-Projeto</t>
        </is>
      </c>
      <c r="C320" s="65" t="inlineStr">
        <is>
          <t>Exames Laboratoriais</t>
        </is>
      </c>
      <c r="D320" s="66" t="n">
        <v>741</v>
      </c>
      <c r="E320" s="66" t="n">
        <v>320</v>
      </c>
      <c r="F320" s="66" t="n">
        <v>309</v>
      </c>
      <c r="G320" s="66" t="n">
        <v>371</v>
      </c>
      <c r="H320" s="66" t="n">
        <v>368</v>
      </c>
      <c r="I320" s="66" t="n">
        <v>632</v>
      </c>
      <c r="J320" s="66" t="n">
        <v>463</v>
      </c>
      <c r="K320" s="66" t="n">
        <v>817</v>
      </c>
      <c r="L320" s="66" t="n">
        <v>719</v>
      </c>
      <c r="M320" s="66" t="n">
        <v>667</v>
      </c>
      <c r="N320" s="66" t="n">
        <v>508</v>
      </c>
      <c r="O320" s="66" t="n">
        <v>495</v>
      </c>
      <c r="P320" s="66" t="n">
        <v>304</v>
      </c>
    </row>
    <row r="321" ht="15.75" customHeight="1" s="45">
      <c r="A321" s="61" t="n">
        <v>46167</v>
      </c>
      <c r="B321" s="62" t="inlineStr">
        <is>
          <t>Antes-Projeto</t>
        </is>
      </c>
      <c r="C321" s="63" t="inlineStr">
        <is>
          <t>Radiografias</t>
        </is>
      </c>
      <c r="D321" s="64" t="n">
        <v>43</v>
      </c>
      <c r="E321" s="64" t="n">
        <v>21</v>
      </c>
      <c r="F321" s="64" t="n">
        <v>24</v>
      </c>
      <c r="G321" s="64" t="n">
        <v>21</v>
      </c>
      <c r="H321" s="64" t="n">
        <v>15</v>
      </c>
      <c r="I321" s="64" t="n">
        <v>31</v>
      </c>
      <c r="J321" s="64" t="n">
        <v>22</v>
      </c>
      <c r="K321" s="64" t="n">
        <v>55</v>
      </c>
      <c r="L321" s="64" t="n">
        <v>15</v>
      </c>
      <c r="M321" s="64" t="n">
        <v>64</v>
      </c>
      <c r="N321" s="67" t="n">
        <v>0</v>
      </c>
      <c r="O321" s="64" t="n">
        <v>56</v>
      </c>
      <c r="P321" s="64" t="n">
        <v>72</v>
      </c>
    </row>
    <row r="322" ht="15.75" customHeight="1" s="45">
      <c r="A322" s="61" t="n">
        <v>46167</v>
      </c>
      <c r="B322" s="62" t="inlineStr">
        <is>
          <t>Antes-Projeto</t>
        </is>
      </c>
      <c r="C322" s="65" t="inlineStr">
        <is>
          <t>Eletrocardiogramas</t>
        </is>
      </c>
      <c r="D322" s="66" t="n">
        <v>31</v>
      </c>
      <c r="E322" s="66" t="n">
        <v>16</v>
      </c>
      <c r="F322" s="66" t="n">
        <v>25</v>
      </c>
      <c r="G322" s="66" t="n">
        <v>11</v>
      </c>
      <c r="H322" s="66" t="n">
        <v>12</v>
      </c>
      <c r="I322" s="66" t="n">
        <v>20</v>
      </c>
      <c r="J322" s="66" t="n">
        <v>19</v>
      </c>
      <c r="K322" s="66" t="n">
        <v>21</v>
      </c>
      <c r="L322" s="66" t="n">
        <v>15</v>
      </c>
      <c r="M322" s="66" t="n">
        <v>15</v>
      </c>
      <c r="N322" s="66" t="n">
        <v>36</v>
      </c>
      <c r="O322" s="66" t="n">
        <v>26</v>
      </c>
      <c r="P322" s="66" t="n">
        <v>22</v>
      </c>
    </row>
    <row r="323" ht="15.75" customHeight="1" s="45">
      <c r="A323" s="61" t="n">
        <v>46167</v>
      </c>
      <c r="B323" s="62" t="inlineStr">
        <is>
          <t>Antes-Projeto</t>
        </is>
      </c>
      <c r="C323" s="68" t="inlineStr">
        <is>
          <t>GAEs Abertas</t>
        </is>
      </c>
      <c r="D323" s="69" t="n">
        <v>262</v>
      </c>
      <c r="E323" s="69" t="n">
        <v>189</v>
      </c>
      <c r="F323" s="69" t="n">
        <v>185</v>
      </c>
      <c r="G323" s="69" t="n">
        <v>176</v>
      </c>
      <c r="H323" s="69" t="n">
        <v>158</v>
      </c>
      <c r="I323" s="69" t="n">
        <v>281</v>
      </c>
      <c r="J323" s="69" t="n">
        <v>153</v>
      </c>
      <c r="K323" s="69" t="n">
        <v>393</v>
      </c>
      <c r="L323" s="69" t="n">
        <v>178</v>
      </c>
      <c r="M323" s="69" t="n">
        <v>333</v>
      </c>
      <c r="N323" s="69" t="n">
        <v>262</v>
      </c>
      <c r="O323" s="69" t="n">
        <v>320</v>
      </c>
      <c r="P323" s="69" t="n">
        <v>310</v>
      </c>
    </row>
    <row r="324" ht="15.75" customHeight="1" s="45">
      <c r="A324" s="61" t="n">
        <v>46167</v>
      </c>
      <c r="B324" s="62" t="inlineStr">
        <is>
          <t>Antes-Projeto</t>
        </is>
      </c>
      <c r="C324" s="68" t="inlineStr">
        <is>
          <t>GAEs Classificadas</t>
        </is>
      </c>
      <c r="D324" s="69" t="n">
        <v>250</v>
      </c>
      <c r="E324" s="69" t="n">
        <v>180</v>
      </c>
      <c r="F324" s="69" t="n">
        <v>181</v>
      </c>
      <c r="G324" s="69" t="n">
        <v>172</v>
      </c>
      <c r="H324" s="69" t="n">
        <v>147</v>
      </c>
      <c r="I324" s="69" t="n">
        <v>244</v>
      </c>
      <c r="J324" s="69" t="n">
        <v>148</v>
      </c>
      <c r="K324" s="69" t="n">
        <v>351</v>
      </c>
      <c r="L324" s="69" t="n">
        <v>174</v>
      </c>
      <c r="M324" s="69" t="n">
        <v>322</v>
      </c>
      <c r="N324" s="69" t="n">
        <v>255</v>
      </c>
      <c r="O324" s="69" t="n">
        <v>306</v>
      </c>
      <c r="P324" s="69" t="n">
        <v>292</v>
      </c>
    </row>
    <row r="325" ht="15.75" customHeight="1" s="45">
      <c r="A325" s="61" t="n">
        <v>46167</v>
      </c>
      <c r="B325" s="62" t="inlineStr">
        <is>
          <t>Antes-Projeto</t>
        </is>
      </c>
      <c r="C325" s="70" t="inlineStr">
        <is>
          <t>Percentual de GAEs abertas classificadas</t>
        </is>
      </c>
      <c r="D325" s="71">
        <f>IFERROR(D324/D323,"-")</f>
        <v/>
      </c>
      <c r="E325" s="71">
        <f>IFERROR(E324/E323,"-")</f>
        <v/>
      </c>
      <c r="F325" s="71">
        <f>IFERROR(F324/F323,"-")</f>
        <v/>
      </c>
      <c r="G325" s="71">
        <f>IFERROR(G324/G323,"-")</f>
        <v/>
      </c>
      <c r="H325" s="71">
        <f>IFERROR(H324/H323,"-")</f>
        <v/>
      </c>
      <c r="I325" s="71">
        <f>IFERROR(I324/I323,"-")</f>
        <v/>
      </c>
      <c r="J325" s="71">
        <f>IFERROR(J324/J323,"-")</f>
        <v/>
      </c>
      <c r="K325" s="71">
        <f>IFERROR(K324/K323,"-")</f>
        <v/>
      </c>
      <c r="L325" s="71">
        <f>IFERROR(L324/L323,"-")</f>
        <v/>
      </c>
      <c r="M325" s="71">
        <f>IFERROR(M324/M323,"-")</f>
        <v/>
      </c>
      <c r="N325" s="71">
        <f>IFERROR(N324/N323,"-")</f>
        <v/>
      </c>
      <c r="O325" s="71">
        <f>IFERROR(O324/O323,"-")</f>
        <v/>
      </c>
      <c r="P325" s="71">
        <f>IFERROR(P324/P323,"-")</f>
        <v/>
      </c>
    </row>
    <row r="326" ht="15.75" customHeight="1" s="45">
      <c r="A326" s="61" t="n">
        <v>46167</v>
      </c>
      <c r="B326" s="62" t="inlineStr">
        <is>
          <t>Antes-Projeto</t>
        </is>
      </c>
      <c r="C326" s="72" t="inlineStr">
        <is>
          <t>Tempo Médio — 🟡 Amarelo (hh:mm)</t>
        </is>
      </c>
      <c r="D326" s="73" t="n">
        <v>0.06620370370370371</v>
      </c>
      <c r="E326" s="73" t="n">
        <v>0.0868287037037037</v>
      </c>
      <c r="F326" s="73" t="n">
        <v>0.1434606481481482</v>
      </c>
      <c r="G326" s="73" t="n">
        <v>0.06885416666666666</v>
      </c>
      <c r="H326" s="73" t="n">
        <v>0.04789351851851852</v>
      </c>
      <c r="I326" s="73" t="n">
        <v>0.06273148148148149</v>
      </c>
      <c r="J326" s="73" t="n">
        <v>0.05925925925925926</v>
      </c>
      <c r="K326" s="73" t="n">
        <v>0.0603587962962963</v>
      </c>
      <c r="L326" s="73" t="n">
        <v>0.1287384259259259</v>
      </c>
      <c r="M326" s="73" t="n">
        <v>0.04045138888888889</v>
      </c>
      <c r="N326" s="73" t="n">
        <v>0.0449537037037037</v>
      </c>
      <c r="O326" s="73" t="n">
        <v>0.04465277777777778</v>
      </c>
      <c r="P326" s="73" t="n">
        <v>0.04680555555555556</v>
      </c>
    </row>
    <row r="327" ht="15.75" customHeight="1" s="45">
      <c r="A327" s="61" t="n">
        <v>46167</v>
      </c>
      <c r="B327" s="62" t="inlineStr">
        <is>
          <t>Antes-Projeto</t>
        </is>
      </c>
      <c r="C327" s="74" t="inlineStr">
        <is>
          <t>Tempo Médio — 🟠 Laranja (hh:mm)</t>
        </is>
      </c>
      <c r="D327" s="75" t="n">
        <v>0.01106481481481482</v>
      </c>
      <c r="E327" s="75" t="n">
        <v>0.009155092592592593</v>
      </c>
      <c r="F327" s="75" t="n">
        <v>0.01331018518518519</v>
      </c>
      <c r="G327" s="75" t="n">
        <v>0.009074074074074075</v>
      </c>
      <c r="H327" s="75" t="n">
        <v>0.008506944444444444</v>
      </c>
      <c r="I327" s="75" t="n">
        <v>0.006828703703703704</v>
      </c>
      <c r="J327" s="75" t="n">
        <v>0.009710648148148149</v>
      </c>
      <c r="K327" s="75" t="n">
        <v>0.01056712962962963</v>
      </c>
      <c r="L327" s="75" t="n">
        <v>0.01143518518518519</v>
      </c>
      <c r="M327" s="75" t="n">
        <v>0.0121875</v>
      </c>
      <c r="N327" s="75" t="n">
        <v>0.006226851851851851</v>
      </c>
      <c r="O327" s="75" t="n">
        <v>0.01155092592592593</v>
      </c>
      <c r="P327" s="75" t="n">
        <v>0.01333333333333333</v>
      </c>
    </row>
    <row r="328" ht="15.75" customHeight="1" s="45">
      <c r="A328" s="76" t="n">
        <v>46167</v>
      </c>
      <c r="B328" s="77" t="inlineStr">
        <is>
          <t>Antes-Projeto</t>
        </is>
      </c>
      <c r="C328" s="78" t="inlineStr">
        <is>
          <t>Tempo Médio — 🟢 Verde   (hh:mm)</t>
        </is>
      </c>
      <c r="D328" s="79" t="n">
        <v>0.1183449074074074</v>
      </c>
      <c r="E328" s="79" t="n">
        <v>0.1900231481481481</v>
      </c>
      <c r="F328" s="79" t="n">
        <v>0.06592592592592593</v>
      </c>
      <c r="G328" s="79" t="n">
        <v>0.0974074074074074</v>
      </c>
      <c r="H328" s="79" t="n">
        <v>0.06837962962962962</v>
      </c>
      <c r="I328" s="79" t="n">
        <v>0.1165162037037037</v>
      </c>
      <c r="J328" s="79" t="n">
        <v>0.06847222222222223</v>
      </c>
      <c r="K328" s="79" t="n">
        <v>0.09096064814814815</v>
      </c>
      <c r="L328" s="79" t="n">
        <v>0.1405555555555555</v>
      </c>
      <c r="M328" s="79" t="n">
        <v>0.09300925925925926</v>
      </c>
      <c r="N328" s="79" t="n">
        <v>0.09131944444444444</v>
      </c>
      <c r="O328" s="79" t="n">
        <v>0.09403935185185185</v>
      </c>
      <c r="P328" s="79" t="n">
        <v>0.09586805555555555</v>
      </c>
    </row>
    <row r="329" ht="15.75" customHeight="1" s="45">
      <c r="A329" s="57" t="n">
        <v>46168</v>
      </c>
      <c r="B329" s="58" t="inlineStr">
        <is>
          <t>Antes-Projeto</t>
        </is>
      </c>
      <c r="C329" s="59" t="inlineStr">
        <is>
          <t>Acolhim. + Atend. Urgência + Atend. UPA</t>
        </is>
      </c>
      <c r="D329" s="60">
        <f>SUM(D330:D332)</f>
        <v/>
      </c>
      <c r="E329" s="60">
        <f>SUM(E330:E332)</f>
        <v/>
      </c>
      <c r="F329" s="60">
        <f>SUM(F330:F332)</f>
        <v/>
      </c>
      <c r="G329" s="60">
        <f>SUM(G330:G332)</f>
        <v/>
      </c>
      <c r="H329" s="60">
        <f>SUM(H330:H332)</f>
        <v/>
      </c>
      <c r="I329" s="60">
        <f>SUM(I330:I332)</f>
        <v/>
      </c>
      <c r="J329" s="60">
        <f>SUM(J330:J332)</f>
        <v/>
      </c>
      <c r="K329" s="60">
        <f>SUM(K330:K332)</f>
        <v/>
      </c>
      <c r="L329" s="60">
        <f>SUM(L330:L332)</f>
        <v/>
      </c>
      <c r="M329" s="60">
        <f>SUM(M330:M332)</f>
        <v/>
      </c>
      <c r="N329" s="60">
        <f>SUM(N330:N332)</f>
        <v/>
      </c>
      <c r="O329" s="60">
        <f>SUM(O330:O332)</f>
        <v/>
      </c>
      <c r="P329" s="60">
        <f>SUM(P330:P332)</f>
        <v/>
      </c>
    </row>
    <row r="330" ht="15.75" customHeight="1" s="45">
      <c r="A330" s="61" t="n">
        <v>46168</v>
      </c>
      <c r="B330" s="62" t="inlineStr">
        <is>
          <t>Antes-Projeto</t>
        </is>
      </c>
      <c r="C330" s="65" t="inlineStr">
        <is>
          <t>Acolhimento c/ Classif. de Risco</t>
        </is>
      </c>
      <c r="D330" s="66" t="n">
        <v>250</v>
      </c>
      <c r="E330" s="66" t="n">
        <v>178</v>
      </c>
      <c r="F330" s="66" t="n">
        <v>160</v>
      </c>
      <c r="G330" s="66" t="n">
        <v>146</v>
      </c>
      <c r="H330" s="66" t="n">
        <v>158</v>
      </c>
      <c r="I330" s="66" t="n">
        <v>207</v>
      </c>
      <c r="J330" s="66" t="n">
        <v>136</v>
      </c>
      <c r="K330" s="66" t="n">
        <v>318</v>
      </c>
      <c r="L330" s="66" t="n">
        <v>141</v>
      </c>
      <c r="M330" s="66" t="n">
        <v>266</v>
      </c>
      <c r="N330" s="66" t="n">
        <v>207</v>
      </c>
      <c r="O330" s="66" t="n">
        <v>303</v>
      </c>
      <c r="P330" s="66" t="n">
        <v>272</v>
      </c>
    </row>
    <row r="331" ht="15.75" customHeight="1" s="45">
      <c r="A331" s="61" t="n">
        <v>46168</v>
      </c>
      <c r="B331" s="62" t="inlineStr">
        <is>
          <t>Antes-Projeto</t>
        </is>
      </c>
      <c r="C331" s="63" t="inlineStr">
        <is>
          <t>Atend. Urgência Obs. ≤ 24h</t>
        </is>
      </c>
      <c r="D331" s="64" t="n">
        <v>28</v>
      </c>
      <c r="E331" s="64" t="n">
        <v>37</v>
      </c>
      <c r="F331" s="64" t="n">
        <v>27</v>
      </c>
      <c r="G331" s="64" t="n">
        <v>33</v>
      </c>
      <c r="H331" s="64" t="n">
        <v>24</v>
      </c>
      <c r="I331" s="64" t="n">
        <v>14</v>
      </c>
      <c r="J331" s="64" t="n">
        <v>22</v>
      </c>
      <c r="K331" s="64" t="n">
        <v>59</v>
      </c>
      <c r="L331" s="64" t="n">
        <v>38</v>
      </c>
      <c r="M331" s="64" t="n">
        <v>23</v>
      </c>
      <c r="N331" s="64" t="n">
        <v>36</v>
      </c>
      <c r="O331" s="64" t="n">
        <v>18</v>
      </c>
      <c r="P331" s="64" t="n">
        <v>25</v>
      </c>
    </row>
    <row r="332" ht="15.75" customHeight="1" s="45">
      <c r="A332" s="61" t="n">
        <v>46168</v>
      </c>
      <c r="B332" s="62" t="inlineStr">
        <is>
          <t>Antes-Projeto</t>
        </is>
      </c>
      <c r="C332" s="65" t="inlineStr">
        <is>
          <t>Atend. Médico em UPA</t>
        </is>
      </c>
      <c r="D332" s="66" t="n">
        <v>159</v>
      </c>
      <c r="E332" s="66" t="n">
        <v>133</v>
      </c>
      <c r="F332" s="66" t="n">
        <v>63</v>
      </c>
      <c r="G332" s="66" t="n">
        <v>93</v>
      </c>
      <c r="H332" s="66" t="n">
        <v>118</v>
      </c>
      <c r="I332" s="66" t="n">
        <v>152</v>
      </c>
      <c r="J332" s="66" t="n">
        <v>98</v>
      </c>
      <c r="K332" s="66" t="n">
        <v>254</v>
      </c>
      <c r="L332" s="66" t="n">
        <v>103</v>
      </c>
      <c r="M332" s="66" t="n">
        <v>133</v>
      </c>
      <c r="N332" s="66" t="n">
        <v>213</v>
      </c>
      <c r="O332" s="66" t="n">
        <v>216</v>
      </c>
      <c r="P332" s="66" t="n">
        <v>123</v>
      </c>
    </row>
    <row r="333" ht="15.75" customHeight="1" s="45">
      <c r="A333" s="61" t="n">
        <v>46168</v>
      </c>
      <c r="B333" s="62" t="inlineStr">
        <is>
          <t>Antes-Projeto</t>
        </is>
      </c>
      <c r="C333" s="63" t="inlineStr">
        <is>
          <t>Exames Laboratoriais</t>
        </is>
      </c>
      <c r="D333" s="64" t="n">
        <v>649</v>
      </c>
      <c r="E333" s="64" t="n">
        <v>480</v>
      </c>
      <c r="F333" s="64" t="n">
        <v>599</v>
      </c>
      <c r="G333" s="64" t="n">
        <v>317</v>
      </c>
      <c r="H333" s="64" t="n">
        <v>397</v>
      </c>
      <c r="I333" s="64" t="n">
        <v>605</v>
      </c>
      <c r="J333" s="64" t="n">
        <v>405</v>
      </c>
      <c r="K333" s="64" t="n">
        <v>941</v>
      </c>
      <c r="L333" s="64" t="n">
        <v>818</v>
      </c>
      <c r="M333" s="64" t="n">
        <v>781</v>
      </c>
      <c r="N333" s="64" t="n">
        <v>550</v>
      </c>
      <c r="O333" s="64" t="n">
        <v>474</v>
      </c>
      <c r="P333" s="64" t="n">
        <v>525</v>
      </c>
    </row>
    <row r="334" ht="15.75" customHeight="1" s="45">
      <c r="A334" s="61" t="n">
        <v>46168</v>
      </c>
      <c r="B334" s="62" t="inlineStr">
        <is>
          <t>Antes-Projeto</t>
        </is>
      </c>
      <c r="C334" s="65" t="inlineStr">
        <is>
          <t>Radiografias</t>
        </is>
      </c>
      <c r="D334" s="66" t="n">
        <v>45</v>
      </c>
      <c r="E334" s="66" t="n">
        <v>25</v>
      </c>
      <c r="F334" s="66" t="n">
        <v>27</v>
      </c>
      <c r="G334" s="66" t="n">
        <v>30</v>
      </c>
      <c r="H334" s="66" t="n">
        <v>31</v>
      </c>
      <c r="I334" s="66" t="n">
        <v>40</v>
      </c>
      <c r="J334" s="66" t="n">
        <v>33</v>
      </c>
      <c r="K334" s="66" t="n">
        <v>45</v>
      </c>
      <c r="L334" s="66" t="n">
        <v>21</v>
      </c>
      <c r="M334" s="66" t="n">
        <v>46</v>
      </c>
      <c r="N334" s="67" t="n">
        <v>0</v>
      </c>
      <c r="O334" s="66" t="n">
        <v>62</v>
      </c>
      <c r="P334" s="66" t="n">
        <v>55</v>
      </c>
    </row>
    <row r="335" ht="15.75" customHeight="1" s="45">
      <c r="A335" s="61" t="n">
        <v>46168</v>
      </c>
      <c r="B335" s="62" t="inlineStr">
        <is>
          <t>Antes-Projeto</t>
        </is>
      </c>
      <c r="C335" s="63" t="inlineStr">
        <is>
          <t>Eletrocardiogramas</t>
        </is>
      </c>
      <c r="D335" s="64" t="n">
        <v>53</v>
      </c>
      <c r="E335" s="64" t="n">
        <v>17</v>
      </c>
      <c r="F335" s="64" t="n">
        <v>22</v>
      </c>
      <c r="G335" s="64" t="n">
        <v>14</v>
      </c>
      <c r="H335" s="64" t="n">
        <v>12</v>
      </c>
      <c r="I335" s="64" t="n">
        <v>10</v>
      </c>
      <c r="J335" s="64" t="n">
        <v>21</v>
      </c>
      <c r="K335" s="64" t="n">
        <v>28</v>
      </c>
      <c r="L335" s="64" t="n">
        <v>24</v>
      </c>
      <c r="M335" s="64" t="n">
        <v>22</v>
      </c>
      <c r="N335" s="64" t="n">
        <v>30</v>
      </c>
      <c r="O335" s="64" t="n">
        <v>11</v>
      </c>
      <c r="P335" s="64" t="n">
        <v>18</v>
      </c>
    </row>
    <row r="336" ht="15.75" customHeight="1" s="45">
      <c r="A336" s="61" t="n">
        <v>46168</v>
      </c>
      <c r="B336" s="62" t="inlineStr">
        <is>
          <t>Antes-Projeto</t>
        </is>
      </c>
      <c r="C336" s="68" t="inlineStr">
        <is>
          <t>GAEs Abertas</t>
        </is>
      </c>
      <c r="D336" s="69" t="n">
        <v>263</v>
      </c>
      <c r="E336" s="69" t="n">
        <v>189</v>
      </c>
      <c r="F336" s="69" t="n">
        <v>165</v>
      </c>
      <c r="G336" s="69" t="n">
        <v>173</v>
      </c>
      <c r="H336" s="69" t="n">
        <v>162</v>
      </c>
      <c r="I336" s="69" t="n">
        <v>229</v>
      </c>
      <c r="J336" s="69" t="n">
        <v>140</v>
      </c>
      <c r="K336" s="69" t="n">
        <v>348</v>
      </c>
      <c r="L336" s="69" t="n">
        <v>145</v>
      </c>
      <c r="M336" s="69" t="n">
        <v>290</v>
      </c>
      <c r="N336" s="69" t="n">
        <v>212</v>
      </c>
      <c r="O336" s="69" t="n">
        <v>310</v>
      </c>
      <c r="P336" s="69" t="n">
        <v>275</v>
      </c>
    </row>
    <row r="337" ht="15.75" customHeight="1" s="45">
      <c r="A337" s="61" t="n">
        <v>46168</v>
      </c>
      <c r="B337" s="62" t="inlineStr">
        <is>
          <t>Antes-Projeto</t>
        </is>
      </c>
      <c r="C337" s="68" t="inlineStr">
        <is>
          <t>GAEs Classificadas</t>
        </is>
      </c>
      <c r="D337" s="69" t="n">
        <v>248</v>
      </c>
      <c r="E337" s="69" t="n">
        <v>179</v>
      </c>
      <c r="F337" s="69" t="n">
        <v>158</v>
      </c>
      <c r="G337" s="69" t="n">
        <v>146</v>
      </c>
      <c r="H337" s="69" t="n">
        <v>156</v>
      </c>
      <c r="I337" s="69" t="n">
        <v>209</v>
      </c>
      <c r="J337" s="69" t="n">
        <v>136</v>
      </c>
      <c r="K337" s="69" t="n">
        <v>315</v>
      </c>
      <c r="L337" s="69" t="n">
        <v>139</v>
      </c>
      <c r="M337" s="69" t="n">
        <v>266</v>
      </c>
      <c r="N337" s="69" t="n">
        <v>207</v>
      </c>
      <c r="O337" s="69" t="n">
        <v>303</v>
      </c>
      <c r="P337" s="69" t="n">
        <v>270</v>
      </c>
    </row>
    <row r="338" ht="15.75" customHeight="1" s="45">
      <c r="A338" s="61" t="n">
        <v>46168</v>
      </c>
      <c r="B338" s="62" t="inlineStr">
        <is>
          <t>Antes-Projeto</t>
        </is>
      </c>
      <c r="C338" s="70" t="inlineStr">
        <is>
          <t>Percentual de GAEs abertas classificadas</t>
        </is>
      </c>
      <c r="D338" s="71">
        <f>IFERROR(D337/D336,"-")</f>
        <v/>
      </c>
      <c r="E338" s="71">
        <f>IFERROR(E337/E336,"-")</f>
        <v/>
      </c>
      <c r="F338" s="71">
        <f>IFERROR(F337/F336,"-")</f>
        <v/>
      </c>
      <c r="G338" s="71">
        <f>IFERROR(G337/G336,"-")</f>
        <v/>
      </c>
      <c r="H338" s="71">
        <f>IFERROR(H337/H336,"-")</f>
        <v/>
      </c>
      <c r="I338" s="71">
        <f>IFERROR(I337/I336,"-")</f>
        <v/>
      </c>
      <c r="J338" s="71">
        <f>IFERROR(J337/J336,"-")</f>
        <v/>
      </c>
      <c r="K338" s="71">
        <f>IFERROR(K337/K336,"-")</f>
        <v/>
      </c>
      <c r="L338" s="71">
        <f>IFERROR(L337/L336,"-")</f>
        <v/>
      </c>
      <c r="M338" s="71">
        <f>IFERROR(M337/M336,"-")</f>
        <v/>
      </c>
      <c r="N338" s="71">
        <f>IFERROR(N337/N336,"-")</f>
        <v/>
      </c>
      <c r="O338" s="71">
        <f>IFERROR(O337/O336,"-")</f>
        <v/>
      </c>
      <c r="P338" s="71">
        <f>IFERROR(P337/P336,"-")</f>
        <v/>
      </c>
    </row>
    <row r="339" ht="15.75" customHeight="1" s="45">
      <c r="A339" s="61" t="n">
        <v>46168</v>
      </c>
      <c r="B339" s="62" t="inlineStr">
        <is>
          <t>Antes-Projeto</t>
        </is>
      </c>
      <c r="C339" s="72" t="inlineStr">
        <is>
          <t>Tempo Médio — 🟡 Amarelo (hh:mm)</t>
        </is>
      </c>
      <c r="D339" s="73" t="n">
        <v>0.1002662037037037</v>
      </c>
      <c r="E339" s="73" t="n">
        <v>0.03216435185185185</v>
      </c>
      <c r="F339" s="73" t="n">
        <v>0.04630787037037037</v>
      </c>
      <c r="G339" s="73" t="n">
        <v>0.05016203703703704</v>
      </c>
      <c r="H339" s="73" t="n">
        <v>0.08795138888888888</v>
      </c>
      <c r="I339" s="73" t="n">
        <v>0.04738425925925926</v>
      </c>
      <c r="J339" s="73" t="n">
        <v>0.0527662037037037</v>
      </c>
      <c r="K339" s="73" t="n">
        <v>0.02863425925925926</v>
      </c>
      <c r="L339" s="73" t="n">
        <v>0.07149305555555556</v>
      </c>
      <c r="M339" s="73" t="n">
        <v>0.04857638888888889</v>
      </c>
      <c r="N339" s="73" t="n">
        <v>0.04672453703703704</v>
      </c>
      <c r="O339" s="73" t="n">
        <v>0.05611111111111111</v>
      </c>
      <c r="P339" s="73" t="n">
        <v>0.1357060185185185</v>
      </c>
    </row>
    <row r="340" ht="15.75" customHeight="1" s="45">
      <c r="A340" s="61" t="n">
        <v>46168</v>
      </c>
      <c r="B340" s="62" t="inlineStr">
        <is>
          <t>Antes-Projeto</t>
        </is>
      </c>
      <c r="C340" s="74" t="inlineStr">
        <is>
          <t>Tempo Médio — 🟠 Laranja (hh:mm)</t>
        </is>
      </c>
      <c r="D340" s="75" t="n">
        <v>0.01342592592592593</v>
      </c>
      <c r="E340" s="75" t="n">
        <v>0.0152662037037037</v>
      </c>
      <c r="F340" s="75" t="n">
        <v>0.01225694444444445</v>
      </c>
      <c r="G340" s="75" t="n">
        <v>0.008842592592592593</v>
      </c>
      <c r="H340" s="75" t="n">
        <v>0.008553240740740741</v>
      </c>
      <c r="I340" s="75" t="n">
        <v>0.006412037037037037</v>
      </c>
      <c r="J340" s="75" t="n">
        <v>0.007175925925925926</v>
      </c>
      <c r="K340" s="75" t="n">
        <v>0.01033564814814815</v>
      </c>
      <c r="L340" s="75" t="n">
        <v>0.01346064814814815</v>
      </c>
      <c r="M340" s="75" t="n">
        <v>0.01524305555555555</v>
      </c>
      <c r="N340" s="75" t="n">
        <v>0.009189814814814816</v>
      </c>
      <c r="O340" s="75" t="n">
        <v>0.00886574074074074</v>
      </c>
      <c r="P340" s="75" t="n">
        <v>0.01988425925925926</v>
      </c>
    </row>
    <row r="341" ht="15.75" customHeight="1" s="45">
      <c r="A341" s="76" t="n">
        <v>46168</v>
      </c>
      <c r="B341" s="77" t="inlineStr">
        <is>
          <t>Antes-Projeto</t>
        </is>
      </c>
      <c r="C341" s="78" t="inlineStr">
        <is>
          <t>Tempo Médio — 🟢 Verde   (hh:mm)</t>
        </is>
      </c>
      <c r="D341" s="79" t="n">
        <v>0.05111111111111111</v>
      </c>
      <c r="E341" s="79" t="n">
        <v>0.0843287037037037</v>
      </c>
      <c r="F341" s="79" t="n">
        <v>0.04939814814814815</v>
      </c>
      <c r="G341" s="79" t="n">
        <v>0.08638888888888889</v>
      </c>
      <c r="H341" s="79" t="n">
        <v>0.08721064814814815</v>
      </c>
      <c r="I341" s="79" t="n">
        <v>0.08054398148148148</v>
      </c>
      <c r="J341" s="79" t="n">
        <v>0.06547453703703704</v>
      </c>
      <c r="K341" s="79" t="n">
        <v>0.07082175925925926</v>
      </c>
      <c r="L341" s="79" t="n">
        <v>0.08578703703703704</v>
      </c>
      <c r="M341" s="79" t="n">
        <v>0.1290046296296296</v>
      </c>
      <c r="N341" s="79" t="n">
        <v>0.09230324074074074</v>
      </c>
      <c r="O341" s="79" t="n">
        <v>0.1401967592592593</v>
      </c>
      <c r="P341" s="79" t="n">
        <v>0.1975694444444444</v>
      </c>
    </row>
    <row r="342" ht="15.75" customHeight="1" s="45">
      <c r="A342" s="57" t="n">
        <v>46169</v>
      </c>
      <c r="B342" s="58" t="inlineStr">
        <is>
          <t>Antes-Projeto</t>
        </is>
      </c>
      <c r="C342" s="59" t="inlineStr">
        <is>
          <t>Acolhim. + Atend. Urgência + Atend. UPA</t>
        </is>
      </c>
      <c r="D342" s="60">
        <f>SUM(D343:D345)</f>
        <v/>
      </c>
      <c r="E342" s="60">
        <f>SUM(E343:E345)</f>
        <v/>
      </c>
      <c r="F342" s="60">
        <f>SUM(F343:F345)</f>
        <v/>
      </c>
      <c r="G342" s="60">
        <f>SUM(G343:G345)</f>
        <v/>
      </c>
      <c r="H342" s="60">
        <f>SUM(H343:H345)</f>
        <v/>
      </c>
      <c r="I342" s="60">
        <f>SUM(I343:I345)</f>
        <v/>
      </c>
      <c r="J342" s="60">
        <f>SUM(J343:J345)</f>
        <v/>
      </c>
      <c r="K342" s="60">
        <f>SUM(K343:K345)</f>
        <v/>
      </c>
      <c r="L342" s="60">
        <f>SUM(L343:L345)</f>
        <v/>
      </c>
      <c r="M342" s="60">
        <f>SUM(M343:M345)</f>
        <v/>
      </c>
      <c r="N342" s="60">
        <f>SUM(N343:N345)</f>
        <v/>
      </c>
      <c r="O342" s="60">
        <f>SUM(O343:O345)</f>
        <v/>
      </c>
      <c r="P342" s="60">
        <f>SUM(P343:P345)</f>
        <v/>
      </c>
    </row>
    <row r="343" ht="15.75" customHeight="1" s="45">
      <c r="A343" s="61" t="n">
        <v>46169</v>
      </c>
      <c r="B343" s="62" t="inlineStr">
        <is>
          <t>Antes-Projeto</t>
        </is>
      </c>
      <c r="C343" s="63" t="inlineStr">
        <is>
          <t>Acolhimento c/ Classif. de Risco</t>
        </is>
      </c>
      <c r="D343" s="64" t="n">
        <v>238</v>
      </c>
      <c r="E343" s="64" t="n">
        <v>162</v>
      </c>
      <c r="F343" s="64" t="n">
        <v>152</v>
      </c>
      <c r="G343" s="64" t="n">
        <v>139</v>
      </c>
      <c r="H343" s="64" t="n">
        <v>150</v>
      </c>
      <c r="I343" s="64" t="n">
        <v>206</v>
      </c>
      <c r="J343" s="64" t="n">
        <v>102</v>
      </c>
      <c r="K343" s="64" t="n">
        <v>328</v>
      </c>
      <c r="L343" s="64" t="n">
        <v>128</v>
      </c>
      <c r="M343" s="64" t="n">
        <v>262</v>
      </c>
      <c r="N343" s="64" t="n">
        <v>218</v>
      </c>
      <c r="O343" s="64" t="n">
        <v>271</v>
      </c>
      <c r="P343" s="64" t="n">
        <v>232</v>
      </c>
    </row>
    <row r="344" ht="15.75" customHeight="1" s="45">
      <c r="A344" s="61" t="n">
        <v>46169</v>
      </c>
      <c r="B344" s="62" t="inlineStr">
        <is>
          <t>Antes-Projeto</t>
        </is>
      </c>
      <c r="C344" s="65" t="inlineStr">
        <is>
          <t>Atend. Urgência Obs. ≤ 24h</t>
        </is>
      </c>
      <c r="D344" s="66" t="n">
        <v>28</v>
      </c>
      <c r="E344" s="66" t="n">
        <v>43</v>
      </c>
      <c r="F344" s="66" t="n">
        <v>24</v>
      </c>
      <c r="G344" s="66" t="n">
        <v>27</v>
      </c>
      <c r="H344" s="66" t="n">
        <v>13</v>
      </c>
      <c r="I344" s="66" t="n">
        <v>25</v>
      </c>
      <c r="J344" s="66" t="n">
        <v>16</v>
      </c>
      <c r="K344" s="66" t="n">
        <v>77</v>
      </c>
      <c r="L344" s="66" t="n">
        <v>32</v>
      </c>
      <c r="M344" s="66" t="n">
        <v>34</v>
      </c>
      <c r="N344" s="66" t="n">
        <v>38</v>
      </c>
      <c r="O344" s="66" t="n">
        <v>14</v>
      </c>
      <c r="P344" s="66" t="n">
        <v>18</v>
      </c>
    </row>
    <row r="345" ht="15.75" customHeight="1" s="45">
      <c r="A345" s="61" t="n">
        <v>46169</v>
      </c>
      <c r="B345" s="62" t="inlineStr">
        <is>
          <t>Antes-Projeto</t>
        </is>
      </c>
      <c r="C345" s="63" t="inlineStr">
        <is>
          <t>Atend. Médico em UPA</t>
        </is>
      </c>
      <c r="D345" s="64" t="n">
        <v>156</v>
      </c>
      <c r="E345" s="64" t="n">
        <v>78</v>
      </c>
      <c r="F345" s="64" t="n">
        <v>71</v>
      </c>
      <c r="G345" s="64" t="n">
        <v>100</v>
      </c>
      <c r="H345" s="64" t="n">
        <v>89</v>
      </c>
      <c r="I345" s="64" t="n">
        <v>143</v>
      </c>
      <c r="J345" s="64" t="n">
        <v>78</v>
      </c>
      <c r="K345" s="64" t="n">
        <v>303</v>
      </c>
      <c r="L345" s="64" t="n">
        <v>94</v>
      </c>
      <c r="M345" s="64" t="n">
        <v>106</v>
      </c>
      <c r="N345" s="64" t="n">
        <v>156</v>
      </c>
      <c r="O345" s="64" t="n">
        <v>178</v>
      </c>
      <c r="P345" s="64" t="n">
        <v>147</v>
      </c>
    </row>
    <row r="346" ht="15.75" customHeight="1" s="45">
      <c r="A346" s="61" t="n">
        <v>46169</v>
      </c>
      <c r="B346" s="62" t="inlineStr">
        <is>
          <t>Antes-Projeto</t>
        </is>
      </c>
      <c r="C346" s="65" t="inlineStr">
        <is>
          <t>Exames Laboratoriais</t>
        </is>
      </c>
      <c r="D346" s="66" t="n">
        <v>575</v>
      </c>
      <c r="E346" s="66" t="n">
        <v>357</v>
      </c>
      <c r="F346" s="66" t="n">
        <v>299</v>
      </c>
      <c r="G346" s="66" t="n">
        <v>299</v>
      </c>
      <c r="H346" s="66" t="n">
        <v>403</v>
      </c>
      <c r="I346" s="66" t="n">
        <v>696</v>
      </c>
      <c r="J346" s="66" t="n">
        <v>287</v>
      </c>
      <c r="K346" s="66" t="n">
        <v>772</v>
      </c>
      <c r="L346" s="66" t="n">
        <v>584</v>
      </c>
      <c r="M346" s="66" t="n">
        <v>741</v>
      </c>
      <c r="N346" s="66" t="n">
        <v>446</v>
      </c>
      <c r="O346" s="66" t="n">
        <v>427</v>
      </c>
      <c r="P346" s="66" t="n">
        <v>204</v>
      </c>
    </row>
    <row r="347" ht="15.75" customHeight="1" s="45">
      <c r="A347" s="61" t="n">
        <v>46169</v>
      </c>
      <c r="B347" s="62" t="inlineStr">
        <is>
          <t>Antes-Projeto</t>
        </is>
      </c>
      <c r="C347" s="63" t="inlineStr">
        <is>
          <t>Radiografias</t>
        </is>
      </c>
      <c r="D347" s="64" t="n">
        <v>40</v>
      </c>
      <c r="E347" s="64" t="n">
        <v>12</v>
      </c>
      <c r="F347" s="64" t="n">
        <v>18</v>
      </c>
      <c r="G347" s="64" t="n">
        <v>20</v>
      </c>
      <c r="H347" s="64" t="n">
        <v>30</v>
      </c>
      <c r="I347" s="64" t="n">
        <v>37</v>
      </c>
      <c r="J347" s="64" t="n">
        <v>14</v>
      </c>
      <c r="K347" s="64" t="n">
        <v>55</v>
      </c>
      <c r="L347" s="64" t="n">
        <v>16</v>
      </c>
      <c r="M347" s="64" t="n">
        <v>31</v>
      </c>
      <c r="N347" s="64" t="n">
        <v>20</v>
      </c>
      <c r="O347" s="64" t="n">
        <v>44</v>
      </c>
      <c r="P347" s="64" t="n">
        <v>54</v>
      </c>
    </row>
    <row r="348" ht="15.75" customHeight="1" s="45">
      <c r="A348" s="61" t="n">
        <v>46169</v>
      </c>
      <c r="B348" s="62" t="inlineStr">
        <is>
          <t>Antes-Projeto</t>
        </is>
      </c>
      <c r="C348" s="65" t="inlineStr">
        <is>
          <t>Eletrocardiogramas</t>
        </is>
      </c>
      <c r="D348" s="66" t="n">
        <v>19</v>
      </c>
      <c r="E348" s="66" t="n">
        <v>15</v>
      </c>
      <c r="F348" s="66" t="n">
        <v>27</v>
      </c>
      <c r="G348" s="66" t="n">
        <v>10</v>
      </c>
      <c r="H348" s="66" t="n">
        <v>5</v>
      </c>
      <c r="I348" s="66" t="n">
        <v>23</v>
      </c>
      <c r="J348" s="66" t="n">
        <v>8</v>
      </c>
      <c r="K348" s="66" t="n">
        <v>22</v>
      </c>
      <c r="L348" s="66" t="n">
        <v>14</v>
      </c>
      <c r="M348" s="66" t="n">
        <v>7</v>
      </c>
      <c r="N348" s="66" t="n">
        <v>20</v>
      </c>
      <c r="O348" s="66" t="n">
        <v>16</v>
      </c>
      <c r="P348" s="66" t="n">
        <v>17</v>
      </c>
    </row>
    <row r="349" ht="15.75" customHeight="1" s="45">
      <c r="A349" s="61" t="n">
        <v>46169</v>
      </c>
      <c r="B349" s="62" t="inlineStr">
        <is>
          <t>Antes-Projeto</t>
        </is>
      </c>
      <c r="C349" s="68" t="inlineStr">
        <is>
          <t>GAEs Abertas</t>
        </is>
      </c>
      <c r="D349" s="69" t="n">
        <v>252</v>
      </c>
      <c r="E349" s="69" t="n">
        <v>173</v>
      </c>
      <c r="F349" s="69" t="n">
        <v>164</v>
      </c>
      <c r="G349" s="69" t="n">
        <v>147</v>
      </c>
      <c r="H349" s="69" t="n">
        <v>163</v>
      </c>
      <c r="I349" s="69" t="n">
        <v>220</v>
      </c>
      <c r="J349" s="69" t="n">
        <v>106</v>
      </c>
      <c r="K349" s="69" t="n">
        <v>352</v>
      </c>
      <c r="L349" s="69" t="n">
        <v>132</v>
      </c>
      <c r="M349" s="69" t="n">
        <v>287</v>
      </c>
      <c r="N349" s="69" t="n">
        <v>222</v>
      </c>
      <c r="O349" s="69" t="n">
        <v>286</v>
      </c>
      <c r="P349" s="69" t="n">
        <v>242</v>
      </c>
    </row>
    <row r="350" ht="15.75" customHeight="1" s="45">
      <c r="A350" s="61" t="n">
        <v>46169</v>
      </c>
      <c r="B350" s="62" t="inlineStr">
        <is>
          <t>Antes-Projeto</t>
        </is>
      </c>
      <c r="C350" s="68" t="inlineStr">
        <is>
          <t>GAEs Classificadas</t>
        </is>
      </c>
      <c r="D350" s="69" t="n">
        <v>245</v>
      </c>
      <c r="E350" s="69" t="n">
        <v>166</v>
      </c>
      <c r="F350" s="69" t="n">
        <v>152</v>
      </c>
      <c r="G350" s="69" t="n">
        <v>138</v>
      </c>
      <c r="H350" s="69" t="n">
        <v>149</v>
      </c>
      <c r="I350" s="69" t="n">
        <v>202</v>
      </c>
      <c r="J350" s="69" t="n">
        <v>103</v>
      </c>
      <c r="K350" s="69" t="n">
        <v>330</v>
      </c>
      <c r="L350" s="69" t="n">
        <v>129</v>
      </c>
      <c r="M350" s="69" t="n">
        <v>261</v>
      </c>
      <c r="N350" s="69" t="n">
        <v>218</v>
      </c>
      <c r="O350" s="69" t="n">
        <v>272</v>
      </c>
      <c r="P350" s="69" t="n">
        <v>233</v>
      </c>
    </row>
    <row r="351" ht="15.75" customHeight="1" s="45">
      <c r="A351" s="61" t="n">
        <v>46169</v>
      </c>
      <c r="B351" s="62" t="inlineStr">
        <is>
          <t>Antes-Projeto</t>
        </is>
      </c>
      <c r="C351" s="70" t="inlineStr">
        <is>
          <t>Percentual de GAEs abertas classificadas</t>
        </is>
      </c>
      <c r="D351" s="71">
        <f>IFERROR(D350/D349,"-")</f>
        <v/>
      </c>
      <c r="E351" s="71">
        <f>IFERROR(E350/E349,"-")</f>
        <v/>
      </c>
      <c r="F351" s="71">
        <f>IFERROR(F350/F349,"-")</f>
        <v/>
      </c>
      <c r="G351" s="71">
        <f>IFERROR(G350/G349,"-")</f>
        <v/>
      </c>
      <c r="H351" s="71">
        <f>IFERROR(H350/H349,"-")</f>
        <v/>
      </c>
      <c r="I351" s="71">
        <f>IFERROR(I350/I349,"-")</f>
        <v/>
      </c>
      <c r="J351" s="71">
        <f>IFERROR(J350/J349,"-")</f>
        <v/>
      </c>
      <c r="K351" s="71">
        <f>IFERROR(K350/K349,"-")</f>
        <v/>
      </c>
      <c r="L351" s="71">
        <f>IFERROR(L350/L349,"-")</f>
        <v/>
      </c>
      <c r="M351" s="71">
        <f>IFERROR(M350/M349,"-")</f>
        <v/>
      </c>
      <c r="N351" s="71">
        <f>IFERROR(N350/N349,"-")</f>
        <v/>
      </c>
      <c r="O351" s="71">
        <f>IFERROR(O350/O349,"-")</f>
        <v/>
      </c>
      <c r="P351" s="71">
        <f>IFERROR(P350/P349,"-")</f>
        <v/>
      </c>
    </row>
    <row r="352" ht="15.75" customHeight="1" s="45">
      <c r="A352" s="61" t="n">
        <v>46169</v>
      </c>
      <c r="B352" s="62" t="inlineStr">
        <is>
          <t>Antes-Projeto</t>
        </is>
      </c>
      <c r="C352" s="72" t="inlineStr">
        <is>
          <t>Tempo Médio — 🟡 Amarelo (hh:mm)</t>
        </is>
      </c>
      <c r="D352" s="73" t="n">
        <v>0.06387731481481482</v>
      </c>
      <c r="E352" s="73" t="n">
        <v>0.131724537037037</v>
      </c>
      <c r="F352" s="73" t="n">
        <v>0.04598379629629629</v>
      </c>
      <c r="G352" s="73" t="n">
        <v>0.1012037037037037</v>
      </c>
      <c r="H352" s="73" t="n">
        <v>0.05675925925925926</v>
      </c>
      <c r="I352" s="73" t="n">
        <v>0.06181712962962963</v>
      </c>
      <c r="J352" s="73" t="n">
        <v>0.03105324074074074</v>
      </c>
      <c r="K352" s="73" t="n">
        <v>0.03461805555555555</v>
      </c>
      <c r="L352" s="73" t="n">
        <v>0.1019212962962963</v>
      </c>
      <c r="M352" s="73" t="n">
        <v>0.07626157407407408</v>
      </c>
      <c r="N352" s="73" t="n">
        <v>0.03796296296296296</v>
      </c>
      <c r="O352" s="73" t="n">
        <v>0.07429398148148147</v>
      </c>
      <c r="P352" s="73" t="n">
        <v>0.09657407407407408</v>
      </c>
    </row>
    <row r="353" ht="15.75" customHeight="1" s="45">
      <c r="A353" s="61" t="n">
        <v>46169</v>
      </c>
      <c r="B353" s="62" t="inlineStr">
        <is>
          <t>Antes-Projeto</t>
        </is>
      </c>
      <c r="C353" s="74" t="inlineStr">
        <is>
          <t>Tempo Médio — 🟠 Laranja (hh:mm)</t>
        </is>
      </c>
      <c r="D353" s="75" t="n">
        <v>0.008275462962962964</v>
      </c>
      <c r="E353" s="75" t="n">
        <v>0.01171296296296296</v>
      </c>
      <c r="F353" s="75" t="n">
        <v>0.00380787037037037</v>
      </c>
      <c r="G353" s="75" t="n">
        <v>0.01538194444444444</v>
      </c>
      <c r="H353" s="75" t="n">
        <v>0.007638888888888889</v>
      </c>
      <c r="I353" s="75" t="n">
        <v>0.005335648148148148</v>
      </c>
      <c r="J353" s="75" t="n">
        <v>0.03002314814814815</v>
      </c>
      <c r="K353" s="75" t="n">
        <v>0.007094907407407407</v>
      </c>
      <c r="L353" s="75" t="n">
        <v>0.01086805555555556</v>
      </c>
      <c r="M353" s="75" t="n">
        <v>0.01142361111111111</v>
      </c>
      <c r="N353" s="75" t="n">
        <v>0.01971064814814815</v>
      </c>
      <c r="O353" s="75" t="n">
        <v>0.01479166666666667</v>
      </c>
      <c r="P353" s="75" t="n">
        <v>0.02380787037037037</v>
      </c>
    </row>
    <row r="354" ht="15.75" customHeight="1" s="45">
      <c r="A354" s="76" t="n">
        <v>46169</v>
      </c>
      <c r="B354" s="77" t="inlineStr">
        <is>
          <t>Antes-Projeto</t>
        </is>
      </c>
      <c r="C354" s="78" t="inlineStr">
        <is>
          <t>Tempo Médio — 🟢 Verde   (hh:mm)</t>
        </is>
      </c>
      <c r="D354" s="79" t="n">
        <v>0.1078356481481482</v>
      </c>
      <c r="E354" s="79" t="n">
        <v>0.1660300925925926</v>
      </c>
      <c r="F354" s="79" t="n">
        <v>0.1188078703703704</v>
      </c>
      <c r="G354" s="79" t="n">
        <v>0.09619212962962963</v>
      </c>
      <c r="H354" s="79" t="n">
        <v>0.1029513888888889</v>
      </c>
      <c r="I354" s="79" t="n">
        <v>0.1212384259259259</v>
      </c>
      <c r="J354" s="79" t="n">
        <v>0.07276620370370371</v>
      </c>
      <c r="K354" s="79" t="n">
        <v>0.07559027777777778</v>
      </c>
      <c r="L354" s="79" t="n">
        <v>0.09939814814814815</v>
      </c>
      <c r="M354" s="79" t="n">
        <v>0.2015625</v>
      </c>
      <c r="N354" s="79" t="n">
        <v>0.07650462962962963</v>
      </c>
      <c r="O354" s="79" t="n">
        <v>0.1489583333333333</v>
      </c>
      <c r="P354" s="79" t="n">
        <v>0.09017361111111111</v>
      </c>
    </row>
    <row r="355" ht="15.75" customHeight="1" s="45">
      <c r="A355" s="57" t="n">
        <v>46170</v>
      </c>
      <c r="B355" s="58" t="inlineStr">
        <is>
          <t>Antes-Projeto</t>
        </is>
      </c>
      <c r="C355" s="59" t="inlineStr">
        <is>
          <t>Acolhim. + Atend. Urgência + Atend. UPA</t>
        </is>
      </c>
      <c r="D355" s="60">
        <f>SUM(D356:D358)</f>
        <v/>
      </c>
      <c r="E355" s="60">
        <f>SUM(E356:E358)</f>
        <v/>
      </c>
      <c r="F355" s="60">
        <f>SUM(F356:F358)</f>
        <v/>
      </c>
      <c r="G355" s="60">
        <f>SUM(G356:G358)</f>
        <v/>
      </c>
      <c r="H355" s="60">
        <f>SUM(H356:H358)</f>
        <v/>
      </c>
      <c r="I355" s="60">
        <f>SUM(I356:I358)</f>
        <v/>
      </c>
      <c r="J355" s="60">
        <f>SUM(J356:J358)</f>
        <v/>
      </c>
      <c r="K355" s="60">
        <f>SUM(K356:K358)</f>
        <v/>
      </c>
      <c r="L355" s="60">
        <f>SUM(L356:L358)</f>
        <v/>
      </c>
      <c r="M355" s="60">
        <f>SUM(M356:M358)</f>
        <v/>
      </c>
      <c r="N355" s="60">
        <f>SUM(N356:N358)</f>
        <v/>
      </c>
      <c r="O355" s="60">
        <f>SUM(O356:O358)</f>
        <v/>
      </c>
      <c r="P355" s="60">
        <f>SUM(P356:P358)</f>
        <v/>
      </c>
    </row>
    <row r="356" ht="15.75" customHeight="1" s="45">
      <c r="A356" s="61" t="n">
        <v>46170</v>
      </c>
      <c r="B356" s="62" t="inlineStr">
        <is>
          <t>Antes-Projeto</t>
        </is>
      </c>
      <c r="C356" s="65" t="inlineStr">
        <is>
          <t>Acolhimento c/ Classif. de Risco</t>
        </is>
      </c>
      <c r="D356" s="66" t="n">
        <v>235</v>
      </c>
      <c r="E356" s="66" t="n">
        <v>150</v>
      </c>
      <c r="F356" s="66" t="n">
        <v>158</v>
      </c>
      <c r="G356" s="66" t="n">
        <v>135</v>
      </c>
      <c r="H356" s="66" t="n">
        <v>147</v>
      </c>
      <c r="I356" s="66" t="n">
        <v>194</v>
      </c>
      <c r="J356" s="66" t="n">
        <v>120</v>
      </c>
      <c r="K356" s="66" t="n">
        <v>319</v>
      </c>
      <c r="L356" s="66" t="n">
        <v>148</v>
      </c>
      <c r="M356" s="66" t="n">
        <v>282</v>
      </c>
      <c r="N356" s="66" t="n">
        <v>203</v>
      </c>
      <c r="O356" s="66" t="n">
        <v>277</v>
      </c>
      <c r="P356" s="66" t="n">
        <v>251</v>
      </c>
    </row>
    <row r="357" ht="15.75" customHeight="1" s="45">
      <c r="A357" s="61" t="n">
        <v>46170</v>
      </c>
      <c r="B357" s="62" t="inlineStr">
        <is>
          <t>Antes-Projeto</t>
        </is>
      </c>
      <c r="C357" s="63" t="inlineStr">
        <is>
          <t>Atend. Urgência Obs. ≤ 24h</t>
        </is>
      </c>
      <c r="D357" s="64" t="n">
        <v>17</v>
      </c>
      <c r="E357" s="64" t="n">
        <v>60</v>
      </c>
      <c r="F357" s="64" t="n">
        <v>22</v>
      </c>
      <c r="G357" s="64" t="n">
        <v>13</v>
      </c>
      <c r="H357" s="64" t="n">
        <v>25</v>
      </c>
      <c r="I357" s="64" t="n">
        <v>35</v>
      </c>
      <c r="J357" s="64" t="n">
        <v>8</v>
      </c>
      <c r="K357" s="64" t="n">
        <v>77</v>
      </c>
      <c r="L357" s="64" t="n">
        <v>38</v>
      </c>
      <c r="M357" s="64" t="n">
        <v>34</v>
      </c>
      <c r="N357" s="64" t="n">
        <v>28</v>
      </c>
      <c r="O357" s="64" t="n">
        <v>14</v>
      </c>
      <c r="P357" s="64" t="n">
        <v>19</v>
      </c>
    </row>
    <row r="358" ht="15.75" customHeight="1" s="45">
      <c r="A358" s="61" t="n">
        <v>46170</v>
      </c>
      <c r="B358" s="62" t="inlineStr">
        <is>
          <t>Antes-Projeto</t>
        </is>
      </c>
      <c r="C358" s="65" t="inlineStr">
        <is>
          <t>Atend. Médico em UPA</t>
        </is>
      </c>
      <c r="D358" s="66" t="n">
        <v>224</v>
      </c>
      <c r="E358" s="66" t="n">
        <v>78</v>
      </c>
      <c r="F358" s="66" t="n">
        <v>107</v>
      </c>
      <c r="G358" s="66" t="n">
        <v>65</v>
      </c>
      <c r="H358" s="66" t="n">
        <v>117</v>
      </c>
      <c r="I358" s="66" t="n">
        <v>185</v>
      </c>
      <c r="J358" s="66" t="n">
        <v>75</v>
      </c>
      <c r="K358" s="66" t="n">
        <v>294</v>
      </c>
      <c r="L358" s="66" t="n">
        <v>109</v>
      </c>
      <c r="M358" s="66" t="n">
        <v>134</v>
      </c>
      <c r="N358" s="66" t="n">
        <v>158</v>
      </c>
      <c r="O358" s="66" t="n">
        <v>205</v>
      </c>
      <c r="P358" s="66" t="n">
        <v>167</v>
      </c>
    </row>
    <row r="359" ht="15.75" customHeight="1" s="45">
      <c r="A359" s="61" t="n">
        <v>46170</v>
      </c>
      <c r="B359" s="62" t="inlineStr">
        <is>
          <t>Antes-Projeto</t>
        </is>
      </c>
      <c r="C359" s="63" t="inlineStr">
        <is>
          <t>Exames Laboratoriais</t>
        </is>
      </c>
      <c r="D359" s="64" t="n">
        <v>630</v>
      </c>
      <c r="E359" s="64" t="n">
        <v>498</v>
      </c>
      <c r="F359" s="64" t="n">
        <v>490</v>
      </c>
      <c r="G359" s="64" t="n">
        <v>341</v>
      </c>
      <c r="H359" s="64" t="n">
        <v>523</v>
      </c>
      <c r="I359" s="64" t="n">
        <v>590</v>
      </c>
      <c r="J359" s="64" t="n">
        <v>329</v>
      </c>
      <c r="K359" s="64" t="n">
        <v>875</v>
      </c>
      <c r="L359" s="64" t="n">
        <v>392</v>
      </c>
      <c r="M359" s="64" t="n">
        <v>619</v>
      </c>
      <c r="N359" s="64" t="n">
        <v>477</v>
      </c>
      <c r="O359" s="64" t="n">
        <v>370</v>
      </c>
      <c r="P359" s="64" t="n">
        <v>451</v>
      </c>
    </row>
    <row r="360" ht="15.75" customHeight="1" s="45">
      <c r="A360" s="61" t="n">
        <v>46170</v>
      </c>
      <c r="B360" s="62" t="inlineStr">
        <is>
          <t>Antes-Projeto</t>
        </is>
      </c>
      <c r="C360" s="65" t="inlineStr">
        <is>
          <t>Radiografias</t>
        </is>
      </c>
      <c r="D360" s="66" t="n">
        <v>34</v>
      </c>
      <c r="E360" s="66" t="n">
        <v>18</v>
      </c>
      <c r="F360" s="66" t="n">
        <v>27</v>
      </c>
      <c r="G360" s="66" t="n">
        <v>18</v>
      </c>
      <c r="H360" s="66" t="n">
        <v>20</v>
      </c>
      <c r="I360" s="66" t="n">
        <v>21</v>
      </c>
      <c r="J360" s="66" t="n">
        <v>24</v>
      </c>
      <c r="K360" s="66" t="n">
        <v>55</v>
      </c>
      <c r="L360" s="66" t="n">
        <v>21</v>
      </c>
      <c r="M360" s="66" t="n">
        <v>66</v>
      </c>
      <c r="N360" s="66" t="n">
        <v>3</v>
      </c>
      <c r="O360" s="66" t="n">
        <v>50</v>
      </c>
      <c r="P360" s="66" t="n">
        <v>66</v>
      </c>
    </row>
    <row r="361" ht="15.75" customHeight="1" s="45">
      <c r="A361" s="61" t="n">
        <v>46170</v>
      </c>
      <c r="B361" s="62" t="inlineStr">
        <is>
          <t>Antes-Projeto</t>
        </is>
      </c>
      <c r="C361" s="63" t="inlineStr">
        <is>
          <t>Eletrocardiogramas</t>
        </is>
      </c>
      <c r="D361" s="64" t="n">
        <v>30</v>
      </c>
      <c r="E361" s="64" t="n">
        <v>16</v>
      </c>
      <c r="F361" s="64" t="n">
        <v>24</v>
      </c>
      <c r="G361" s="64" t="n">
        <v>9</v>
      </c>
      <c r="H361" s="64" t="n">
        <v>13</v>
      </c>
      <c r="I361" s="64" t="n">
        <v>9</v>
      </c>
      <c r="J361" s="64" t="n">
        <v>6</v>
      </c>
      <c r="K361" s="64" t="n">
        <v>14</v>
      </c>
      <c r="L361" s="64" t="n">
        <v>14</v>
      </c>
      <c r="M361" s="64" t="n">
        <v>9</v>
      </c>
      <c r="N361" s="64" t="n">
        <v>28</v>
      </c>
      <c r="O361" s="64" t="n">
        <v>8</v>
      </c>
      <c r="P361" s="64" t="n">
        <v>17</v>
      </c>
    </row>
    <row r="362" ht="15.75" customHeight="1" s="45">
      <c r="A362" s="61" t="n">
        <v>46170</v>
      </c>
      <c r="B362" s="62" t="inlineStr">
        <is>
          <t>Antes-Projeto</t>
        </is>
      </c>
      <c r="C362" s="68" t="inlineStr">
        <is>
          <t>GAEs Abertas</t>
        </is>
      </c>
      <c r="D362" s="69" t="n">
        <v>233</v>
      </c>
      <c r="E362" s="69" t="n">
        <v>156</v>
      </c>
      <c r="F362" s="69" t="n">
        <v>164</v>
      </c>
      <c r="G362" s="69" t="n">
        <v>143</v>
      </c>
      <c r="H362" s="69" t="n">
        <v>162</v>
      </c>
      <c r="I362" s="69" t="n">
        <v>217</v>
      </c>
      <c r="J362" s="69" t="n">
        <v>122</v>
      </c>
      <c r="K362" s="69" t="n">
        <v>335</v>
      </c>
      <c r="L362" s="69" t="n">
        <v>156</v>
      </c>
      <c r="M362" s="69" t="n">
        <v>294</v>
      </c>
      <c r="N362" s="69" t="n">
        <v>225</v>
      </c>
      <c r="O362" s="69" t="n">
        <v>286</v>
      </c>
      <c r="P362" s="69" t="n">
        <v>265</v>
      </c>
    </row>
    <row r="363" ht="15.75" customHeight="1" s="45">
      <c r="A363" s="61" t="n">
        <v>46170</v>
      </c>
      <c r="B363" s="62" t="inlineStr">
        <is>
          <t>Antes-Projeto</t>
        </is>
      </c>
      <c r="C363" s="68" t="inlineStr">
        <is>
          <t>GAEs Classificadas</t>
        </is>
      </c>
      <c r="D363" s="69" t="n">
        <v>227</v>
      </c>
      <c r="E363" s="69" t="n">
        <v>145</v>
      </c>
      <c r="F363" s="69" t="n">
        <v>157</v>
      </c>
      <c r="G363" s="69" t="n">
        <v>135</v>
      </c>
      <c r="H363" s="69" t="n">
        <v>147</v>
      </c>
      <c r="I363" s="69" t="n">
        <v>196</v>
      </c>
      <c r="J363" s="69" t="n">
        <v>121</v>
      </c>
      <c r="K363" s="69" t="n">
        <v>313</v>
      </c>
      <c r="L363" s="69" t="n">
        <v>146</v>
      </c>
      <c r="M363" s="69" t="n">
        <v>279</v>
      </c>
      <c r="N363" s="69" t="n">
        <v>201</v>
      </c>
      <c r="O363" s="69" t="n">
        <v>275</v>
      </c>
      <c r="P363" s="69" t="n">
        <v>252</v>
      </c>
    </row>
    <row r="364" ht="15.75" customHeight="1" s="45">
      <c r="A364" s="61" t="n">
        <v>46170</v>
      </c>
      <c r="B364" s="62" t="inlineStr">
        <is>
          <t>Antes-Projeto</t>
        </is>
      </c>
      <c r="C364" s="70" t="inlineStr">
        <is>
          <t>Percentual de GAEs abertas classificadas</t>
        </is>
      </c>
      <c r="D364" s="71">
        <f>IFERROR(D363/D362,"-")</f>
        <v/>
      </c>
      <c r="E364" s="71">
        <f>IFERROR(E363/E362,"-")</f>
        <v/>
      </c>
      <c r="F364" s="71">
        <f>IFERROR(F363/F362,"-")</f>
        <v/>
      </c>
      <c r="G364" s="71">
        <f>IFERROR(G363/G362,"-")</f>
        <v/>
      </c>
      <c r="H364" s="71">
        <f>IFERROR(H363/H362,"-")</f>
        <v/>
      </c>
      <c r="I364" s="71">
        <f>IFERROR(I363/I362,"-")</f>
        <v/>
      </c>
      <c r="J364" s="71">
        <f>IFERROR(J363/J362,"-")</f>
        <v/>
      </c>
      <c r="K364" s="71">
        <f>IFERROR(K363/K362,"-")</f>
        <v/>
      </c>
      <c r="L364" s="71">
        <f>IFERROR(L363/L362,"-")</f>
        <v/>
      </c>
      <c r="M364" s="71">
        <f>IFERROR(M363/M362,"-")</f>
        <v/>
      </c>
      <c r="N364" s="71">
        <f>IFERROR(N363/N362,"-")</f>
        <v/>
      </c>
      <c r="O364" s="71">
        <f>IFERROR(O363/O362,"-")</f>
        <v/>
      </c>
      <c r="P364" s="71">
        <f>IFERROR(P363/P362,"-")</f>
        <v/>
      </c>
    </row>
    <row r="365" ht="15.75" customHeight="1" s="45">
      <c r="A365" s="61" t="n">
        <v>46170</v>
      </c>
      <c r="B365" s="62" t="inlineStr">
        <is>
          <t>Antes-Projeto</t>
        </is>
      </c>
      <c r="C365" s="72" t="inlineStr">
        <is>
          <t>Tempo Médio — 🟡 Amarelo (hh:mm)</t>
        </is>
      </c>
      <c r="D365" s="73" t="n">
        <v>0.05278935185185185</v>
      </c>
      <c r="E365" s="73" t="n">
        <v>0.1456134259259259</v>
      </c>
      <c r="F365" s="73" t="n">
        <v>0.06777777777777778</v>
      </c>
      <c r="G365" s="73" t="n">
        <v>0.03450231481481481</v>
      </c>
      <c r="H365" s="73" t="n">
        <v>0.05297453703703704</v>
      </c>
      <c r="I365" s="73" t="n">
        <v>0.01633101851851852</v>
      </c>
      <c r="J365" s="73" t="n">
        <v>0.04059027777777778</v>
      </c>
      <c r="K365" s="73" t="n">
        <v>0.06745370370370371</v>
      </c>
      <c r="L365" s="73" t="n">
        <v>0.05783564814814815</v>
      </c>
      <c r="M365" s="73" t="n">
        <v>0.06371527777777777</v>
      </c>
      <c r="N365" s="73" t="n">
        <v>0.06788194444444444</v>
      </c>
      <c r="O365" s="73" t="n">
        <v>0.0459375</v>
      </c>
      <c r="P365" s="73" t="n">
        <v>0.06725694444444444</v>
      </c>
    </row>
    <row r="366" ht="15.75" customHeight="1" s="45">
      <c r="A366" s="61" t="n">
        <v>46170</v>
      </c>
      <c r="B366" s="62" t="inlineStr">
        <is>
          <t>Antes-Projeto</t>
        </is>
      </c>
      <c r="C366" s="74" t="inlineStr">
        <is>
          <t>Tempo Médio — 🟠 Laranja (hh:mm)</t>
        </is>
      </c>
      <c r="D366" s="75" t="n">
        <v>0.007118055555555555</v>
      </c>
      <c r="E366" s="75" t="n">
        <v>0.01421296296296296</v>
      </c>
      <c r="F366" s="75" t="n">
        <v>0.007881944444444445</v>
      </c>
      <c r="G366" s="75" t="n">
        <v>0.01521990740740741</v>
      </c>
      <c r="H366" s="75" t="n">
        <v>0.00587962962962963</v>
      </c>
      <c r="I366" s="75" t="n">
        <v>0.004710648148148148</v>
      </c>
      <c r="J366" s="75" t="n">
        <v>0.007615740740740741</v>
      </c>
      <c r="K366" s="75" t="n">
        <v>0.01770833333333333</v>
      </c>
      <c r="L366" s="75" t="n">
        <v>0.0102662037037037</v>
      </c>
      <c r="M366" s="75" t="n">
        <v>0.01408564814814815</v>
      </c>
      <c r="N366" s="75" t="n">
        <v>0.009548611111111112</v>
      </c>
      <c r="O366" s="75" t="n">
        <v>0.01335648148148148</v>
      </c>
      <c r="P366" s="75" t="n">
        <v>0.01216435185185185</v>
      </c>
    </row>
    <row r="367" ht="15.75" customHeight="1" s="45">
      <c r="A367" s="76" t="n">
        <v>46170</v>
      </c>
      <c r="B367" s="77" t="inlineStr">
        <is>
          <t>Antes-Projeto</t>
        </is>
      </c>
      <c r="C367" s="78" t="inlineStr">
        <is>
          <t>Tempo Médio — 🟢 Verde   (hh:mm)</t>
        </is>
      </c>
      <c r="D367" s="79" t="n">
        <v>0.08842592592592592</v>
      </c>
      <c r="E367" s="79" t="n">
        <v>0.1615046296296296</v>
      </c>
      <c r="F367" s="79" t="n">
        <v>0.116712962962963</v>
      </c>
      <c r="G367" s="79" t="n">
        <v>0.1084837962962963</v>
      </c>
      <c r="H367" s="79" t="n">
        <v>0.07442129629629629</v>
      </c>
      <c r="I367" s="79" t="n">
        <v>0.07685185185185185</v>
      </c>
      <c r="J367" s="79" t="n">
        <v>0.08387731481481482</v>
      </c>
      <c r="K367" s="79" t="n">
        <v>0.1135300925925926</v>
      </c>
      <c r="L367" s="79" t="n">
        <v>0.08861111111111111</v>
      </c>
      <c r="M367" s="79" t="n">
        <v>0.1198148148148148</v>
      </c>
      <c r="N367" s="79" t="n">
        <v>0.09523148148148149</v>
      </c>
      <c r="O367" s="79" t="n">
        <v>0.1457638888888889</v>
      </c>
      <c r="P367" s="79" t="n">
        <v>0.1105555555555556</v>
      </c>
    </row>
    <row r="368" ht="15.75" customHeight="1" s="45">
      <c r="A368" s="57" t="n">
        <v>46171</v>
      </c>
      <c r="B368" s="58" t="inlineStr">
        <is>
          <t>Antes-Projeto</t>
        </is>
      </c>
      <c r="C368" s="59" t="inlineStr">
        <is>
          <t>Acolhim. + Atend. Urgência + Atend. UPA</t>
        </is>
      </c>
      <c r="D368" s="60">
        <f>SUM(D369:D371)</f>
        <v/>
      </c>
      <c r="E368" s="60">
        <f>SUM(E369:E371)</f>
        <v/>
      </c>
      <c r="F368" s="60">
        <f>SUM(F369:F371)</f>
        <v/>
      </c>
      <c r="G368" s="60">
        <f>SUM(G369:G371)</f>
        <v/>
      </c>
      <c r="H368" s="60">
        <f>SUM(H369:H371)</f>
        <v/>
      </c>
      <c r="I368" s="60">
        <f>SUM(I369:I371)</f>
        <v/>
      </c>
      <c r="J368" s="60">
        <f>SUM(J369:J371)</f>
        <v/>
      </c>
      <c r="K368" s="60">
        <f>SUM(K369:K371)</f>
        <v/>
      </c>
      <c r="L368" s="60">
        <f>SUM(L369:L371)</f>
        <v/>
      </c>
      <c r="M368" s="60">
        <f>SUM(M369:M371)</f>
        <v/>
      </c>
      <c r="N368" s="60">
        <f>SUM(N369:N371)</f>
        <v/>
      </c>
      <c r="O368" s="60">
        <f>SUM(O369:O371)</f>
        <v/>
      </c>
      <c r="P368" s="60">
        <f>SUM(P369:P371)</f>
        <v/>
      </c>
    </row>
    <row r="369" ht="15.75" customHeight="1" s="45">
      <c r="A369" s="61" t="n">
        <v>46171</v>
      </c>
      <c r="B369" s="62" t="inlineStr">
        <is>
          <t>Antes-Projeto</t>
        </is>
      </c>
      <c r="C369" s="63" t="inlineStr">
        <is>
          <t>Acolhimento c/ Classif. de Risco</t>
        </is>
      </c>
      <c r="D369" s="64" t="n">
        <v>205</v>
      </c>
      <c r="E369" s="64" t="n">
        <v>139</v>
      </c>
      <c r="F369" s="64" t="n">
        <v>143</v>
      </c>
      <c r="G369" s="64" t="n">
        <v>141</v>
      </c>
      <c r="H369" s="64" t="n">
        <v>98</v>
      </c>
      <c r="I369" s="64" t="n">
        <v>184</v>
      </c>
      <c r="J369" s="64" t="n">
        <v>107</v>
      </c>
      <c r="K369" s="64" t="n">
        <v>286</v>
      </c>
      <c r="L369" s="64" t="n">
        <v>130</v>
      </c>
      <c r="M369" s="64" t="n">
        <v>261</v>
      </c>
      <c r="N369" s="64" t="n">
        <v>209</v>
      </c>
      <c r="O369" s="64" t="n">
        <v>245</v>
      </c>
      <c r="P369" s="64" t="n">
        <v>249</v>
      </c>
    </row>
    <row r="370" ht="15.75" customHeight="1" s="45">
      <c r="A370" s="61" t="n">
        <v>46171</v>
      </c>
      <c r="B370" s="62" t="inlineStr">
        <is>
          <t>Antes-Projeto</t>
        </is>
      </c>
      <c r="C370" s="65" t="inlineStr">
        <is>
          <t>Atend. Urgência Obs. ≤ 24h</t>
        </is>
      </c>
      <c r="D370" s="66" t="n">
        <v>23</v>
      </c>
      <c r="E370" s="66" t="n">
        <v>50</v>
      </c>
      <c r="F370" s="66" t="n">
        <v>26</v>
      </c>
      <c r="G370" s="66" t="n">
        <v>11</v>
      </c>
      <c r="H370" s="66" t="n">
        <v>8</v>
      </c>
      <c r="I370" s="66" t="n">
        <v>29</v>
      </c>
      <c r="J370" s="66" t="n">
        <v>15</v>
      </c>
      <c r="K370" s="66" t="n">
        <v>69</v>
      </c>
      <c r="L370" s="66" t="n">
        <v>33</v>
      </c>
      <c r="M370" s="66" t="n">
        <v>26</v>
      </c>
      <c r="N370" s="66" t="n">
        <v>67</v>
      </c>
      <c r="O370" s="66" t="n">
        <v>12</v>
      </c>
      <c r="P370" s="66" t="n">
        <v>26</v>
      </c>
    </row>
    <row r="371" ht="15.75" customHeight="1" s="45">
      <c r="A371" s="61" t="n">
        <v>46171</v>
      </c>
      <c r="B371" s="62" t="inlineStr">
        <is>
          <t>Antes-Projeto</t>
        </is>
      </c>
      <c r="C371" s="63" t="inlineStr">
        <is>
          <t>Atend. Médico em UPA</t>
        </is>
      </c>
      <c r="D371" s="64" t="n">
        <v>154</v>
      </c>
      <c r="E371" s="64" t="n">
        <v>59</v>
      </c>
      <c r="F371" s="64" t="n">
        <v>95</v>
      </c>
      <c r="G371" s="64" t="n">
        <v>55</v>
      </c>
      <c r="H371" s="64" t="n">
        <v>52</v>
      </c>
      <c r="I371" s="64" t="n">
        <v>150</v>
      </c>
      <c r="J371" s="64" t="n">
        <v>73</v>
      </c>
      <c r="K371" s="64" t="n">
        <v>167</v>
      </c>
      <c r="L371" s="64" t="n">
        <v>75</v>
      </c>
      <c r="M371" s="64" t="n">
        <v>176</v>
      </c>
      <c r="N371" s="64" t="n">
        <v>128</v>
      </c>
      <c r="O371" s="64" t="n">
        <v>218</v>
      </c>
      <c r="P371" s="64" t="n">
        <v>195</v>
      </c>
    </row>
    <row r="372" ht="15.75" customHeight="1" s="45">
      <c r="A372" s="61" t="n">
        <v>46171</v>
      </c>
      <c r="B372" s="62" t="inlineStr">
        <is>
          <t>Antes-Projeto</t>
        </is>
      </c>
      <c r="C372" s="65" t="inlineStr">
        <is>
          <t>Exames Laboratoriais</t>
        </is>
      </c>
      <c r="D372" s="66" t="n">
        <v>591</v>
      </c>
      <c r="E372" s="66" t="n">
        <v>346</v>
      </c>
      <c r="F372" s="66" t="n">
        <v>273</v>
      </c>
      <c r="G372" s="66" t="n">
        <v>381</v>
      </c>
      <c r="H372" s="66" t="n">
        <v>220</v>
      </c>
      <c r="I372" s="66" t="n">
        <v>488</v>
      </c>
      <c r="J372" s="66" t="n">
        <v>362</v>
      </c>
      <c r="K372" s="66" t="n">
        <v>746</v>
      </c>
      <c r="L372" s="66" t="n">
        <v>747</v>
      </c>
      <c r="M372" s="66" t="n">
        <v>472</v>
      </c>
      <c r="N372" s="66" t="n">
        <v>561</v>
      </c>
      <c r="O372" s="66" t="n">
        <v>492</v>
      </c>
      <c r="P372" s="66" t="n">
        <v>587</v>
      </c>
    </row>
    <row r="373" ht="15.75" customHeight="1" s="45">
      <c r="A373" s="61" t="n">
        <v>46171</v>
      </c>
      <c r="B373" s="62" t="inlineStr">
        <is>
          <t>Antes-Projeto</t>
        </is>
      </c>
      <c r="C373" s="63" t="inlineStr">
        <is>
          <t>Radiografias</t>
        </is>
      </c>
      <c r="D373" s="64" t="n">
        <v>30</v>
      </c>
      <c r="E373" s="64" t="n">
        <v>24</v>
      </c>
      <c r="F373" s="64" t="n">
        <v>23</v>
      </c>
      <c r="G373" s="64" t="n">
        <v>20</v>
      </c>
      <c r="H373" s="64" t="n">
        <v>9</v>
      </c>
      <c r="I373" s="64" t="n">
        <v>22</v>
      </c>
      <c r="J373" s="64" t="n">
        <v>23</v>
      </c>
      <c r="K373" s="64" t="n">
        <v>38</v>
      </c>
      <c r="L373" s="64" t="n">
        <v>16</v>
      </c>
      <c r="M373" s="64" t="n">
        <v>32</v>
      </c>
      <c r="N373" s="64" t="n">
        <v>30</v>
      </c>
      <c r="O373" s="64" t="n">
        <v>44</v>
      </c>
      <c r="P373" s="64" t="n">
        <v>50</v>
      </c>
    </row>
    <row r="374" ht="15.75" customHeight="1" s="45">
      <c r="A374" s="61" t="n">
        <v>46171</v>
      </c>
      <c r="B374" s="62" t="inlineStr">
        <is>
          <t>Antes-Projeto</t>
        </is>
      </c>
      <c r="C374" s="65" t="inlineStr">
        <is>
          <t>Eletrocardiogramas</t>
        </is>
      </c>
      <c r="D374" s="66" t="n">
        <v>22</v>
      </c>
      <c r="E374" s="66" t="n">
        <v>11</v>
      </c>
      <c r="F374" s="66" t="n">
        <v>19</v>
      </c>
      <c r="G374" s="66" t="n">
        <v>6</v>
      </c>
      <c r="H374" s="66" t="n">
        <v>3</v>
      </c>
      <c r="I374" s="66" t="n">
        <v>15</v>
      </c>
      <c r="J374" s="67" t="n">
        <v>0</v>
      </c>
      <c r="K374" s="66" t="n">
        <v>23</v>
      </c>
      <c r="L374" s="66" t="n">
        <v>21</v>
      </c>
      <c r="M374" s="66" t="n">
        <v>2</v>
      </c>
      <c r="N374" s="66" t="n">
        <v>33</v>
      </c>
      <c r="O374" s="66" t="n">
        <v>18</v>
      </c>
      <c r="P374" s="66" t="n">
        <v>29</v>
      </c>
    </row>
    <row r="375" ht="15.75" customHeight="1" s="45">
      <c r="A375" s="61" t="n">
        <v>46171</v>
      </c>
      <c r="B375" s="62" t="inlineStr">
        <is>
          <t>Antes-Projeto</t>
        </is>
      </c>
      <c r="C375" s="68" t="inlineStr">
        <is>
          <t>GAEs Abertas</t>
        </is>
      </c>
      <c r="D375" s="69" t="n">
        <v>220</v>
      </c>
      <c r="E375" s="69" t="n">
        <v>146</v>
      </c>
      <c r="F375" s="69" t="n">
        <v>149</v>
      </c>
      <c r="G375" s="69" t="n">
        <v>146</v>
      </c>
      <c r="H375" s="69" t="n">
        <v>121</v>
      </c>
      <c r="I375" s="69" t="n">
        <v>206</v>
      </c>
      <c r="J375" s="69" t="n">
        <v>111</v>
      </c>
      <c r="K375" s="69" t="n">
        <v>306</v>
      </c>
      <c r="L375" s="69" t="n">
        <v>137</v>
      </c>
      <c r="M375" s="69" t="n">
        <v>273</v>
      </c>
      <c r="N375" s="69" t="n">
        <v>218</v>
      </c>
      <c r="O375" s="69" t="n">
        <v>253</v>
      </c>
      <c r="P375" s="69" t="n">
        <v>264</v>
      </c>
    </row>
    <row r="376" ht="15.75" customHeight="1" s="45">
      <c r="A376" s="61" t="n">
        <v>46171</v>
      </c>
      <c r="B376" s="62" t="inlineStr">
        <is>
          <t>Antes-Projeto</t>
        </is>
      </c>
      <c r="C376" s="68" t="inlineStr">
        <is>
          <t>GAEs Classificadas</t>
        </is>
      </c>
      <c r="D376" s="69" t="n">
        <v>208</v>
      </c>
      <c r="E376" s="69" t="n">
        <v>140</v>
      </c>
      <c r="F376" s="69" t="n">
        <v>144</v>
      </c>
      <c r="G376" s="69" t="n">
        <v>140</v>
      </c>
      <c r="H376" s="69" t="n">
        <v>99</v>
      </c>
      <c r="I376" s="69" t="n">
        <v>183</v>
      </c>
      <c r="J376" s="69" t="n">
        <v>105</v>
      </c>
      <c r="K376" s="69" t="n">
        <v>283</v>
      </c>
      <c r="L376" s="69" t="n">
        <v>132</v>
      </c>
      <c r="M376" s="69" t="n">
        <v>258</v>
      </c>
      <c r="N376" s="69" t="n">
        <v>209</v>
      </c>
      <c r="O376" s="69" t="n">
        <v>245</v>
      </c>
      <c r="P376" s="69" t="n">
        <v>250</v>
      </c>
    </row>
    <row r="377" ht="15.75" customHeight="1" s="45">
      <c r="A377" s="61" t="n">
        <v>46171</v>
      </c>
      <c r="B377" s="62" t="inlineStr">
        <is>
          <t>Antes-Projeto</t>
        </is>
      </c>
      <c r="C377" s="70" t="inlineStr">
        <is>
          <t>Percentual de GAEs abertas classificadas</t>
        </is>
      </c>
      <c r="D377" s="71">
        <f>IFERROR(D376/D375,"-")</f>
        <v/>
      </c>
      <c r="E377" s="71">
        <f>IFERROR(E376/E375,"-")</f>
        <v/>
      </c>
      <c r="F377" s="71">
        <f>IFERROR(F376/F375,"-")</f>
        <v/>
      </c>
      <c r="G377" s="71">
        <f>IFERROR(G376/G375,"-")</f>
        <v/>
      </c>
      <c r="H377" s="71">
        <f>IFERROR(H376/H375,"-")</f>
        <v/>
      </c>
      <c r="I377" s="71">
        <f>IFERROR(I376/I375,"-")</f>
        <v/>
      </c>
      <c r="J377" s="71">
        <f>IFERROR(J376/J375,"-")</f>
        <v/>
      </c>
      <c r="K377" s="71">
        <f>IFERROR(K376/K375,"-")</f>
        <v/>
      </c>
      <c r="L377" s="71">
        <f>IFERROR(L376/L375,"-")</f>
        <v/>
      </c>
      <c r="M377" s="71">
        <f>IFERROR(M376/M375,"-")</f>
        <v/>
      </c>
      <c r="N377" s="71">
        <f>IFERROR(N376/N375,"-")</f>
        <v/>
      </c>
      <c r="O377" s="71">
        <f>IFERROR(O376/O375,"-")</f>
        <v/>
      </c>
      <c r="P377" s="71">
        <f>IFERROR(P376/P375,"-")</f>
        <v/>
      </c>
    </row>
    <row r="378" ht="15.75" customHeight="1" s="45">
      <c r="A378" s="61" t="n">
        <v>46171</v>
      </c>
      <c r="B378" s="62" t="inlineStr">
        <is>
          <t>Antes-Projeto</t>
        </is>
      </c>
      <c r="C378" s="72" t="inlineStr">
        <is>
          <t>Tempo Médio — 🟡 Amarelo (hh:mm)</t>
        </is>
      </c>
      <c r="D378" s="73" t="n">
        <v>0.03537037037037037</v>
      </c>
      <c r="E378" s="73" t="n">
        <v>0.1288773148148148</v>
      </c>
      <c r="F378" s="73" t="n">
        <v>0.08918981481481482</v>
      </c>
      <c r="G378" s="73" t="n">
        <v>0.04465277777777778</v>
      </c>
      <c r="H378" s="73" t="n">
        <v>0.07015046296296296</v>
      </c>
      <c r="I378" s="73" t="n">
        <v>0.02700231481481482</v>
      </c>
      <c r="J378" s="73" t="n">
        <v>0.04363425925925926</v>
      </c>
      <c r="K378" s="73" t="n">
        <v>0.1076273148148148</v>
      </c>
      <c r="L378" s="73" t="n">
        <v>0.07930555555555556</v>
      </c>
      <c r="M378" s="73" t="n">
        <v>0.03739583333333334</v>
      </c>
      <c r="N378" s="73" t="n">
        <v>0.08488425925925926</v>
      </c>
      <c r="O378" s="73" t="n">
        <v>0.03979166666666667</v>
      </c>
      <c r="P378" s="73" t="n">
        <v>0.05475694444444444</v>
      </c>
    </row>
    <row r="379" ht="15.75" customHeight="1" s="45">
      <c r="A379" s="61" t="n">
        <v>46171</v>
      </c>
      <c r="B379" s="62" t="inlineStr">
        <is>
          <t>Antes-Projeto</t>
        </is>
      </c>
      <c r="C379" s="74" t="inlineStr">
        <is>
          <t>Tempo Médio — 🟠 Laranja (hh:mm)</t>
        </is>
      </c>
      <c r="D379" s="75" t="n">
        <v>0.009942129629629629</v>
      </c>
      <c r="E379" s="75" t="n">
        <v>0.0128125</v>
      </c>
      <c r="F379" s="75" t="n">
        <v>0.01153935185185185</v>
      </c>
      <c r="G379" s="75" t="n">
        <v>0.01077546296296296</v>
      </c>
      <c r="H379" s="75" t="n">
        <v>0.006064814814814815</v>
      </c>
      <c r="I379" s="75" t="n">
        <v>0.002939814814814815</v>
      </c>
      <c r="J379" s="75" t="n">
        <v>0.007835648148148149</v>
      </c>
      <c r="K379" s="75" t="n">
        <v>0.02391203703703704</v>
      </c>
      <c r="L379" s="75" t="n">
        <v>0.01480324074074074</v>
      </c>
      <c r="M379" s="75" t="n">
        <v>0.01105324074074074</v>
      </c>
      <c r="N379" s="75" t="n">
        <v>0.01599537037037037</v>
      </c>
      <c r="O379" s="75" t="n">
        <v>0.008738425925925926</v>
      </c>
      <c r="P379" s="75" t="n">
        <v>0.01021990740740741</v>
      </c>
    </row>
    <row r="380" ht="15.75" customHeight="1" s="45">
      <c r="A380" s="76" t="n">
        <v>46171</v>
      </c>
      <c r="B380" s="77" t="inlineStr">
        <is>
          <t>Antes-Projeto</t>
        </is>
      </c>
      <c r="C380" s="78" t="inlineStr">
        <is>
          <t>Tempo Médio — 🟢 Verde   (hh:mm)</t>
        </is>
      </c>
      <c r="D380" s="79" t="n">
        <v>0.1167592592592593</v>
      </c>
      <c r="E380" s="79" t="n">
        <v>0.187662037037037</v>
      </c>
      <c r="F380" s="79" t="n">
        <v>0.1050578703703704</v>
      </c>
      <c r="G380" s="79" t="n">
        <v>0.1196990740740741</v>
      </c>
      <c r="H380" s="79" t="n">
        <v>0.09657407407407408</v>
      </c>
      <c r="I380" s="79" t="n">
        <v>0.07305555555555555</v>
      </c>
      <c r="J380" s="79" t="n">
        <v>0.07736111111111112</v>
      </c>
      <c r="K380" s="79" t="n">
        <v>0.1149421296296296</v>
      </c>
      <c r="L380" s="79" t="n">
        <v>0.1240393518518518</v>
      </c>
      <c r="M380" s="79" t="n">
        <v>0.04269675925925926</v>
      </c>
      <c r="N380" s="79" t="n">
        <v>0.1127430555555556</v>
      </c>
      <c r="O380" s="79" t="n">
        <v>0.1068287037037037</v>
      </c>
      <c r="P380" s="79" t="n">
        <v>0.09436342592592592</v>
      </c>
    </row>
    <row r="381" ht="15.75" customHeight="1" s="45">
      <c r="A381" s="57" t="n">
        <v>46172</v>
      </c>
      <c r="B381" s="58" t="inlineStr">
        <is>
          <t>Antes-Projeto</t>
        </is>
      </c>
      <c r="C381" s="59" t="inlineStr">
        <is>
          <t>Acolhim. + Atend. Urgência + Atend. UPA</t>
        </is>
      </c>
      <c r="D381" s="60">
        <f>SUM(D382:D384)</f>
        <v/>
      </c>
      <c r="E381" s="60">
        <f>SUM(E382:E384)</f>
        <v/>
      </c>
      <c r="F381" s="60">
        <f>SUM(F382:F384)</f>
        <v/>
      </c>
      <c r="G381" s="60">
        <f>SUM(G382:G384)</f>
        <v/>
      </c>
      <c r="H381" s="60">
        <f>SUM(H382:H384)</f>
        <v/>
      </c>
      <c r="I381" s="60">
        <f>SUM(I382:I384)</f>
        <v/>
      </c>
      <c r="J381" s="60">
        <f>SUM(J382:J384)</f>
        <v/>
      </c>
      <c r="K381" s="60">
        <f>SUM(K382:K384)</f>
        <v/>
      </c>
      <c r="L381" s="60">
        <f>SUM(L382:L384)</f>
        <v/>
      </c>
      <c r="M381" s="60">
        <f>SUM(M382:M384)</f>
        <v/>
      </c>
      <c r="N381" s="60">
        <f>SUM(N382:N384)</f>
        <v/>
      </c>
      <c r="O381" s="60">
        <f>SUM(O382:O384)</f>
        <v/>
      </c>
      <c r="P381" s="60">
        <f>SUM(P382:P384)</f>
        <v/>
      </c>
    </row>
    <row r="382" ht="15.75" customHeight="1" s="45">
      <c r="A382" s="61" t="n">
        <v>46172</v>
      </c>
      <c r="B382" s="62" t="inlineStr">
        <is>
          <t>Antes-Projeto</t>
        </is>
      </c>
      <c r="C382" s="65" t="inlineStr">
        <is>
          <t>Acolhimento c/ Classif. de Risco</t>
        </is>
      </c>
      <c r="D382" s="66" t="n">
        <v>167</v>
      </c>
      <c r="E382" s="66" t="n">
        <v>143</v>
      </c>
      <c r="F382" s="66" t="n">
        <v>111</v>
      </c>
      <c r="G382" s="66" t="n">
        <v>72</v>
      </c>
      <c r="H382" s="66" t="n">
        <v>140</v>
      </c>
      <c r="I382" s="66" t="n">
        <v>171</v>
      </c>
      <c r="J382" s="66" t="n">
        <v>86</v>
      </c>
      <c r="K382" s="66" t="n">
        <v>258</v>
      </c>
      <c r="L382" s="66" t="n">
        <v>139</v>
      </c>
      <c r="M382" s="66" t="n">
        <v>196</v>
      </c>
      <c r="N382" s="66" t="n">
        <v>184</v>
      </c>
      <c r="O382" s="66" t="n">
        <v>201</v>
      </c>
      <c r="P382" s="66" t="n">
        <v>225</v>
      </c>
    </row>
    <row r="383" ht="15.75" customHeight="1" s="45">
      <c r="A383" s="61" t="n">
        <v>46172</v>
      </c>
      <c r="B383" s="62" t="inlineStr">
        <is>
          <t>Antes-Projeto</t>
        </is>
      </c>
      <c r="C383" s="63" t="inlineStr">
        <is>
          <t>Atend. Urgência Obs. ≤ 24h</t>
        </is>
      </c>
      <c r="D383" s="64" t="n">
        <v>39</v>
      </c>
      <c r="E383" s="64" t="n">
        <v>47</v>
      </c>
      <c r="F383" s="64" t="n">
        <v>24</v>
      </c>
      <c r="G383" s="64" t="n">
        <v>18</v>
      </c>
      <c r="H383" s="64" t="n">
        <v>14</v>
      </c>
      <c r="I383" s="64" t="n">
        <v>18</v>
      </c>
      <c r="J383" s="64" t="n">
        <v>15</v>
      </c>
      <c r="K383" s="64" t="n">
        <v>78</v>
      </c>
      <c r="L383" s="64" t="n">
        <v>36</v>
      </c>
      <c r="M383" s="64" t="n">
        <v>12</v>
      </c>
      <c r="N383" s="64" t="n">
        <v>44</v>
      </c>
      <c r="O383" s="64" t="n">
        <v>7</v>
      </c>
      <c r="P383" s="64" t="n">
        <v>35</v>
      </c>
    </row>
    <row r="384" ht="15.75" customHeight="1" s="45">
      <c r="A384" s="61" t="n">
        <v>46172</v>
      </c>
      <c r="B384" s="62" t="inlineStr">
        <is>
          <t>Antes-Projeto</t>
        </is>
      </c>
      <c r="C384" s="65" t="inlineStr">
        <is>
          <t>Atend. Médico em UPA</t>
        </is>
      </c>
      <c r="D384" s="66" t="n">
        <v>92</v>
      </c>
      <c r="E384" s="66" t="n">
        <v>54</v>
      </c>
      <c r="F384" s="66" t="n">
        <v>56</v>
      </c>
      <c r="G384" s="66" t="n">
        <v>55</v>
      </c>
      <c r="H384" s="66" t="n">
        <v>60</v>
      </c>
      <c r="I384" s="66" t="n">
        <v>150</v>
      </c>
      <c r="J384" s="66" t="n">
        <v>59</v>
      </c>
      <c r="K384" s="66" t="n">
        <v>223</v>
      </c>
      <c r="L384" s="66" t="n">
        <v>89</v>
      </c>
      <c r="M384" s="66" t="n">
        <v>122</v>
      </c>
      <c r="N384" s="66" t="n">
        <v>80</v>
      </c>
      <c r="O384" s="66" t="n">
        <v>177</v>
      </c>
      <c r="P384" s="66" t="n">
        <v>110</v>
      </c>
    </row>
    <row r="385" ht="15.75" customHeight="1" s="45">
      <c r="A385" s="61" t="n">
        <v>46172</v>
      </c>
      <c r="B385" s="62" t="inlineStr">
        <is>
          <t>Antes-Projeto</t>
        </is>
      </c>
      <c r="C385" s="63" t="inlineStr">
        <is>
          <t>Exames Laboratoriais</t>
        </is>
      </c>
      <c r="D385" s="64" t="n">
        <v>493</v>
      </c>
      <c r="E385" s="64" t="n">
        <v>321</v>
      </c>
      <c r="F385" s="64" t="n">
        <v>442</v>
      </c>
      <c r="G385" s="64" t="n">
        <v>360</v>
      </c>
      <c r="H385" s="64" t="n">
        <v>351</v>
      </c>
      <c r="I385" s="64" t="n">
        <v>449</v>
      </c>
      <c r="J385" s="64" t="n">
        <v>220</v>
      </c>
      <c r="K385" s="64" t="n">
        <v>754</v>
      </c>
      <c r="L385" s="64" t="n">
        <v>549</v>
      </c>
      <c r="M385" s="64" t="n">
        <v>558</v>
      </c>
      <c r="N385" s="64" t="n">
        <v>464</v>
      </c>
      <c r="O385" s="64" t="n">
        <v>530</v>
      </c>
      <c r="P385" s="64" t="n">
        <v>294</v>
      </c>
    </row>
    <row r="386" ht="15.75" customHeight="1" s="45">
      <c r="A386" s="61" t="n">
        <v>46172</v>
      </c>
      <c r="B386" s="62" t="inlineStr">
        <is>
          <t>Antes-Projeto</t>
        </is>
      </c>
      <c r="C386" s="65" t="inlineStr">
        <is>
          <t>Radiografias</t>
        </is>
      </c>
      <c r="D386" s="66" t="n">
        <v>19</v>
      </c>
      <c r="E386" s="66" t="n">
        <v>9</v>
      </c>
      <c r="F386" s="66" t="n">
        <v>18</v>
      </c>
      <c r="G386" s="66" t="n">
        <v>12</v>
      </c>
      <c r="H386" s="66" t="n">
        <v>18</v>
      </c>
      <c r="I386" s="66" t="n">
        <v>26</v>
      </c>
      <c r="J386" s="66" t="n">
        <v>9</v>
      </c>
      <c r="K386" s="66" t="n">
        <v>43</v>
      </c>
      <c r="L386" s="66" t="n">
        <v>18</v>
      </c>
      <c r="M386" s="66" t="n">
        <v>33</v>
      </c>
      <c r="N386" s="66" t="n">
        <v>24</v>
      </c>
      <c r="O386" s="66" t="n">
        <v>59</v>
      </c>
      <c r="P386" s="66" t="n">
        <v>47</v>
      </c>
    </row>
    <row r="387" ht="15.75" customHeight="1" s="45">
      <c r="A387" s="61" t="n">
        <v>46172</v>
      </c>
      <c r="B387" s="62" t="inlineStr">
        <is>
          <t>Antes-Projeto</t>
        </is>
      </c>
      <c r="C387" s="63" t="inlineStr">
        <is>
          <t>Eletrocardiogramas</t>
        </is>
      </c>
      <c r="D387" s="64" t="n">
        <v>7</v>
      </c>
      <c r="E387" s="64" t="n">
        <v>11</v>
      </c>
      <c r="F387" s="64" t="n">
        <v>22</v>
      </c>
      <c r="G387" s="64" t="n">
        <v>7</v>
      </c>
      <c r="H387" s="64" t="n">
        <v>6</v>
      </c>
      <c r="I387" s="64" t="n">
        <v>13</v>
      </c>
      <c r="J387" s="67" t="n">
        <v>0</v>
      </c>
      <c r="K387" s="64" t="n">
        <v>14</v>
      </c>
      <c r="L387" s="64" t="n">
        <v>14</v>
      </c>
      <c r="M387" s="67" t="n">
        <v>0</v>
      </c>
      <c r="N387" s="64" t="n">
        <v>19</v>
      </c>
      <c r="O387" s="64" t="n">
        <v>11</v>
      </c>
      <c r="P387" s="64" t="n">
        <v>13</v>
      </c>
    </row>
    <row r="388" ht="15.75" customHeight="1" s="45">
      <c r="A388" s="61" t="n">
        <v>46172</v>
      </c>
      <c r="B388" s="62" t="inlineStr">
        <is>
          <t>Antes-Projeto</t>
        </is>
      </c>
      <c r="C388" s="68" t="inlineStr">
        <is>
          <t>GAEs Abertas</t>
        </is>
      </c>
      <c r="D388" s="69" t="n">
        <v>170</v>
      </c>
      <c r="E388" s="69" t="n">
        <v>148</v>
      </c>
      <c r="F388" s="69" t="n">
        <v>117</v>
      </c>
      <c r="G388" s="69" t="n">
        <v>109</v>
      </c>
      <c r="H388" s="69" t="n">
        <v>145</v>
      </c>
      <c r="I388" s="69" t="n">
        <v>192</v>
      </c>
      <c r="J388" s="69" t="n">
        <v>89</v>
      </c>
      <c r="K388" s="69" t="n">
        <v>283</v>
      </c>
      <c r="L388" s="69" t="n">
        <v>147</v>
      </c>
      <c r="M388" s="69" t="n">
        <v>221</v>
      </c>
      <c r="N388" s="69" t="n">
        <v>187</v>
      </c>
      <c r="O388" s="69" t="n">
        <v>202</v>
      </c>
      <c r="P388" s="69" t="n">
        <v>257</v>
      </c>
    </row>
    <row r="389" ht="15.75" customHeight="1" s="45">
      <c r="A389" s="61" t="n">
        <v>46172</v>
      </c>
      <c r="B389" s="62" t="inlineStr">
        <is>
          <t>Antes-Projeto</t>
        </is>
      </c>
      <c r="C389" s="68" t="inlineStr">
        <is>
          <t>GAEs Classificadas</t>
        </is>
      </c>
      <c r="D389" s="69" t="n">
        <v>163</v>
      </c>
      <c r="E389" s="69" t="n">
        <v>141</v>
      </c>
      <c r="F389" s="69" t="n">
        <v>111</v>
      </c>
      <c r="G389" s="69" t="n">
        <v>71</v>
      </c>
      <c r="H389" s="69" t="n">
        <v>137</v>
      </c>
      <c r="I389" s="69" t="n">
        <v>167</v>
      </c>
      <c r="J389" s="69" t="n">
        <v>86</v>
      </c>
      <c r="K389" s="69" t="n">
        <v>255</v>
      </c>
      <c r="L389" s="69" t="n">
        <v>138</v>
      </c>
      <c r="M389" s="69" t="n">
        <v>197</v>
      </c>
      <c r="N389" s="69" t="n">
        <v>184</v>
      </c>
      <c r="O389" s="69" t="n">
        <v>200</v>
      </c>
      <c r="P389" s="69" t="n">
        <v>225</v>
      </c>
    </row>
    <row r="390" ht="15.75" customHeight="1" s="45">
      <c r="A390" s="61" t="n">
        <v>46172</v>
      </c>
      <c r="B390" s="62" t="inlineStr">
        <is>
          <t>Antes-Projeto</t>
        </is>
      </c>
      <c r="C390" s="70" t="inlineStr">
        <is>
          <t>Percentual de GAEs abertas classificadas</t>
        </is>
      </c>
      <c r="D390" s="71">
        <f>IFERROR(D389/D388,"-")</f>
        <v/>
      </c>
      <c r="E390" s="71">
        <f>IFERROR(E389/E388,"-")</f>
        <v/>
      </c>
      <c r="F390" s="71">
        <f>IFERROR(F389/F388,"-")</f>
        <v/>
      </c>
      <c r="G390" s="71">
        <f>IFERROR(G389/G388,"-")</f>
        <v/>
      </c>
      <c r="H390" s="71">
        <f>IFERROR(H389/H388,"-")</f>
        <v/>
      </c>
      <c r="I390" s="71">
        <f>IFERROR(I389/I388,"-")</f>
        <v/>
      </c>
      <c r="J390" s="71">
        <f>IFERROR(J389/J388,"-")</f>
        <v/>
      </c>
      <c r="K390" s="71">
        <f>IFERROR(K389/K388,"-")</f>
        <v/>
      </c>
      <c r="L390" s="71">
        <f>IFERROR(L389/L388,"-")</f>
        <v/>
      </c>
      <c r="M390" s="71">
        <f>IFERROR(M389/M388,"-")</f>
        <v/>
      </c>
      <c r="N390" s="71">
        <f>IFERROR(N389/N388,"-")</f>
        <v/>
      </c>
      <c r="O390" s="71">
        <f>IFERROR(O389/O388,"-")</f>
        <v/>
      </c>
      <c r="P390" s="71">
        <f>IFERROR(P389/P388,"-")</f>
        <v/>
      </c>
    </row>
    <row r="391" ht="15.75" customHeight="1" s="45">
      <c r="A391" s="61" t="n">
        <v>46172</v>
      </c>
      <c r="B391" s="62" t="inlineStr">
        <is>
          <t>Antes-Projeto</t>
        </is>
      </c>
      <c r="C391" s="72" t="inlineStr">
        <is>
          <t>Tempo Médio — 🟡 Amarelo (hh:mm)</t>
        </is>
      </c>
      <c r="D391" s="73" t="n">
        <v>0.0738425925925926</v>
      </c>
      <c r="E391" s="73" t="n">
        <v>0.04821759259259259</v>
      </c>
      <c r="F391" s="73" t="n">
        <v>0.100462962962963</v>
      </c>
      <c r="G391" s="73" t="n">
        <v>0.06016203703703703</v>
      </c>
      <c r="H391" s="73" t="n">
        <v>0.07627314814814815</v>
      </c>
      <c r="I391" s="73" t="n">
        <v>0.03841435185185185</v>
      </c>
      <c r="J391" s="73" t="n">
        <v>0.04320601851851852</v>
      </c>
      <c r="K391" s="73" t="n">
        <v>0.06799768518518519</v>
      </c>
      <c r="L391" s="73" t="n">
        <v>0.1108333333333333</v>
      </c>
      <c r="M391" s="73" t="n">
        <v>0.0484375</v>
      </c>
      <c r="N391" s="73" t="n">
        <v>0.05071759259259259</v>
      </c>
      <c r="O391" s="73" t="n">
        <v>0.02304398148148148</v>
      </c>
      <c r="P391" s="73" t="n">
        <v>0.04634259259259259</v>
      </c>
    </row>
    <row r="392" ht="15.75" customHeight="1" s="45">
      <c r="A392" s="61" t="n">
        <v>46172</v>
      </c>
      <c r="B392" s="62" t="inlineStr">
        <is>
          <t>Antes-Projeto</t>
        </is>
      </c>
      <c r="C392" s="74" t="inlineStr">
        <is>
          <t>Tempo Médio — 🟠 Laranja (hh:mm)</t>
        </is>
      </c>
      <c r="D392" s="75" t="n">
        <v>0.0166087962962963</v>
      </c>
      <c r="E392" s="75" t="n">
        <v>0.0262037037037037</v>
      </c>
      <c r="F392" s="75" t="n">
        <v>0.00832175925925926</v>
      </c>
      <c r="G392" s="75" t="n">
        <v>0.008437500000000001</v>
      </c>
      <c r="H392" s="75" t="n">
        <v>0.008981481481481481</v>
      </c>
      <c r="I392" s="75" t="n">
        <v>0.005613425925925926</v>
      </c>
      <c r="J392" s="75" t="n">
        <v>0.005717592592592593</v>
      </c>
      <c r="K392" s="75" t="n">
        <v>0.01045138888888889</v>
      </c>
      <c r="L392" s="75" t="n">
        <v>0.009918981481481482</v>
      </c>
      <c r="M392" s="75" t="n">
        <v>0.01864583333333333</v>
      </c>
      <c r="N392" s="75" t="n">
        <v>0.01041666666666667</v>
      </c>
      <c r="O392" s="75" t="n">
        <v>0.01140046296296296</v>
      </c>
      <c r="P392" s="75" t="n">
        <v>0.01763888888888889</v>
      </c>
    </row>
    <row r="393" ht="15.75" customHeight="1" s="45">
      <c r="A393" s="76" t="n">
        <v>46172</v>
      </c>
      <c r="B393" s="77" t="inlineStr">
        <is>
          <t>Antes-Projeto</t>
        </is>
      </c>
      <c r="C393" s="78" t="inlineStr">
        <is>
          <t>Tempo Médio — 🟢 Verde   (hh:mm)</t>
        </is>
      </c>
      <c r="D393" s="79" t="n">
        <v>0.07824074074074074</v>
      </c>
      <c r="E393" s="79" t="n">
        <v>0.2349421296296296</v>
      </c>
      <c r="F393" s="79" t="n">
        <v>0.06484953703703704</v>
      </c>
      <c r="G393" s="79" t="n">
        <v>0.1235300925925926</v>
      </c>
      <c r="H393" s="79" t="n">
        <v>0.1391087962962963</v>
      </c>
      <c r="I393" s="79" t="n">
        <v>0.1341898148148148</v>
      </c>
      <c r="J393" s="79" t="n">
        <v>0.07585648148148148</v>
      </c>
      <c r="K393" s="79" t="n">
        <v>0.1141087962962963</v>
      </c>
      <c r="L393" s="79" t="n">
        <v>0.09555555555555556</v>
      </c>
      <c r="M393" s="79" t="n">
        <v>0.09253472222222223</v>
      </c>
      <c r="N393" s="79" t="n">
        <v>0.09844907407407408</v>
      </c>
      <c r="O393" s="79" t="n">
        <v>0.04082175925925926</v>
      </c>
      <c r="P393" s="79" t="n">
        <v>0.05243055555555556</v>
      </c>
    </row>
    <row r="394" ht="15.75" customHeight="1" s="45">
      <c r="A394" s="57" t="n">
        <v>46173</v>
      </c>
      <c r="B394" s="58" t="inlineStr">
        <is>
          <t>Antes-Projeto</t>
        </is>
      </c>
      <c r="C394" s="59" t="inlineStr">
        <is>
          <t>Acolhim. + Atend. Urgência + Atend. UPA</t>
        </is>
      </c>
      <c r="D394" s="60">
        <f>SUM(D395:D397)</f>
        <v/>
      </c>
      <c r="E394" s="60">
        <f>SUM(E395:E397)</f>
        <v/>
      </c>
      <c r="F394" s="60">
        <f>SUM(F395:F397)</f>
        <v/>
      </c>
      <c r="G394" s="60">
        <f>SUM(G395:G397)</f>
        <v/>
      </c>
      <c r="H394" s="60">
        <f>SUM(H395:H397)</f>
        <v/>
      </c>
      <c r="I394" s="60">
        <f>SUM(I395:I397)</f>
        <v/>
      </c>
      <c r="J394" s="60">
        <f>SUM(J395:J397)</f>
        <v/>
      </c>
      <c r="K394" s="60">
        <f>SUM(K395:K397)</f>
        <v/>
      </c>
      <c r="L394" s="60">
        <f>SUM(L395:L397)</f>
        <v/>
      </c>
      <c r="M394" s="60">
        <f>SUM(M395:M397)</f>
        <v/>
      </c>
      <c r="N394" s="60">
        <f>SUM(N395:N397)</f>
        <v/>
      </c>
      <c r="O394" s="60">
        <f>SUM(O395:O397)</f>
        <v/>
      </c>
      <c r="P394" s="60">
        <f>SUM(P395:P397)</f>
        <v/>
      </c>
    </row>
    <row r="395" ht="15.75" customHeight="1" s="45">
      <c r="A395" s="61" t="n">
        <v>46173</v>
      </c>
      <c r="B395" s="62" t="inlineStr">
        <is>
          <t>Antes-Projeto</t>
        </is>
      </c>
      <c r="C395" s="63" t="inlineStr">
        <is>
          <t>Acolhimento c/ Classif. de Risco</t>
        </is>
      </c>
      <c r="D395" s="64" t="n">
        <v>168</v>
      </c>
      <c r="E395" s="64" t="n">
        <v>128</v>
      </c>
      <c r="F395" s="64" t="n">
        <v>120</v>
      </c>
      <c r="G395" s="64" t="n">
        <v>109</v>
      </c>
      <c r="H395" s="64" t="n">
        <v>97</v>
      </c>
      <c r="I395" s="64" t="n">
        <v>170</v>
      </c>
      <c r="J395" s="64" t="n">
        <v>93</v>
      </c>
      <c r="K395" s="64" t="n">
        <v>240</v>
      </c>
      <c r="L395" s="64" t="n">
        <v>105</v>
      </c>
      <c r="M395" s="64" t="n">
        <v>209</v>
      </c>
      <c r="N395" s="64" t="n">
        <v>178</v>
      </c>
      <c r="O395" s="64" t="n">
        <v>218</v>
      </c>
      <c r="P395" s="64" t="n">
        <v>204</v>
      </c>
    </row>
    <row r="396" ht="15.75" customHeight="1" s="45">
      <c r="A396" s="61" t="n">
        <v>46173</v>
      </c>
      <c r="B396" s="62" t="inlineStr">
        <is>
          <t>Antes-Projeto</t>
        </is>
      </c>
      <c r="C396" s="65" t="inlineStr">
        <is>
          <t>Atend. Urgência Obs. ≤ 24h</t>
        </is>
      </c>
      <c r="D396" s="66" t="n">
        <v>20</v>
      </c>
      <c r="E396" s="66" t="n">
        <v>4</v>
      </c>
      <c r="F396" s="66" t="n">
        <v>28</v>
      </c>
      <c r="G396" s="66" t="n">
        <v>16</v>
      </c>
      <c r="H396" s="66" t="n">
        <v>4</v>
      </c>
      <c r="I396" s="66" t="n">
        <v>28</v>
      </c>
      <c r="J396" s="66" t="n">
        <v>14</v>
      </c>
      <c r="K396" s="66" t="n">
        <v>30</v>
      </c>
      <c r="L396" s="66" t="n">
        <v>44</v>
      </c>
      <c r="M396" s="66" t="n">
        <v>4</v>
      </c>
      <c r="N396" s="66" t="n">
        <v>67</v>
      </c>
      <c r="O396" s="66" t="n">
        <v>6</v>
      </c>
      <c r="P396" s="66" t="n">
        <v>5</v>
      </c>
    </row>
    <row r="397" ht="15.75" customHeight="1" s="45">
      <c r="A397" s="61" t="n">
        <v>46173</v>
      </c>
      <c r="B397" s="62" t="inlineStr">
        <is>
          <t>Antes-Projeto</t>
        </is>
      </c>
      <c r="C397" s="63" t="inlineStr">
        <is>
          <t>Atend. Médico em UPA</t>
        </is>
      </c>
      <c r="D397" s="64" t="n">
        <v>126</v>
      </c>
      <c r="E397" s="64" t="n">
        <v>91</v>
      </c>
      <c r="F397" s="64" t="n">
        <v>45</v>
      </c>
      <c r="G397" s="64" t="n">
        <v>37</v>
      </c>
      <c r="H397" s="64" t="n">
        <v>42</v>
      </c>
      <c r="I397" s="64" t="n">
        <v>140</v>
      </c>
      <c r="J397" s="64" t="n">
        <v>94</v>
      </c>
      <c r="K397" s="64" t="n">
        <v>94</v>
      </c>
      <c r="L397" s="64" t="n">
        <v>68</v>
      </c>
      <c r="M397" s="64" t="n">
        <v>117</v>
      </c>
      <c r="N397" s="64" t="n">
        <v>132</v>
      </c>
      <c r="O397" s="64" t="n">
        <v>149</v>
      </c>
      <c r="P397" s="64" t="n">
        <v>118</v>
      </c>
    </row>
    <row r="398" ht="15.75" customHeight="1" s="45">
      <c r="A398" s="61" t="n">
        <v>46173</v>
      </c>
      <c r="B398" s="62" t="inlineStr">
        <is>
          <t>Antes-Projeto</t>
        </is>
      </c>
      <c r="C398" s="65" t="inlineStr">
        <is>
          <t>Exames Laboratoriais</t>
        </is>
      </c>
      <c r="D398" s="66" t="n">
        <v>487</v>
      </c>
      <c r="E398" s="66" t="n">
        <v>412</v>
      </c>
      <c r="F398" s="66" t="n">
        <v>401</v>
      </c>
      <c r="G398" s="66" t="n">
        <v>200</v>
      </c>
      <c r="H398" s="66" t="n">
        <v>198</v>
      </c>
      <c r="I398" s="66" t="n">
        <v>613</v>
      </c>
      <c r="J398" s="66" t="n">
        <v>262</v>
      </c>
      <c r="K398" s="66" t="n">
        <v>677</v>
      </c>
      <c r="L398" s="66" t="n">
        <v>621</v>
      </c>
      <c r="M398" s="66" t="n">
        <v>682</v>
      </c>
      <c r="N398" s="66" t="n">
        <v>392</v>
      </c>
      <c r="O398" s="66" t="n">
        <v>456</v>
      </c>
      <c r="P398" s="66" t="n">
        <v>178</v>
      </c>
    </row>
    <row r="399" ht="15.75" customHeight="1" s="45">
      <c r="A399" s="61" t="n">
        <v>46173</v>
      </c>
      <c r="B399" s="62" t="inlineStr">
        <is>
          <t>Antes-Projeto</t>
        </is>
      </c>
      <c r="C399" s="63" t="inlineStr">
        <is>
          <t>Radiografias</t>
        </is>
      </c>
      <c r="D399" s="64" t="n">
        <v>24</v>
      </c>
      <c r="E399" s="64" t="n">
        <v>17</v>
      </c>
      <c r="F399" s="64" t="n">
        <v>21</v>
      </c>
      <c r="G399" s="64" t="n">
        <v>7</v>
      </c>
      <c r="H399" s="64" t="n">
        <v>5</v>
      </c>
      <c r="I399" s="64" t="n">
        <v>32</v>
      </c>
      <c r="J399" s="64" t="n">
        <v>10</v>
      </c>
      <c r="K399" s="64" t="n">
        <v>24</v>
      </c>
      <c r="L399" s="64" t="n">
        <v>5</v>
      </c>
      <c r="M399" s="64" t="n">
        <v>34</v>
      </c>
      <c r="N399" s="64" t="n">
        <v>32</v>
      </c>
      <c r="O399" s="64" t="n">
        <v>75</v>
      </c>
      <c r="P399" s="64" t="n">
        <v>43</v>
      </c>
    </row>
    <row r="400" ht="15.75" customHeight="1" s="45">
      <c r="A400" s="61" t="n">
        <v>46173</v>
      </c>
      <c r="B400" s="62" t="inlineStr">
        <is>
          <t>Antes-Projeto</t>
        </is>
      </c>
      <c r="C400" s="65" t="inlineStr">
        <is>
          <t>Eletrocardiogramas</t>
        </is>
      </c>
      <c r="D400" s="66" t="n">
        <v>13</v>
      </c>
      <c r="E400" s="66" t="n">
        <v>9</v>
      </c>
      <c r="F400" s="66" t="n">
        <v>25</v>
      </c>
      <c r="G400" s="66" t="n">
        <v>3</v>
      </c>
      <c r="H400" s="66" t="n">
        <v>6</v>
      </c>
      <c r="I400" s="66" t="n">
        <v>15</v>
      </c>
      <c r="J400" s="67" t="n">
        <v>0</v>
      </c>
      <c r="K400" s="66" t="n">
        <v>11</v>
      </c>
      <c r="L400" s="66" t="n">
        <v>14</v>
      </c>
      <c r="M400" s="67" t="n">
        <v>0</v>
      </c>
      <c r="N400" s="66" t="n">
        <v>19</v>
      </c>
      <c r="O400" s="66" t="n">
        <v>15</v>
      </c>
      <c r="P400" s="66" t="n">
        <v>19</v>
      </c>
    </row>
    <row r="401" ht="15.75" customHeight="1" s="45">
      <c r="A401" s="61" t="n">
        <v>46173</v>
      </c>
      <c r="B401" s="62" t="inlineStr">
        <is>
          <t>Antes-Projeto</t>
        </is>
      </c>
      <c r="C401" s="68" t="inlineStr">
        <is>
          <t>GAEs Abertas</t>
        </is>
      </c>
      <c r="D401" s="115" t="n">
        <v>177</v>
      </c>
      <c r="E401" s="115" t="n">
        <v>130</v>
      </c>
      <c r="F401" s="115" t="n">
        <v>122</v>
      </c>
      <c r="G401" s="115" t="n">
        <v>113</v>
      </c>
      <c r="H401" s="115" t="n">
        <v>99</v>
      </c>
      <c r="I401" s="115" t="n">
        <v>179</v>
      </c>
      <c r="J401" s="115" t="n">
        <v>95</v>
      </c>
      <c r="K401" s="115" t="n">
        <v>261</v>
      </c>
      <c r="L401" s="115" t="n">
        <v>108</v>
      </c>
      <c r="M401" s="115" t="n">
        <v>230</v>
      </c>
      <c r="N401" s="115" t="n">
        <v>183</v>
      </c>
      <c r="O401" s="115" t="n">
        <v>228</v>
      </c>
      <c r="P401" s="115" t="n">
        <v>217</v>
      </c>
    </row>
    <row r="402" ht="15.75" customHeight="1" s="45">
      <c r="A402" s="61" t="n">
        <v>46173</v>
      </c>
      <c r="B402" s="62" t="inlineStr">
        <is>
          <t>Antes-Projeto</t>
        </is>
      </c>
      <c r="C402" s="68" t="inlineStr">
        <is>
          <t>GAEs Classificadas</t>
        </is>
      </c>
      <c r="D402" s="115" t="n">
        <v>168</v>
      </c>
      <c r="E402" s="115" t="n">
        <v>128</v>
      </c>
      <c r="F402" s="115" t="n">
        <v>119</v>
      </c>
      <c r="G402" s="115" t="n">
        <v>108</v>
      </c>
      <c r="H402" s="115" t="n">
        <v>97</v>
      </c>
      <c r="I402" s="115" t="n">
        <v>169</v>
      </c>
      <c r="J402" s="115" t="n">
        <v>93</v>
      </c>
      <c r="K402" s="115" t="n">
        <v>238</v>
      </c>
      <c r="L402" s="115" t="n">
        <v>104</v>
      </c>
      <c r="M402" s="115" t="n">
        <v>207</v>
      </c>
      <c r="N402" s="115" t="n">
        <v>177</v>
      </c>
      <c r="O402" s="115" t="n">
        <v>218</v>
      </c>
      <c r="P402" s="115" t="n">
        <v>201</v>
      </c>
    </row>
    <row r="403" ht="15.75" customHeight="1" s="45">
      <c r="A403" s="61" t="n">
        <v>46173</v>
      </c>
      <c r="B403" s="62" t="inlineStr">
        <is>
          <t>Antes-Projeto</t>
        </is>
      </c>
      <c r="C403" s="70" t="inlineStr">
        <is>
          <t>Percentual de GAEs abertas classificadas</t>
        </is>
      </c>
      <c r="D403" s="71">
        <f>IFERROR(D402/D401,"-")</f>
        <v/>
      </c>
      <c r="E403" s="71">
        <f>IFERROR(E402/E401,"-")</f>
        <v/>
      </c>
      <c r="F403" s="71">
        <f>IFERROR(F402/F401,"-")</f>
        <v/>
      </c>
      <c r="G403" s="71">
        <f>IFERROR(G402/G401,"-")</f>
        <v/>
      </c>
      <c r="H403" s="71">
        <f>IFERROR(H402/H401,"-")</f>
        <v/>
      </c>
      <c r="I403" s="71">
        <f>IFERROR(I402/I401,"-")</f>
        <v/>
      </c>
      <c r="J403" s="71">
        <f>IFERROR(J402/J401,"-")</f>
        <v/>
      </c>
      <c r="K403" s="71">
        <f>IFERROR(K402/K401,"-")</f>
        <v/>
      </c>
      <c r="L403" s="71">
        <f>IFERROR(L402/L401,"-")</f>
        <v/>
      </c>
      <c r="M403" s="71">
        <f>IFERROR(M402/M401,"-")</f>
        <v/>
      </c>
      <c r="N403" s="71">
        <f>IFERROR(N402/N401,"-")</f>
        <v/>
      </c>
      <c r="O403" s="71">
        <f>IFERROR(O402/O401,"-")</f>
        <v/>
      </c>
      <c r="P403" s="71">
        <f>IFERROR(P402/P401,"-")</f>
        <v/>
      </c>
    </row>
    <row r="404" ht="15.75" customHeight="1" s="45">
      <c r="A404" s="61" t="n">
        <v>46173</v>
      </c>
      <c r="B404" s="62" t="inlineStr">
        <is>
          <t>Antes-Projeto</t>
        </is>
      </c>
      <c r="C404" s="72" t="inlineStr">
        <is>
          <t>Tempo Médio — 🟡 Amarelo (hh:mm)</t>
        </is>
      </c>
      <c r="D404" s="73" t="n">
        <v>0.02877314814814815</v>
      </c>
      <c r="E404" s="73" t="n">
        <v>0.1165277777777778</v>
      </c>
      <c r="F404" s="73" t="n">
        <v>0.1002546296296296</v>
      </c>
      <c r="G404" s="73" t="n">
        <v>0.1144097222222222</v>
      </c>
      <c r="H404" s="73" t="n">
        <v>0.05460648148148148</v>
      </c>
      <c r="I404" s="73" t="n">
        <v>0.02962962962962963</v>
      </c>
      <c r="J404" s="73" t="n">
        <v>0.05416666666666667</v>
      </c>
      <c r="K404" s="73" t="n">
        <v>0.06039351851851852</v>
      </c>
      <c r="L404" s="73" t="n">
        <v>0.1181134259259259</v>
      </c>
      <c r="M404" s="73" t="n">
        <v>0.04751157407407407</v>
      </c>
      <c r="N404" s="73" t="n">
        <v>0.04849537037037037</v>
      </c>
      <c r="O404" s="73" t="n">
        <v>0.0334837962962963</v>
      </c>
      <c r="P404" s="73" t="n">
        <v>0.05008101851851852</v>
      </c>
    </row>
    <row r="405" ht="15.75" customHeight="1" s="45">
      <c r="A405" s="61" t="n">
        <v>46173</v>
      </c>
      <c r="B405" s="62" t="inlineStr">
        <is>
          <t>Antes-Projeto</t>
        </is>
      </c>
      <c r="C405" s="74" t="inlineStr">
        <is>
          <t>Tempo Médio — 🟠 Laranja (hh:mm)</t>
        </is>
      </c>
      <c r="D405" s="75" t="n">
        <v>0.004884259259259259</v>
      </c>
      <c r="E405" s="75" t="n">
        <v>0.01327546296296296</v>
      </c>
      <c r="F405" s="75" t="n">
        <v>0.01111111111111111</v>
      </c>
      <c r="G405" s="75" t="n">
        <v>0.1049652777777778</v>
      </c>
      <c r="H405" s="75" t="n">
        <v>0.03011574074074074</v>
      </c>
      <c r="I405" s="75" t="n">
        <v>0.004571759259259259</v>
      </c>
      <c r="J405" s="75" t="n">
        <v>0.008726851851851852</v>
      </c>
      <c r="K405" s="75" t="n">
        <v>0.0240162037037037</v>
      </c>
      <c r="L405" s="75" t="n">
        <v>0.02961805555555556</v>
      </c>
      <c r="M405" s="75" t="n">
        <v>0.01637731481481481</v>
      </c>
      <c r="N405" s="75" t="n">
        <v>0.01263888888888889</v>
      </c>
      <c r="O405" s="75" t="n">
        <v>0.009768518518518518</v>
      </c>
      <c r="P405" s="75" t="n">
        <v>0.01694444444444445</v>
      </c>
    </row>
    <row r="406" ht="15.75" customHeight="1" s="45">
      <c r="A406" s="76" t="n">
        <v>46173</v>
      </c>
      <c r="B406" s="77" t="inlineStr">
        <is>
          <t>Antes-Projeto</t>
        </is>
      </c>
      <c r="C406" s="78" t="inlineStr">
        <is>
          <t>Tempo Médio — 🟢 Verde   (hh:mm)</t>
        </is>
      </c>
      <c r="D406" s="79" t="n">
        <v>0.09372685185185185</v>
      </c>
      <c r="E406" s="79" t="n">
        <v>0.1592824074074074</v>
      </c>
      <c r="F406" s="79" t="n">
        <v>0.2975115740740741</v>
      </c>
      <c r="G406" s="79" t="n">
        <v>0.1229513888888889</v>
      </c>
      <c r="H406" s="79" t="n">
        <v>0.09094907407407407</v>
      </c>
      <c r="I406" s="79" t="n">
        <v>0.1054166666666667</v>
      </c>
      <c r="J406" s="79" t="n">
        <v>0.1049421296296296</v>
      </c>
      <c r="K406" s="79" t="n">
        <v>0.07520833333333334</v>
      </c>
      <c r="L406" s="79" t="n">
        <v>0.2149421296296296</v>
      </c>
      <c r="M406" s="79" t="n">
        <v>0.1093865740740741</v>
      </c>
      <c r="N406" s="79" t="n">
        <v>0.08694444444444445</v>
      </c>
      <c r="O406" s="79" t="n">
        <v>0.1093402777777778</v>
      </c>
      <c r="P406" s="79" t="n">
        <v>0.05644675925925926</v>
      </c>
    </row>
  </sheetData>
  <autoFilter ref="A3:P406"/>
  <mergeCells count="4">
    <mergeCell ref="K2:P2"/>
    <mergeCell ref="A1:P1"/>
    <mergeCell ref="A2:C2"/>
    <mergeCell ref="D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P3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E413" activeCellId="0" sqref="E413"/>
    </sheetView>
  </sheetViews>
  <sheetFormatPr baseColWidth="8" defaultColWidth="8.6796875" defaultRowHeight="15" zeroHeight="0" outlineLevelRow="0"/>
  <cols>
    <col width="13" customWidth="1" style="44" min="1" max="1"/>
    <col width="12" customWidth="1" style="44" min="2" max="2"/>
    <col width="36.71" customWidth="1" style="44" min="3" max="3"/>
    <col width="15" customWidth="1" style="44" min="4" max="16"/>
  </cols>
  <sheetData>
    <row r="1" ht="31.5" customHeight="1" s="45">
      <c r="A1" s="46" t="inlineStr">
        <is>
          <t>ANÁLISE COMPARATIVA DE INDICADORES — UPAs PORTE I e PORTE III — ANTES e APÓS O PROJETO</t>
        </is>
      </c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8" t="n"/>
    </row>
    <row r="2" ht="25.5" customHeight="1" s="45">
      <c r="A2" s="49" t="inlineStr">
        <is>
          <t>Obs.: O indicador TAXA DE MORTALIDADE é de responsabilidade da SUPPH.</t>
        </is>
      </c>
      <c r="B2" s="47" t="n"/>
      <c r="C2" s="50" t="n"/>
      <c r="D2" s="51" t="inlineStr">
        <is>
          <t>— PORTE I —</t>
        </is>
      </c>
      <c r="E2" s="47" t="n"/>
      <c r="F2" s="47" t="n"/>
      <c r="G2" s="47" t="n"/>
      <c r="H2" s="47" t="n"/>
      <c r="I2" s="47" t="n"/>
      <c r="J2" s="50" t="n"/>
      <c r="K2" s="52" t="inlineStr">
        <is>
          <t>— PORTE III —</t>
        </is>
      </c>
      <c r="L2" s="47" t="n"/>
      <c r="M2" s="47" t="n"/>
      <c r="N2" s="47" t="n"/>
      <c r="O2" s="47" t="n"/>
      <c r="P2" s="53" t="n"/>
    </row>
    <row r="3" ht="36" customHeight="1" s="45">
      <c r="A3" s="54" t="inlineStr">
        <is>
          <t>Data</t>
        </is>
      </c>
      <c r="B3" s="54" t="inlineStr">
        <is>
          <t>Fase</t>
        </is>
      </c>
      <c r="C3" s="54" t="inlineStr">
        <is>
          <t>Indicador</t>
        </is>
      </c>
      <c r="D3" s="55" t="inlineStr">
        <is>
          <t>UPA
CEILÂNDIA II</t>
        </is>
      </c>
      <c r="E3" s="55" t="inlineStr">
        <is>
          <t>UPA
PARANOÁ</t>
        </is>
      </c>
      <c r="F3" s="55" t="inlineStr">
        <is>
          <t>UPA
GAMA</t>
        </is>
      </c>
      <c r="G3" s="55" t="inlineStr">
        <is>
          <t>UPA
PLANALTINA</t>
        </is>
      </c>
      <c r="H3" s="55" t="inlineStr">
        <is>
          <t>UPA RIACHO FUNDO II</t>
        </is>
      </c>
      <c r="I3" s="55" t="inlineStr">
        <is>
          <t>UPA VICENTE PIRES</t>
        </is>
      </c>
      <c r="J3" s="55" t="inlineStr">
        <is>
          <t>UPA BRAZLÂNDIA</t>
        </is>
      </c>
      <c r="K3" s="56" t="inlineStr">
        <is>
          <t>UPA
CEILÂNDIA</t>
        </is>
      </c>
      <c r="L3" s="56" t="inlineStr">
        <is>
          <t>UPA NÚCLEO BANDEIRANTE</t>
        </is>
      </c>
      <c r="M3" s="56" t="inlineStr">
        <is>
          <t>UPA RECANTO DAS EMAS</t>
        </is>
      </c>
      <c r="N3" s="56" t="inlineStr">
        <is>
          <t>UPA SAMAMBAIA</t>
        </is>
      </c>
      <c r="O3" s="56" t="inlineStr">
        <is>
          <t>UPA
SÃO SEBASTIÃO</t>
        </is>
      </c>
      <c r="P3" s="56" t="inlineStr">
        <is>
          <t>UPA SOBRADINHO</t>
        </is>
      </c>
    </row>
    <row r="4" ht="15.75" customHeight="1" s="45">
      <c r="A4" s="57" t="n">
        <v>46174</v>
      </c>
      <c r="B4" s="58" t="inlineStr">
        <is>
          <t>Antes-Projeto</t>
        </is>
      </c>
      <c r="C4" s="59" t="inlineStr">
        <is>
          <t>Acolhim. + Atend. Urgência + Atend. UPA</t>
        </is>
      </c>
      <c r="D4" s="60">
        <f>SUM(D5:D7)</f>
        <v/>
      </c>
      <c r="E4" s="60">
        <f>SUM(E5:E7)</f>
        <v/>
      </c>
      <c r="F4" s="60">
        <f>SUM(F5:F7)</f>
        <v/>
      </c>
      <c r="G4" s="60">
        <f>SUM(G5:G7)</f>
        <v/>
      </c>
      <c r="H4" s="60">
        <f>SUM(H5:H7)</f>
        <v/>
      </c>
      <c r="I4" s="60">
        <f>SUM(I5:I7)</f>
        <v/>
      </c>
      <c r="J4" s="60">
        <f>SUM(J5:J7)</f>
        <v/>
      </c>
      <c r="K4" s="60">
        <f>SUM(K5:K7)</f>
        <v/>
      </c>
      <c r="L4" s="60">
        <f>SUM(L5:L7)</f>
        <v/>
      </c>
      <c r="M4" s="60">
        <f>SUM(M5:M7)</f>
        <v/>
      </c>
      <c r="N4" s="60">
        <f>SUM(N5:N7)</f>
        <v/>
      </c>
      <c r="O4" s="60">
        <f>SUM(O5:O7)</f>
        <v/>
      </c>
      <c r="P4" s="60">
        <f>SUM(P5:P7)</f>
        <v/>
      </c>
    </row>
    <row r="5" ht="15.75" customHeight="1" s="45">
      <c r="A5" s="61" t="n">
        <v>46174</v>
      </c>
      <c r="B5" s="62" t="inlineStr">
        <is>
          <t>Antes-Projeto</t>
        </is>
      </c>
      <c r="C5" s="63" t="inlineStr">
        <is>
          <t>Acolhimento c/ Classif. de Risco</t>
        </is>
      </c>
      <c r="D5" s="64" t="n">
        <v>325</v>
      </c>
      <c r="E5" s="64" t="n">
        <v>194</v>
      </c>
      <c r="F5" s="64" t="n">
        <v>200</v>
      </c>
      <c r="G5" s="64" t="n">
        <v>189</v>
      </c>
      <c r="H5" s="64" t="n">
        <v>177</v>
      </c>
      <c r="I5" s="64" t="n">
        <v>238</v>
      </c>
      <c r="J5" s="64" t="n">
        <v>155</v>
      </c>
      <c r="K5" s="64" t="n">
        <v>375</v>
      </c>
      <c r="L5" s="64" t="n">
        <v>181</v>
      </c>
      <c r="M5" s="64" t="n">
        <v>308</v>
      </c>
      <c r="N5" s="64" t="n">
        <v>285</v>
      </c>
      <c r="O5" s="64" t="n">
        <v>316</v>
      </c>
      <c r="P5" s="64" t="n">
        <v>310</v>
      </c>
    </row>
    <row r="6" ht="15.75" customHeight="1" s="45">
      <c r="A6" s="61" t="n">
        <v>46174</v>
      </c>
      <c r="B6" s="62" t="inlineStr">
        <is>
          <t>Antes-Projeto</t>
        </is>
      </c>
      <c r="C6" s="65" t="inlineStr">
        <is>
          <t>Atend. Urgência Obs. ≤ 24h</t>
        </is>
      </c>
      <c r="D6" s="66" t="n">
        <v>60</v>
      </c>
      <c r="E6" s="66" t="n">
        <v>13</v>
      </c>
      <c r="F6" s="66" t="n">
        <v>1</v>
      </c>
      <c r="G6" s="66" t="n">
        <v>71</v>
      </c>
      <c r="H6" s="66" t="n">
        <v>37</v>
      </c>
      <c r="I6" s="66" t="n">
        <v>5</v>
      </c>
      <c r="J6" s="66" t="n">
        <v>95</v>
      </c>
      <c r="K6" s="66" t="n">
        <v>520</v>
      </c>
      <c r="L6" s="66" t="n">
        <v>13</v>
      </c>
      <c r="M6" s="66" t="n">
        <v>119</v>
      </c>
      <c r="N6" s="66" t="n">
        <v>58</v>
      </c>
      <c r="O6" s="66" t="n">
        <v>38</v>
      </c>
      <c r="P6" s="66" t="n">
        <v>62</v>
      </c>
    </row>
    <row r="7" ht="15.75" customHeight="1" s="45">
      <c r="A7" s="61" t="n">
        <v>46174</v>
      </c>
      <c r="B7" s="62" t="inlineStr">
        <is>
          <t>Antes-Projeto</t>
        </is>
      </c>
      <c r="C7" s="63" t="inlineStr">
        <is>
          <t>Atend. Médico em UPA</t>
        </is>
      </c>
      <c r="D7" s="64" t="n">
        <v>213</v>
      </c>
      <c r="E7" s="64" t="n">
        <v>101</v>
      </c>
      <c r="F7" s="64" t="n">
        <v>90</v>
      </c>
      <c r="G7" s="64" t="n">
        <v>108</v>
      </c>
      <c r="H7" s="64" t="n">
        <v>125</v>
      </c>
      <c r="I7" s="64" t="n">
        <v>184</v>
      </c>
      <c r="J7" s="64" t="n">
        <v>121</v>
      </c>
      <c r="K7" s="64" t="n">
        <v>196</v>
      </c>
      <c r="L7" s="64" t="n">
        <v>115</v>
      </c>
      <c r="M7" s="64" t="n">
        <v>187</v>
      </c>
      <c r="N7" s="64" t="n">
        <v>265</v>
      </c>
      <c r="O7" s="64" t="n">
        <v>201</v>
      </c>
      <c r="P7" s="64" t="n">
        <v>183</v>
      </c>
    </row>
    <row r="8" ht="15.75" customHeight="1" s="45">
      <c r="A8" s="61" t="n">
        <v>46174</v>
      </c>
      <c r="B8" s="62" t="inlineStr">
        <is>
          <t>Antes-Projeto</t>
        </is>
      </c>
      <c r="C8" s="65" t="inlineStr">
        <is>
          <t>Exames Laboratoriais</t>
        </is>
      </c>
      <c r="D8" s="66" t="n">
        <v>625</v>
      </c>
      <c r="E8" s="66" t="n">
        <v>502</v>
      </c>
      <c r="F8" s="66" t="n">
        <v>593</v>
      </c>
      <c r="G8" s="66" t="n">
        <v>381</v>
      </c>
      <c r="H8" s="66" t="n">
        <v>548</v>
      </c>
      <c r="I8" s="66" t="n">
        <v>786</v>
      </c>
      <c r="J8" s="66" t="n">
        <v>272</v>
      </c>
      <c r="K8" s="66" t="n">
        <v>901</v>
      </c>
      <c r="L8" s="66" t="n">
        <v>684</v>
      </c>
      <c r="M8" s="66" t="n">
        <v>736</v>
      </c>
      <c r="N8" s="66" t="n">
        <v>611</v>
      </c>
      <c r="O8" s="66" t="n">
        <v>418</v>
      </c>
      <c r="P8" s="66" t="n">
        <v>591</v>
      </c>
    </row>
    <row r="9" ht="15.75" customHeight="1" s="45">
      <c r="A9" s="61" t="n">
        <v>46174</v>
      </c>
      <c r="B9" s="62" t="inlineStr">
        <is>
          <t>Antes-Projeto</t>
        </is>
      </c>
      <c r="C9" s="63" t="inlineStr">
        <is>
          <t>Radiografias</t>
        </is>
      </c>
      <c r="D9" s="64" t="n">
        <v>43</v>
      </c>
      <c r="E9" s="64" t="n">
        <v>19</v>
      </c>
      <c r="F9" s="64" t="n">
        <v>28</v>
      </c>
      <c r="G9" s="64" t="n">
        <v>25</v>
      </c>
      <c r="H9" s="64" t="n">
        <v>29</v>
      </c>
      <c r="I9" s="64" t="n">
        <v>37</v>
      </c>
      <c r="J9" s="64" t="n">
        <v>18</v>
      </c>
      <c r="K9" s="64" t="n">
        <v>51</v>
      </c>
      <c r="L9" s="64" t="n">
        <v>15</v>
      </c>
      <c r="M9" s="64" t="n">
        <v>70</v>
      </c>
      <c r="N9" s="64" t="n">
        <v>35</v>
      </c>
      <c r="O9" s="64" t="n">
        <v>38</v>
      </c>
      <c r="P9" s="64" t="n">
        <v>78</v>
      </c>
    </row>
    <row r="10" ht="15.75" customHeight="1" s="45">
      <c r="A10" s="61" t="n">
        <v>46174</v>
      </c>
      <c r="B10" s="62" t="inlineStr">
        <is>
          <t>Antes-Projeto</t>
        </is>
      </c>
      <c r="C10" s="65" t="inlineStr">
        <is>
          <t>Eletrocardiogramas</t>
        </is>
      </c>
      <c r="D10" s="66" t="n">
        <v>30</v>
      </c>
      <c r="E10" s="66" t="n">
        <v>5</v>
      </c>
      <c r="F10" s="66" t="n">
        <v>20</v>
      </c>
      <c r="G10" s="66" t="n">
        <v>6</v>
      </c>
      <c r="H10" s="66" t="n">
        <v>18</v>
      </c>
      <c r="I10" s="66" t="n">
        <v>21</v>
      </c>
      <c r="J10" s="66" t="n">
        <v>7</v>
      </c>
      <c r="K10" s="66" t="n">
        <v>27</v>
      </c>
      <c r="L10" s="66" t="n">
        <v>10</v>
      </c>
      <c r="M10" s="66" t="n">
        <v>16</v>
      </c>
      <c r="N10" s="66" t="n">
        <v>23</v>
      </c>
      <c r="O10" s="66" t="n">
        <v>13</v>
      </c>
      <c r="P10" s="66" t="n">
        <v>21</v>
      </c>
    </row>
    <row r="11" ht="15.75" customHeight="1" s="45">
      <c r="A11" s="61" t="n">
        <v>46174</v>
      </c>
      <c r="B11" s="62" t="inlineStr">
        <is>
          <t>Antes-Projeto</t>
        </is>
      </c>
      <c r="C11" s="68" t="inlineStr">
        <is>
          <t>GAEs Abertas</t>
        </is>
      </c>
      <c r="D11" s="69" t="n">
        <v>343</v>
      </c>
      <c r="E11" s="69" t="n">
        <v>201</v>
      </c>
      <c r="F11" s="69" t="n">
        <v>205</v>
      </c>
      <c r="G11" s="69" t="n">
        <v>200</v>
      </c>
      <c r="H11" s="69" t="n">
        <v>182</v>
      </c>
      <c r="I11" s="69" t="n">
        <v>257</v>
      </c>
      <c r="J11" s="69" t="n">
        <v>165</v>
      </c>
      <c r="K11" s="69" t="n">
        <v>413</v>
      </c>
      <c r="L11" s="69" t="n">
        <v>190</v>
      </c>
      <c r="M11" s="69" t="n">
        <v>335</v>
      </c>
      <c r="N11" s="69" t="n">
        <v>298</v>
      </c>
      <c r="O11" s="69" t="n">
        <v>328</v>
      </c>
      <c r="P11" s="69" t="n">
        <v>324</v>
      </c>
    </row>
    <row r="12" ht="15.75" customHeight="1" s="45">
      <c r="A12" s="61" t="n">
        <v>46174</v>
      </c>
      <c r="B12" s="62" t="inlineStr">
        <is>
          <t>Antes-Projeto</t>
        </is>
      </c>
      <c r="C12" s="68" t="inlineStr">
        <is>
          <t>GAEs Classificadas</t>
        </is>
      </c>
      <c r="D12" s="69" t="n">
        <v>326</v>
      </c>
      <c r="E12" s="69" t="n">
        <v>194</v>
      </c>
      <c r="F12" s="69" t="n">
        <v>200</v>
      </c>
      <c r="G12" s="69" t="n">
        <v>193</v>
      </c>
      <c r="H12" s="69" t="n">
        <v>177</v>
      </c>
      <c r="I12" s="69" t="n">
        <v>239</v>
      </c>
      <c r="J12" s="69" t="n">
        <v>158</v>
      </c>
      <c r="K12" s="69" t="n">
        <v>376</v>
      </c>
      <c r="L12" s="69" t="n">
        <v>182</v>
      </c>
      <c r="M12" s="69" t="n">
        <v>310</v>
      </c>
      <c r="N12" s="69" t="n">
        <v>287</v>
      </c>
      <c r="O12" s="69" t="n">
        <v>317</v>
      </c>
      <c r="P12" s="69" t="n">
        <v>312</v>
      </c>
    </row>
    <row r="13" ht="15.75" customHeight="1" s="45">
      <c r="A13" s="61" t="n">
        <v>46174</v>
      </c>
      <c r="B13" s="62" t="inlineStr">
        <is>
          <t>Antes-Projeto</t>
        </is>
      </c>
      <c r="C13" s="70" t="inlineStr">
        <is>
          <t>Percentual de GAEs abertas classificadas</t>
        </is>
      </c>
      <c r="D13" s="71">
        <f>IFERROR(D12/D11,"-")</f>
        <v/>
      </c>
      <c r="E13" s="71">
        <f>IFERROR(E12/E11,"-")</f>
        <v/>
      </c>
      <c r="F13" s="71">
        <f>IFERROR(F12/F11,"-")</f>
        <v/>
      </c>
      <c r="G13" s="71">
        <f>IFERROR(G12/G11,"-")</f>
        <v/>
      </c>
      <c r="H13" s="71">
        <f>IFERROR(H12/H11,"-")</f>
        <v/>
      </c>
      <c r="I13" s="71">
        <f>IFERROR(I12/I11,"-")</f>
        <v/>
      </c>
      <c r="J13" s="71">
        <f>IFERROR(J12/J11,"-")</f>
        <v/>
      </c>
      <c r="K13" s="71">
        <f>IFERROR(K12/K11,"-")</f>
        <v/>
      </c>
      <c r="L13" s="71">
        <f>IFERROR(L12/L11,"-")</f>
        <v/>
      </c>
      <c r="M13" s="71">
        <f>IFERROR(M12/M11,"-")</f>
        <v/>
      </c>
      <c r="N13" s="71">
        <f>IFERROR(N12/N11,"-")</f>
        <v/>
      </c>
      <c r="O13" s="71">
        <f>IFERROR(O12/O11,"-")</f>
        <v/>
      </c>
      <c r="P13" s="71">
        <f>IFERROR(P12/P11,"-")</f>
        <v/>
      </c>
    </row>
    <row r="14" ht="15.75" customHeight="1" s="45">
      <c r="A14" s="61" t="n">
        <v>46174</v>
      </c>
      <c r="B14" s="62" t="inlineStr">
        <is>
          <t>Antes-Projeto</t>
        </is>
      </c>
      <c r="C14" s="72" t="inlineStr">
        <is>
          <t>Tempo Médio — 🟡 Amarelo (hh:mm)</t>
        </is>
      </c>
      <c r="D14" s="73" t="n">
        <v>0.04996527777777778</v>
      </c>
      <c r="E14" s="73" t="n">
        <v>0.08837962962962963</v>
      </c>
      <c r="F14" s="73" t="n">
        <v>0.1437268518518519</v>
      </c>
      <c r="G14" s="73" t="n">
        <v>0.04585648148148148</v>
      </c>
      <c r="H14" s="73" t="n">
        <v>0.05849537037037037</v>
      </c>
      <c r="I14" s="73" t="n">
        <v>0.05835648148148148</v>
      </c>
      <c r="J14" s="73" t="n">
        <v>0.0437962962962963</v>
      </c>
      <c r="K14" s="73" t="n">
        <v>0.08603009259259259</v>
      </c>
      <c r="L14" s="73" t="n">
        <v>0.06815972222222222</v>
      </c>
      <c r="M14" s="73" t="n">
        <v>0.04569444444444445</v>
      </c>
      <c r="N14" s="73" t="n">
        <v>0.03774305555555556</v>
      </c>
      <c r="O14" s="73" t="n">
        <v>0.0846412037037037</v>
      </c>
      <c r="P14" s="73" t="n">
        <v>0.03502314814814815</v>
      </c>
    </row>
    <row r="15" ht="15.75" customHeight="1" s="45">
      <c r="A15" s="61" t="n">
        <v>46174</v>
      </c>
      <c r="B15" s="62" t="inlineStr">
        <is>
          <t>Antes-Projeto</t>
        </is>
      </c>
      <c r="C15" s="74" t="inlineStr">
        <is>
          <t>Tempo Médio — 🟠 Laranja (hh:mm)</t>
        </is>
      </c>
      <c r="D15" s="75" t="n">
        <v>0.008402777777777778</v>
      </c>
      <c r="E15" s="75" t="n">
        <v>0.01091435185185185</v>
      </c>
      <c r="F15" s="75" t="n">
        <v>0.007604166666666667</v>
      </c>
      <c r="G15" s="75" t="n">
        <v>0.03447916666666666</v>
      </c>
      <c r="H15" s="75" t="n">
        <v>0.005960648148148148</v>
      </c>
      <c r="I15" s="75" t="n">
        <v>0.008275462962962964</v>
      </c>
      <c r="J15" s="75" t="n">
        <v>0.01096064814814815</v>
      </c>
      <c r="K15" s="75" t="n">
        <v>0.01671296296296296</v>
      </c>
      <c r="L15" s="75" t="n">
        <v>0.01300925925925926</v>
      </c>
      <c r="M15" s="75" t="n">
        <v>0.01259259259259259</v>
      </c>
      <c r="N15" s="75" t="n">
        <v>0.009467592592592593</v>
      </c>
      <c r="O15" s="75" t="n">
        <v>0.01513888888888889</v>
      </c>
      <c r="P15" s="75" t="n">
        <v>0.009814814814814814</v>
      </c>
    </row>
    <row r="16" ht="15.75" customHeight="1" s="45">
      <c r="A16" s="76" t="n">
        <v>46174</v>
      </c>
      <c r="B16" s="77" t="inlineStr">
        <is>
          <t>Antes-Projeto</t>
        </is>
      </c>
      <c r="C16" s="78" t="inlineStr">
        <is>
          <t>Tempo Médio — 🟢 Verde   (hh:mm)</t>
        </is>
      </c>
      <c r="D16" s="79" t="n">
        <v>0.06831018518518518</v>
      </c>
      <c r="E16" s="79" t="n">
        <v>0.1392592592592592</v>
      </c>
      <c r="F16" s="79" t="n">
        <v>0.1295833333333333</v>
      </c>
      <c r="G16" s="79" t="n">
        <v>0.0837037037037037</v>
      </c>
      <c r="H16" s="79" t="n">
        <v>0.1278009259259259</v>
      </c>
      <c r="I16" s="79" t="n">
        <v>0.1230208333333333</v>
      </c>
      <c r="J16" s="79" t="n">
        <v>0.07787037037037037</v>
      </c>
      <c r="K16" s="79" t="n">
        <v>0.131875</v>
      </c>
      <c r="L16" s="79" t="n">
        <v>0.1343287037037037</v>
      </c>
      <c r="M16" s="79" t="n">
        <v>0.1124884259259259</v>
      </c>
      <c r="N16" s="79" t="n">
        <v>0.07261574074074074</v>
      </c>
      <c r="O16" s="79" t="n">
        <v>0.169849537037037</v>
      </c>
      <c r="P16" s="79" t="n">
        <v>0.06539351851851852</v>
      </c>
    </row>
    <row r="17" ht="15.75" customHeight="1" s="45">
      <c r="A17" s="57" t="n">
        <v>46175</v>
      </c>
      <c r="B17" s="58" t="inlineStr">
        <is>
          <t>Antes-Projeto</t>
        </is>
      </c>
      <c r="C17" s="59" t="inlineStr">
        <is>
          <t>Acolhim. + Atend. Urgência + Atend. UPA</t>
        </is>
      </c>
      <c r="D17" s="60">
        <f>SUM(D18:D20)</f>
        <v/>
      </c>
      <c r="E17" s="60">
        <f>SUM(E18:E20)</f>
        <v/>
      </c>
      <c r="F17" s="60">
        <f>SUM(F18:F20)</f>
        <v/>
      </c>
      <c r="G17" s="60">
        <f>SUM(G18:G20)</f>
        <v/>
      </c>
      <c r="H17" s="60">
        <f>SUM(H18:H20)</f>
        <v/>
      </c>
      <c r="I17" s="60">
        <f>SUM(I18:I20)</f>
        <v/>
      </c>
      <c r="J17" s="60">
        <f>SUM(J18:J20)</f>
        <v/>
      </c>
      <c r="K17" s="60">
        <f>SUM(K18:K20)</f>
        <v/>
      </c>
      <c r="L17" s="60">
        <f>SUM(L18:L20)</f>
        <v/>
      </c>
      <c r="M17" s="60">
        <f>SUM(M18:M20)</f>
        <v/>
      </c>
      <c r="N17" s="60">
        <f>SUM(N18:N20)</f>
        <v/>
      </c>
      <c r="O17" s="60">
        <f>SUM(O18:O20)</f>
        <v/>
      </c>
      <c r="P17" s="60">
        <f>SUM(P18:P20)</f>
        <v/>
      </c>
    </row>
    <row r="18" ht="15.75" customHeight="1" s="45">
      <c r="A18" s="61" t="n">
        <v>46175</v>
      </c>
      <c r="B18" s="62" t="inlineStr">
        <is>
          <t>Antes-Projeto</t>
        </is>
      </c>
      <c r="C18" s="65" t="inlineStr">
        <is>
          <t>Acolhimento c/ Classif. de Risco</t>
        </is>
      </c>
      <c r="D18" s="66" t="n">
        <v>233</v>
      </c>
      <c r="E18" s="66" t="n">
        <v>152</v>
      </c>
      <c r="F18" s="66" t="n">
        <v>173</v>
      </c>
      <c r="G18" s="66" t="n">
        <v>104</v>
      </c>
      <c r="H18" s="66" t="n">
        <v>151</v>
      </c>
      <c r="I18" s="66" t="n">
        <v>219</v>
      </c>
      <c r="J18" s="66" t="n">
        <v>123</v>
      </c>
      <c r="K18" s="66" t="n">
        <v>298</v>
      </c>
      <c r="L18" s="66" t="n">
        <v>129</v>
      </c>
      <c r="M18" s="66" t="n">
        <v>277</v>
      </c>
      <c r="N18" s="66" t="n">
        <v>210</v>
      </c>
      <c r="O18" s="66" t="n">
        <v>275</v>
      </c>
      <c r="P18" s="66" t="n">
        <v>263</v>
      </c>
    </row>
    <row r="19" ht="15.75" customHeight="1" s="45">
      <c r="A19" s="61" t="n">
        <v>46175</v>
      </c>
      <c r="B19" s="62" t="inlineStr">
        <is>
          <t>Antes-Projeto</t>
        </is>
      </c>
      <c r="C19" s="63" t="inlineStr">
        <is>
          <t>Atend. Urgência Obs. ≤ 24h</t>
        </is>
      </c>
      <c r="D19" s="64" t="n">
        <v>28</v>
      </c>
      <c r="E19" s="64" t="n">
        <v>19</v>
      </c>
      <c r="F19" s="64" t="n">
        <v>28</v>
      </c>
      <c r="G19" s="64" t="n">
        <v>19</v>
      </c>
      <c r="H19" s="64" t="n">
        <v>3</v>
      </c>
      <c r="I19" s="64" t="n">
        <v>13</v>
      </c>
      <c r="J19" s="64" t="n">
        <v>26</v>
      </c>
      <c r="K19" s="64" t="n">
        <v>227</v>
      </c>
      <c r="L19" s="64" t="n">
        <v>35</v>
      </c>
      <c r="M19" s="64" t="n">
        <v>73</v>
      </c>
      <c r="N19" s="64" t="n">
        <v>42</v>
      </c>
      <c r="O19" s="64" t="n">
        <v>20</v>
      </c>
      <c r="P19" s="64" t="n">
        <v>50</v>
      </c>
    </row>
    <row r="20" ht="15.75" customHeight="1" s="45">
      <c r="A20" s="61" t="n">
        <v>46175</v>
      </c>
      <c r="B20" s="62" t="inlineStr">
        <is>
          <t>Antes-Projeto</t>
        </is>
      </c>
      <c r="C20" s="65" t="inlineStr">
        <is>
          <t>Atend. Médico em UPA</t>
        </is>
      </c>
      <c r="D20" s="66" t="n">
        <v>166</v>
      </c>
      <c r="E20" s="66" t="n">
        <v>107</v>
      </c>
      <c r="F20" s="66" t="n">
        <v>116</v>
      </c>
      <c r="G20" s="66" t="n">
        <v>53</v>
      </c>
      <c r="H20" s="66" t="n">
        <v>118</v>
      </c>
      <c r="I20" s="66" t="n">
        <v>145</v>
      </c>
      <c r="J20" s="66" t="n">
        <v>82</v>
      </c>
      <c r="K20" s="66" t="n">
        <v>176</v>
      </c>
      <c r="L20" s="66" t="n">
        <v>93</v>
      </c>
      <c r="M20" s="66" t="n">
        <v>181</v>
      </c>
      <c r="N20" s="66" t="n">
        <v>208</v>
      </c>
      <c r="O20" s="66" t="n">
        <v>163</v>
      </c>
      <c r="P20" s="66" t="n">
        <v>164</v>
      </c>
    </row>
    <row r="21" ht="15.75" customHeight="1" s="45">
      <c r="A21" s="61" t="n">
        <v>46175</v>
      </c>
      <c r="B21" s="62" t="inlineStr">
        <is>
          <t>Antes-Projeto</t>
        </is>
      </c>
      <c r="C21" s="63" t="inlineStr">
        <is>
          <t>Exames Laboratoriais</t>
        </is>
      </c>
      <c r="D21" s="64" t="n">
        <v>650</v>
      </c>
      <c r="E21" s="64" t="n">
        <v>277</v>
      </c>
      <c r="F21" s="64" t="n">
        <v>673</v>
      </c>
      <c r="G21" s="64" t="n">
        <v>317</v>
      </c>
      <c r="H21" s="64" t="n">
        <v>340</v>
      </c>
      <c r="I21" s="64" t="n">
        <v>502</v>
      </c>
      <c r="J21" s="64" t="n">
        <v>391</v>
      </c>
      <c r="K21" s="64" t="n">
        <v>660</v>
      </c>
      <c r="L21" s="64" t="n">
        <v>720</v>
      </c>
      <c r="M21" s="64" t="n">
        <v>778</v>
      </c>
      <c r="N21" s="64" t="n">
        <v>668</v>
      </c>
      <c r="O21" s="64" t="n">
        <v>547</v>
      </c>
      <c r="P21" s="64" t="n">
        <v>510</v>
      </c>
    </row>
    <row r="22" ht="15.75" customHeight="1" s="45">
      <c r="A22" s="61" t="n">
        <v>46175</v>
      </c>
      <c r="B22" s="62" t="inlineStr">
        <is>
          <t>Antes-Projeto</t>
        </is>
      </c>
      <c r="C22" s="65" t="inlineStr">
        <is>
          <t>Radiografias</t>
        </is>
      </c>
      <c r="D22" s="66" t="n">
        <v>30</v>
      </c>
      <c r="E22" s="66" t="n">
        <v>31</v>
      </c>
      <c r="F22" s="66" t="n">
        <v>39</v>
      </c>
      <c r="G22" s="66" t="n">
        <v>18</v>
      </c>
      <c r="H22" s="66" t="n">
        <v>19</v>
      </c>
      <c r="I22" s="66" t="n">
        <v>24</v>
      </c>
      <c r="J22" s="66" t="n">
        <v>27</v>
      </c>
      <c r="K22" s="66" t="n">
        <v>47</v>
      </c>
      <c r="L22" s="66" t="n">
        <v>26</v>
      </c>
      <c r="M22" s="66" t="n">
        <v>69</v>
      </c>
      <c r="N22" s="66" t="n">
        <v>33</v>
      </c>
      <c r="O22" s="66" t="n">
        <v>51</v>
      </c>
      <c r="P22" s="66" t="n">
        <v>84</v>
      </c>
    </row>
    <row r="23" ht="15.75" customHeight="1" s="45">
      <c r="A23" s="61" t="n">
        <v>46175</v>
      </c>
      <c r="B23" s="62" t="inlineStr">
        <is>
          <t>Antes-Projeto</t>
        </is>
      </c>
      <c r="C23" s="63" t="inlineStr">
        <is>
          <t>Eletrocardiogramas</t>
        </is>
      </c>
      <c r="D23" s="64" t="n">
        <v>28</v>
      </c>
      <c r="E23" s="64" t="n">
        <v>5</v>
      </c>
      <c r="F23" s="64" t="n">
        <v>24</v>
      </c>
      <c r="G23" s="64" t="n">
        <v>12</v>
      </c>
      <c r="H23" s="64" t="n">
        <v>9</v>
      </c>
      <c r="I23" s="64" t="n">
        <v>11</v>
      </c>
      <c r="J23" s="64" t="n">
        <v>20</v>
      </c>
      <c r="K23" s="64" t="n">
        <v>17</v>
      </c>
      <c r="L23" s="64" t="n">
        <v>20</v>
      </c>
      <c r="M23" s="64" t="n">
        <v>20</v>
      </c>
      <c r="N23" s="64" t="n">
        <v>24</v>
      </c>
      <c r="O23" s="64" t="n">
        <v>16</v>
      </c>
      <c r="P23" s="64" t="n">
        <v>18</v>
      </c>
    </row>
    <row r="24" ht="15.75" customHeight="1" s="45">
      <c r="A24" s="61" t="n">
        <v>46175</v>
      </c>
      <c r="B24" s="62" t="inlineStr">
        <is>
          <t>Antes-Projeto</t>
        </is>
      </c>
      <c r="C24" s="68" t="inlineStr">
        <is>
          <t>GAEs Abertas</t>
        </is>
      </c>
      <c r="D24" s="69" t="n">
        <v>251</v>
      </c>
      <c r="E24" s="69" t="n">
        <v>165</v>
      </c>
      <c r="F24" s="69" t="n">
        <v>182</v>
      </c>
      <c r="G24" s="69" t="n">
        <v>118</v>
      </c>
      <c r="H24" s="69" t="n">
        <v>157</v>
      </c>
      <c r="I24" s="69" t="n">
        <v>231</v>
      </c>
      <c r="J24" s="69" t="n">
        <v>124</v>
      </c>
      <c r="K24" s="69" t="n">
        <v>358</v>
      </c>
      <c r="L24" s="69" t="n">
        <v>128</v>
      </c>
      <c r="M24" s="69" t="n">
        <v>289</v>
      </c>
      <c r="N24" s="69" t="n">
        <v>213</v>
      </c>
      <c r="O24" s="69" t="n">
        <v>294</v>
      </c>
      <c r="P24" s="69" t="n">
        <v>281</v>
      </c>
    </row>
    <row r="25" ht="15.75" customHeight="1" s="45">
      <c r="A25" s="61" t="n">
        <v>46175</v>
      </c>
      <c r="B25" s="62" t="inlineStr">
        <is>
          <t>Antes-Projeto</t>
        </is>
      </c>
      <c r="C25" s="68" t="inlineStr">
        <is>
          <t>GAEs Classificadas</t>
        </is>
      </c>
      <c r="D25" s="69" t="n">
        <v>232</v>
      </c>
      <c r="E25" s="69" t="n">
        <v>153</v>
      </c>
      <c r="F25" s="69" t="n">
        <v>172</v>
      </c>
      <c r="G25" s="69" t="n">
        <v>109</v>
      </c>
      <c r="H25" s="69" t="n">
        <v>150</v>
      </c>
      <c r="I25" s="69" t="n">
        <v>218</v>
      </c>
      <c r="J25" s="69" t="n">
        <v>121</v>
      </c>
      <c r="K25" s="69" t="n">
        <v>303</v>
      </c>
      <c r="L25" s="69" t="n">
        <v>126</v>
      </c>
      <c r="M25" s="69" t="n">
        <v>278</v>
      </c>
      <c r="N25" s="69" t="n">
        <v>206</v>
      </c>
      <c r="O25" s="69" t="n">
        <v>276</v>
      </c>
      <c r="P25" s="69" t="n">
        <v>267</v>
      </c>
    </row>
    <row r="26" ht="15.75" customHeight="1" s="45">
      <c r="A26" s="61" t="n">
        <v>46175</v>
      </c>
      <c r="B26" s="62" t="inlineStr">
        <is>
          <t>Antes-Projeto</t>
        </is>
      </c>
      <c r="C26" s="70" t="inlineStr">
        <is>
          <t>Percentual de GAEs abertas classificadas</t>
        </is>
      </c>
      <c r="D26" s="71">
        <f>IFERROR(D25/D24,"-")</f>
        <v/>
      </c>
      <c r="E26" s="71">
        <f>IFERROR(E25/E24,"-")</f>
        <v/>
      </c>
      <c r="F26" s="71">
        <f>IFERROR(F25/F24,"-")</f>
        <v/>
      </c>
      <c r="G26" s="71">
        <f>IFERROR(G25/G24,"-")</f>
        <v/>
      </c>
      <c r="H26" s="71">
        <f>IFERROR(H25/H24,"-")</f>
        <v/>
      </c>
      <c r="I26" s="71">
        <f>IFERROR(I25/I24,"-")</f>
        <v/>
      </c>
      <c r="J26" s="71">
        <f>IFERROR(J25/J24,"-")</f>
        <v/>
      </c>
      <c r="K26" s="71">
        <f>IFERROR(K25/K24,"-")</f>
        <v/>
      </c>
      <c r="L26" s="71">
        <f>IFERROR(L25/L24,"-")</f>
        <v/>
      </c>
      <c r="M26" s="71">
        <f>IFERROR(M25/M24,"-")</f>
        <v/>
      </c>
      <c r="N26" s="71">
        <f>IFERROR(N25/N24,"-")</f>
        <v/>
      </c>
      <c r="O26" s="71">
        <f>IFERROR(O25/O24,"-")</f>
        <v/>
      </c>
      <c r="P26" s="71">
        <f>IFERROR(P25/P24,"-")</f>
        <v/>
      </c>
    </row>
    <row r="27" ht="15.75" customHeight="1" s="45">
      <c r="A27" s="61" t="n">
        <v>46175</v>
      </c>
      <c r="B27" s="62" t="inlineStr">
        <is>
          <t>Antes-Projeto</t>
        </is>
      </c>
      <c r="C27" s="72" t="inlineStr">
        <is>
          <t>Tempo Médio — 🟡 Amarelo (hh:mm)</t>
        </is>
      </c>
      <c r="D27" s="73" t="n">
        <v>0.1125462962962963</v>
      </c>
      <c r="E27" s="73" t="n">
        <v>0.01342592592592593</v>
      </c>
      <c r="F27" s="73" t="n">
        <v>0.09847222222222222</v>
      </c>
      <c r="G27" s="73" t="n">
        <v>0.04496527777777778</v>
      </c>
      <c r="H27" s="73" t="n">
        <v>0.06633101851851853</v>
      </c>
      <c r="I27" s="73" t="n">
        <v>0.02825231481481481</v>
      </c>
      <c r="J27" s="73" t="n">
        <v>0.06966435185185185</v>
      </c>
      <c r="K27" s="73" t="n">
        <v>0.06584490740740741</v>
      </c>
      <c r="L27" s="73" t="n">
        <v>0.03142361111111111</v>
      </c>
      <c r="M27" s="73" t="n">
        <v>0.03601851851851852</v>
      </c>
      <c r="N27" s="73" t="n">
        <v>0.06515046296296297</v>
      </c>
      <c r="O27" s="73" t="n">
        <v>0.06241898148148148</v>
      </c>
      <c r="P27" s="73" t="n">
        <v>0.06038194444444445</v>
      </c>
    </row>
    <row r="28" ht="15.75" customHeight="1" s="45">
      <c r="A28" s="61" t="n">
        <v>46175</v>
      </c>
      <c r="B28" s="62" t="inlineStr">
        <is>
          <t>Antes-Projeto</t>
        </is>
      </c>
      <c r="C28" s="74" t="inlineStr">
        <is>
          <t>Tempo Médio — 🟠 Laranja (hh:mm)</t>
        </is>
      </c>
      <c r="D28" s="75" t="n">
        <v>0.01125</v>
      </c>
      <c r="E28" s="75" t="n">
        <v>0.008113425925925927</v>
      </c>
      <c r="F28" s="75" t="n">
        <v>0.007523148148148148</v>
      </c>
      <c r="G28" s="75" t="n">
        <v>0.006898148148148148</v>
      </c>
      <c r="H28" s="75" t="n">
        <v>0.006504629629629629</v>
      </c>
      <c r="I28" s="75" t="n">
        <v>0.006724537037037037</v>
      </c>
      <c r="J28" s="75" t="n">
        <v>0.007222222222222222</v>
      </c>
      <c r="K28" s="75" t="n">
        <v>0.0155787037037037</v>
      </c>
      <c r="L28" s="75" t="n">
        <v>0.01060185185185185</v>
      </c>
      <c r="M28" s="75" t="n">
        <v>0.01409722222222222</v>
      </c>
      <c r="N28" s="75" t="n">
        <v>0.01111111111111111</v>
      </c>
      <c r="O28" s="75" t="n">
        <v>0.01229166666666667</v>
      </c>
      <c r="P28" s="75" t="n">
        <v>0.03024305555555555</v>
      </c>
    </row>
    <row r="29" ht="15.75" customHeight="1" s="45">
      <c r="A29" s="76" t="n">
        <v>46175</v>
      </c>
      <c r="B29" s="77" t="inlineStr">
        <is>
          <t>Antes-Projeto</t>
        </is>
      </c>
      <c r="C29" s="78" t="inlineStr">
        <is>
          <t>Tempo Médio — 🟢 Verde   (hh:mm)</t>
        </is>
      </c>
      <c r="D29" s="79" t="n">
        <v>0.07649305555555555</v>
      </c>
      <c r="E29" s="79" t="n">
        <v>0.01782407407407408</v>
      </c>
      <c r="F29" s="79" t="n">
        <v>0.07944444444444444</v>
      </c>
      <c r="G29" s="79" t="n">
        <v>0.0908449074074074</v>
      </c>
      <c r="H29" s="79" t="n">
        <v>0.08516203703703704</v>
      </c>
      <c r="I29" s="79" t="n">
        <v>0.05902777777777778</v>
      </c>
      <c r="J29" s="79" t="n">
        <v>0.0785300925925926</v>
      </c>
      <c r="K29" s="79" t="n">
        <v>0.1077546296296296</v>
      </c>
      <c r="L29" s="79" t="n">
        <v>0.05405092592592593</v>
      </c>
      <c r="M29" s="79" t="n">
        <v>0.09612268518518519</v>
      </c>
      <c r="N29" s="79" t="n">
        <v>0.08377314814814815</v>
      </c>
      <c r="O29" s="79" t="n">
        <v>0.1409027777777778</v>
      </c>
      <c r="P29" s="79" t="n">
        <v>0.09434027777777777</v>
      </c>
    </row>
    <row r="30" ht="15.75" customHeight="1" s="45">
      <c r="A30" s="57" t="n">
        <v>46176</v>
      </c>
      <c r="B30" s="58" t="inlineStr">
        <is>
          <t>Antes-Projeto</t>
        </is>
      </c>
      <c r="C30" s="59" t="inlineStr">
        <is>
          <t>Acolhim. + Atend. Urgência + Atend. UPA</t>
        </is>
      </c>
      <c r="D30" s="60">
        <f>SUM(D31:D33)</f>
        <v/>
      </c>
      <c r="E30" s="60">
        <f>SUM(E31:E33)</f>
        <v/>
      </c>
      <c r="F30" s="60">
        <f>SUM(F31:F33)</f>
        <v/>
      </c>
      <c r="G30" s="60">
        <f>SUM(G31:G33)</f>
        <v/>
      </c>
      <c r="H30" s="60">
        <f>SUM(H31:H33)</f>
        <v/>
      </c>
      <c r="I30" s="60">
        <f>SUM(I31:I33)</f>
        <v/>
      </c>
      <c r="J30" s="60">
        <f>SUM(J31:J33)</f>
        <v/>
      </c>
      <c r="K30" s="60">
        <f>SUM(K31:K33)</f>
        <v/>
      </c>
      <c r="L30" s="60">
        <f>SUM(L31:L33)</f>
        <v/>
      </c>
      <c r="M30" s="60">
        <f>SUM(M31:M33)</f>
        <v/>
      </c>
      <c r="N30" s="60">
        <f>SUM(N31:N33)</f>
        <v/>
      </c>
      <c r="O30" s="60">
        <f>SUM(O31:O33)</f>
        <v/>
      </c>
      <c r="P30" s="60">
        <f>SUM(P31:P33)</f>
        <v/>
      </c>
    </row>
    <row r="31" ht="15.75" customHeight="1" s="45">
      <c r="A31" s="61" t="n">
        <v>46176</v>
      </c>
      <c r="B31" s="62" t="inlineStr">
        <is>
          <t>Antes-Projeto</t>
        </is>
      </c>
      <c r="C31" s="63" t="inlineStr">
        <is>
          <t>Acolhimento c/ Classif. de Risco</t>
        </is>
      </c>
      <c r="D31" s="64" t="n">
        <v>243</v>
      </c>
      <c r="E31" s="64" t="n">
        <v>151</v>
      </c>
      <c r="F31" s="64" t="n">
        <v>144</v>
      </c>
      <c r="G31" s="64" t="n">
        <v>142</v>
      </c>
      <c r="H31" s="64" t="n">
        <v>137</v>
      </c>
      <c r="I31" s="64" t="n">
        <v>166</v>
      </c>
      <c r="J31" s="64" t="n">
        <v>118</v>
      </c>
      <c r="K31" s="64" t="n">
        <v>313</v>
      </c>
      <c r="L31" s="64" t="n">
        <v>130</v>
      </c>
      <c r="M31" s="64" t="n">
        <v>267</v>
      </c>
      <c r="N31" s="64" t="n">
        <v>208</v>
      </c>
      <c r="O31" s="64" t="n">
        <v>257</v>
      </c>
      <c r="P31" s="64" t="n">
        <v>254</v>
      </c>
    </row>
    <row r="32" ht="15.75" customHeight="1" s="45">
      <c r="A32" s="61" t="n">
        <v>46176</v>
      </c>
      <c r="B32" s="62" t="inlineStr">
        <is>
          <t>Antes-Projeto</t>
        </is>
      </c>
      <c r="C32" s="65" t="inlineStr">
        <is>
          <t>Atend. Urgência Obs. ≤ 24h</t>
        </is>
      </c>
      <c r="D32" s="66" t="n">
        <v>24</v>
      </c>
      <c r="E32" s="66" t="n">
        <v>29</v>
      </c>
      <c r="F32" s="66" t="n">
        <v>28</v>
      </c>
      <c r="G32" s="66" t="n">
        <v>33</v>
      </c>
      <c r="H32" s="66" t="n">
        <v>17</v>
      </c>
      <c r="I32" s="66" t="n">
        <v>10</v>
      </c>
      <c r="J32" s="66" t="n">
        <v>17</v>
      </c>
      <c r="K32" s="66" t="n">
        <v>273</v>
      </c>
      <c r="L32" s="66" t="n">
        <v>29</v>
      </c>
      <c r="M32" s="66" t="n">
        <v>34</v>
      </c>
      <c r="N32" s="66" t="n">
        <v>53</v>
      </c>
      <c r="O32" s="66" t="n">
        <v>14</v>
      </c>
      <c r="P32" s="66" t="n">
        <v>45</v>
      </c>
    </row>
    <row r="33" ht="15.75" customHeight="1" s="45">
      <c r="A33" s="61" t="n">
        <v>46176</v>
      </c>
      <c r="B33" s="62" t="inlineStr">
        <is>
          <t>Antes-Projeto</t>
        </is>
      </c>
      <c r="C33" s="63" t="inlineStr">
        <is>
          <t>Atend. Médico em UPA</t>
        </is>
      </c>
      <c r="D33" s="64" t="n">
        <v>147</v>
      </c>
      <c r="E33" s="64" t="n">
        <v>85</v>
      </c>
      <c r="F33" s="64" t="n">
        <v>89</v>
      </c>
      <c r="G33" s="64" t="n">
        <v>67</v>
      </c>
      <c r="H33" s="64" t="n">
        <v>74</v>
      </c>
      <c r="I33" s="64" t="n">
        <v>127</v>
      </c>
      <c r="J33" s="64" t="n">
        <v>78</v>
      </c>
      <c r="K33" s="64" t="n">
        <v>216</v>
      </c>
      <c r="L33" s="64" t="n">
        <v>81</v>
      </c>
      <c r="M33" s="64" t="n">
        <v>103</v>
      </c>
      <c r="N33" s="64" t="n">
        <v>161</v>
      </c>
      <c r="O33" s="64" t="n">
        <v>153</v>
      </c>
      <c r="P33" s="64" t="n">
        <v>114</v>
      </c>
    </row>
    <row r="34" ht="15.75" customHeight="1" s="45">
      <c r="A34" s="61" t="n">
        <v>46176</v>
      </c>
      <c r="B34" s="62" t="inlineStr">
        <is>
          <t>Antes-Projeto</t>
        </is>
      </c>
      <c r="C34" s="65" t="inlineStr">
        <is>
          <t>Exames Laboratoriais</t>
        </is>
      </c>
      <c r="D34" s="66" t="n">
        <v>542</v>
      </c>
      <c r="E34" s="66" t="n">
        <v>304</v>
      </c>
      <c r="F34" s="66" t="n">
        <v>520</v>
      </c>
      <c r="G34" s="66" t="n">
        <v>305</v>
      </c>
      <c r="H34" s="66" t="n">
        <v>203</v>
      </c>
      <c r="I34" s="66" t="n">
        <v>567</v>
      </c>
      <c r="J34" s="66" t="n">
        <v>361</v>
      </c>
      <c r="K34" s="66" t="n">
        <v>735</v>
      </c>
      <c r="L34" s="66" t="n">
        <v>528</v>
      </c>
      <c r="M34" s="66" t="n">
        <v>649</v>
      </c>
      <c r="N34" s="66" t="n">
        <v>307</v>
      </c>
      <c r="O34" s="66" t="n">
        <v>319</v>
      </c>
      <c r="P34" s="66" t="n">
        <v>187</v>
      </c>
    </row>
    <row r="35" ht="15.75" customHeight="1" s="45">
      <c r="A35" s="61" t="n">
        <v>46176</v>
      </c>
      <c r="B35" s="62" t="inlineStr">
        <is>
          <t>Antes-Projeto</t>
        </is>
      </c>
      <c r="C35" s="63" t="inlineStr">
        <is>
          <t>Radiografias</t>
        </is>
      </c>
      <c r="D35" s="64" t="n">
        <v>22</v>
      </c>
      <c r="E35" s="64" t="n">
        <v>16</v>
      </c>
      <c r="F35" s="64" t="n">
        <v>28</v>
      </c>
      <c r="G35" s="64" t="n">
        <v>18</v>
      </c>
      <c r="H35" s="64" t="n">
        <v>16</v>
      </c>
      <c r="I35" s="64" t="n">
        <v>20</v>
      </c>
      <c r="J35" s="64" t="n">
        <v>12</v>
      </c>
      <c r="K35" s="64" t="n">
        <v>56</v>
      </c>
      <c r="L35" s="64" t="n">
        <v>8</v>
      </c>
      <c r="M35" s="64" t="n">
        <v>34</v>
      </c>
      <c r="N35" s="64" t="n">
        <v>16</v>
      </c>
      <c r="O35" s="64" t="n">
        <v>40</v>
      </c>
      <c r="P35" s="64" t="n">
        <v>48</v>
      </c>
    </row>
    <row r="36" ht="15.75" customHeight="1" s="45">
      <c r="A36" s="61" t="n">
        <v>46176</v>
      </c>
      <c r="B36" s="62" t="inlineStr">
        <is>
          <t>Antes-Projeto</t>
        </is>
      </c>
      <c r="C36" s="65" t="inlineStr">
        <is>
          <t>Eletrocardiogramas</t>
        </is>
      </c>
      <c r="D36" s="66" t="n">
        <v>29</v>
      </c>
      <c r="E36" s="66" t="n">
        <v>9</v>
      </c>
      <c r="F36" s="66" t="n">
        <v>17</v>
      </c>
      <c r="G36" s="66" t="n">
        <v>9</v>
      </c>
      <c r="H36" s="66" t="n">
        <v>6</v>
      </c>
      <c r="I36" s="66" t="n">
        <v>11</v>
      </c>
      <c r="J36" s="66" t="n">
        <v>13</v>
      </c>
      <c r="K36" s="66" t="n">
        <v>14</v>
      </c>
      <c r="L36" s="66" t="n">
        <v>13</v>
      </c>
      <c r="M36" s="66" t="n">
        <v>15</v>
      </c>
      <c r="N36" s="66" t="n">
        <v>15</v>
      </c>
      <c r="O36" s="66" t="n">
        <v>6</v>
      </c>
      <c r="P36" s="66" t="n">
        <v>9</v>
      </c>
    </row>
    <row r="37" ht="15.75" customHeight="1" s="45">
      <c r="A37" s="61" t="n">
        <v>46176</v>
      </c>
      <c r="B37" s="62" t="inlineStr">
        <is>
          <t>Antes-Projeto</t>
        </is>
      </c>
      <c r="C37" s="68" t="inlineStr">
        <is>
          <t>GAEs Abertas</t>
        </is>
      </c>
      <c r="D37" s="69" t="n">
        <v>262</v>
      </c>
      <c r="E37" s="69" t="n">
        <v>155</v>
      </c>
      <c r="F37" s="69" t="n">
        <v>151</v>
      </c>
      <c r="G37" s="69" t="n">
        <v>141</v>
      </c>
      <c r="H37" s="69" t="n">
        <v>140</v>
      </c>
      <c r="I37" s="69" t="n">
        <v>177</v>
      </c>
      <c r="J37" s="69" t="n">
        <v>124</v>
      </c>
      <c r="K37" s="69" t="n">
        <v>343</v>
      </c>
      <c r="L37" s="69" t="n">
        <v>138</v>
      </c>
      <c r="M37" s="69" t="n">
        <v>276</v>
      </c>
      <c r="N37" s="69" t="n">
        <v>214</v>
      </c>
      <c r="O37" s="69" t="n">
        <v>268</v>
      </c>
      <c r="P37" s="69" t="n">
        <v>264</v>
      </c>
    </row>
    <row r="38" ht="15.75" customHeight="1" s="45">
      <c r="A38" s="61" t="n">
        <v>46176</v>
      </c>
      <c r="B38" s="62" t="inlineStr">
        <is>
          <t>Antes-Projeto</t>
        </is>
      </c>
      <c r="C38" s="68" t="inlineStr">
        <is>
          <t>GAEs Classificadas</t>
        </is>
      </c>
      <c r="D38" s="69" t="n">
        <v>244</v>
      </c>
      <c r="E38" s="69" t="n">
        <v>150</v>
      </c>
      <c r="F38" s="69" t="n">
        <v>146</v>
      </c>
      <c r="G38" s="69" t="n">
        <v>137</v>
      </c>
      <c r="H38" s="69" t="n">
        <v>138</v>
      </c>
      <c r="I38" s="69" t="n">
        <v>165</v>
      </c>
      <c r="J38" s="69" t="n">
        <v>120</v>
      </c>
      <c r="K38" s="69" t="n">
        <v>308</v>
      </c>
      <c r="L38" s="69" t="n">
        <v>130</v>
      </c>
      <c r="M38" s="69" t="n">
        <v>267</v>
      </c>
      <c r="N38" s="69" t="n">
        <v>205</v>
      </c>
      <c r="O38" s="69" t="n">
        <v>253</v>
      </c>
      <c r="P38" s="69" t="n">
        <v>248</v>
      </c>
    </row>
    <row r="39" ht="15.75" customHeight="1" s="45">
      <c r="A39" s="61" t="n">
        <v>46176</v>
      </c>
      <c r="B39" s="62" t="inlineStr">
        <is>
          <t>Antes-Projeto</t>
        </is>
      </c>
      <c r="C39" s="70" t="inlineStr">
        <is>
          <t>Percentual de GAEs abertas classificadas</t>
        </is>
      </c>
      <c r="D39" s="71">
        <f>IFERROR(D38/D37,"-")</f>
        <v/>
      </c>
      <c r="E39" s="71">
        <f>IFERROR(E38/E37,"-")</f>
        <v/>
      </c>
      <c r="F39" s="71">
        <f>IFERROR(F38/F37,"-")</f>
        <v/>
      </c>
      <c r="G39" s="71">
        <f>IFERROR(G38/G37,"-")</f>
        <v/>
      </c>
      <c r="H39" s="71">
        <f>IFERROR(H38/H37,"-")</f>
        <v/>
      </c>
      <c r="I39" s="71">
        <f>IFERROR(I38/I37,"-")</f>
        <v/>
      </c>
      <c r="J39" s="71">
        <f>IFERROR(J38/J37,"-")</f>
        <v/>
      </c>
      <c r="K39" s="71">
        <f>IFERROR(K38/K37,"-")</f>
        <v/>
      </c>
      <c r="L39" s="71">
        <f>IFERROR(L38/L37,"-")</f>
        <v/>
      </c>
      <c r="M39" s="71">
        <f>IFERROR(M38/M37,"-")</f>
        <v/>
      </c>
      <c r="N39" s="71">
        <f>IFERROR(N38/N37,"-")</f>
        <v/>
      </c>
      <c r="O39" s="71">
        <f>IFERROR(O38/O37,"-")</f>
        <v/>
      </c>
      <c r="P39" s="71">
        <f>IFERROR(P38/P37,"-")</f>
        <v/>
      </c>
    </row>
    <row r="40" ht="15.75" customHeight="1" s="45">
      <c r="A40" s="61" t="n">
        <v>46176</v>
      </c>
      <c r="B40" s="62" t="inlineStr">
        <is>
          <t>Antes-Projeto</t>
        </is>
      </c>
      <c r="C40" s="72" t="inlineStr">
        <is>
          <t>Tempo Médio — 🟡 Amarelo (hh:mm)</t>
        </is>
      </c>
      <c r="D40" s="73" t="n">
        <v>0.107662037037037</v>
      </c>
      <c r="E40" s="73" t="n">
        <v>0.1045717592592593</v>
      </c>
      <c r="F40" s="73" t="n">
        <v>0.1159259259259259</v>
      </c>
      <c r="G40" s="73" t="n">
        <v>0.03309027777777778</v>
      </c>
      <c r="H40" s="73" t="n">
        <v>0.08497685185185185</v>
      </c>
      <c r="I40" s="73" t="n">
        <v>0.08868055555555555</v>
      </c>
      <c r="J40" s="73" t="n">
        <v>0.05947916666666667</v>
      </c>
      <c r="K40" s="73" t="n">
        <v>0.08128472222222222</v>
      </c>
      <c r="L40" s="73" t="n">
        <v>0.06712962962962964</v>
      </c>
      <c r="M40" s="73" t="n">
        <v>0.0591087962962963</v>
      </c>
      <c r="N40" s="73" t="n">
        <v>0.07568287037037037</v>
      </c>
      <c r="O40" s="73" t="n">
        <v>0.06792824074074075</v>
      </c>
      <c r="P40" s="73" t="n">
        <v>0.1084722222222222</v>
      </c>
    </row>
    <row r="41" ht="15.75" customHeight="1" s="45">
      <c r="A41" s="61" t="n">
        <v>46176</v>
      </c>
      <c r="B41" s="62" t="inlineStr">
        <is>
          <t>Antes-Projeto</t>
        </is>
      </c>
      <c r="C41" s="74" t="inlineStr">
        <is>
          <t>Tempo Médio — 🟠 Laranja (hh:mm)</t>
        </is>
      </c>
      <c r="D41" s="75" t="n">
        <v>0.01050925925925926</v>
      </c>
      <c r="E41" s="75" t="n">
        <v>0.007893518518518518</v>
      </c>
      <c r="F41" s="75" t="n">
        <v>0.009351851851851853</v>
      </c>
      <c r="G41" s="75" t="n">
        <v>0.009641203703703704</v>
      </c>
      <c r="H41" s="75" t="n">
        <v>0.00449074074074074</v>
      </c>
      <c r="I41" s="75" t="n">
        <v>0.008726851851851852</v>
      </c>
      <c r="J41" s="75" t="n">
        <v>0.01065972222222222</v>
      </c>
      <c r="K41" s="75" t="n">
        <v>0.01533564814814815</v>
      </c>
      <c r="L41" s="75" t="n">
        <v>0.0194212962962963</v>
      </c>
      <c r="M41" s="75" t="n">
        <v>0.009421296296296296</v>
      </c>
      <c r="N41" s="75" t="n">
        <v>0.02033564814814815</v>
      </c>
      <c r="O41" s="75" t="n">
        <v>0.01672453703703704</v>
      </c>
      <c r="P41" s="75" t="n">
        <v>0.01619212962962963</v>
      </c>
    </row>
    <row r="42" ht="15.75" customHeight="1" s="45">
      <c r="A42" s="76" t="n">
        <v>46176</v>
      </c>
      <c r="B42" s="77" t="inlineStr">
        <is>
          <t>Antes-Projeto</t>
        </is>
      </c>
      <c r="C42" s="78" t="inlineStr">
        <is>
          <t>Tempo Médio — 🟢 Verde   (hh:mm)</t>
        </is>
      </c>
      <c r="D42" s="79" t="n">
        <v>0.08601851851851852</v>
      </c>
      <c r="E42" s="79" t="n">
        <v>0.1561921296296296</v>
      </c>
      <c r="F42" s="79" t="n">
        <v>0.1063657407407407</v>
      </c>
      <c r="G42" s="79" t="n">
        <v>0.08383101851851851</v>
      </c>
      <c r="H42" s="79" t="n">
        <v>0.1073032407407407</v>
      </c>
      <c r="I42" s="79" t="n">
        <v>0.129212962962963</v>
      </c>
      <c r="J42" s="79" t="n">
        <v>0.1215162037037037</v>
      </c>
      <c r="K42" s="79" t="n">
        <v>0.1019444444444444</v>
      </c>
      <c r="L42" s="79" t="n">
        <v>0.07586805555555555</v>
      </c>
      <c r="M42" s="79" t="n">
        <v>0.08849537037037038</v>
      </c>
      <c r="N42" s="79" t="n">
        <v>0.1215740740740741</v>
      </c>
      <c r="O42" s="79" t="n">
        <v>0.1063888888888889</v>
      </c>
      <c r="P42" s="79" t="n">
        <v>0.1239467592592593</v>
      </c>
    </row>
    <row r="43" ht="15.75" customHeight="1" s="45">
      <c r="A43" s="57" t="n">
        <v>46177</v>
      </c>
      <c r="B43" s="58" t="inlineStr">
        <is>
          <t>Antes-Projeto</t>
        </is>
      </c>
      <c r="C43" s="59" t="inlineStr">
        <is>
          <t>Acolhim. + Atend. Urgência + Atend. UPA</t>
        </is>
      </c>
      <c r="D43" s="60">
        <f>SUM(D44:D46)</f>
        <v/>
      </c>
      <c r="E43" s="60">
        <f>SUM(E44:E46)</f>
        <v/>
      </c>
      <c r="F43" s="60">
        <f>SUM(F44:F46)</f>
        <v/>
      </c>
      <c r="G43" s="60">
        <f>SUM(G44:G46)</f>
        <v/>
      </c>
      <c r="H43" s="60">
        <f>SUM(H44:H46)</f>
        <v/>
      </c>
      <c r="I43" s="60">
        <f>SUM(I44:I46)</f>
        <v/>
      </c>
      <c r="J43" s="60">
        <f>SUM(J44:J46)</f>
        <v/>
      </c>
      <c r="K43" s="60">
        <f>SUM(K44:K46)</f>
        <v/>
      </c>
      <c r="L43" s="60">
        <f>SUM(L44:L46)</f>
        <v/>
      </c>
      <c r="M43" s="60">
        <f>SUM(M44:M46)</f>
        <v/>
      </c>
      <c r="N43" s="60">
        <f>SUM(N44:N46)</f>
        <v/>
      </c>
      <c r="O43" s="60">
        <f>SUM(O44:O46)</f>
        <v/>
      </c>
      <c r="P43" s="60">
        <f>SUM(P44:P46)</f>
        <v/>
      </c>
    </row>
    <row r="44" ht="15.75" customHeight="1" s="45">
      <c r="A44" s="61" t="n">
        <v>46177</v>
      </c>
      <c r="B44" s="62" t="inlineStr">
        <is>
          <t>Antes-Projeto</t>
        </is>
      </c>
      <c r="C44" s="65" t="inlineStr">
        <is>
          <t>Acolhimento c/ Classif. de Risco</t>
        </is>
      </c>
      <c r="D44" s="66" t="n">
        <v>184</v>
      </c>
      <c r="E44" s="66" t="n">
        <v>142</v>
      </c>
      <c r="F44" s="66" t="n">
        <v>129</v>
      </c>
      <c r="G44" s="66" t="n">
        <v>101</v>
      </c>
      <c r="H44" s="66" t="n">
        <v>103</v>
      </c>
      <c r="I44" s="66" t="n">
        <v>192</v>
      </c>
      <c r="J44" s="66" t="n">
        <v>70</v>
      </c>
      <c r="K44" s="66" t="n">
        <v>246</v>
      </c>
      <c r="L44" s="66" t="n">
        <v>128</v>
      </c>
      <c r="M44" s="66" t="n">
        <v>208</v>
      </c>
      <c r="N44" s="66" t="n">
        <v>178</v>
      </c>
      <c r="O44" s="66" t="n">
        <v>231</v>
      </c>
      <c r="P44" s="66" t="n">
        <v>230</v>
      </c>
    </row>
    <row r="45" ht="15.75" customHeight="1" s="45">
      <c r="A45" s="61" t="n">
        <v>46177</v>
      </c>
      <c r="B45" s="62" t="inlineStr">
        <is>
          <t>Antes-Projeto</t>
        </is>
      </c>
      <c r="C45" s="63" t="inlineStr">
        <is>
          <t>Atend. Urgência Obs. ≤ 24h</t>
        </is>
      </c>
      <c r="D45" s="64" t="n">
        <v>30</v>
      </c>
      <c r="E45" s="64" t="n">
        <v>46</v>
      </c>
      <c r="F45" s="64" t="n">
        <v>24</v>
      </c>
      <c r="G45" s="64" t="n">
        <v>44</v>
      </c>
      <c r="H45" s="64" t="n">
        <v>8</v>
      </c>
      <c r="I45" s="64" t="n">
        <v>16</v>
      </c>
      <c r="J45" s="64" t="n">
        <v>34</v>
      </c>
      <c r="K45" s="64" t="n">
        <v>256</v>
      </c>
      <c r="L45" s="64" t="n">
        <v>42</v>
      </c>
      <c r="M45" s="64" t="n">
        <v>18</v>
      </c>
      <c r="N45" s="64" t="n">
        <v>33</v>
      </c>
      <c r="O45" s="64" t="n">
        <v>10</v>
      </c>
      <c r="P45" s="64" t="n">
        <v>21</v>
      </c>
    </row>
    <row r="46" ht="15.75" customHeight="1" s="45">
      <c r="A46" s="61" t="n">
        <v>46177</v>
      </c>
      <c r="B46" s="62" t="inlineStr">
        <is>
          <t>Antes-Projeto</t>
        </is>
      </c>
      <c r="C46" s="65" t="inlineStr">
        <is>
          <t>Atend. Médico em UPA</t>
        </is>
      </c>
      <c r="D46" s="66" t="n">
        <v>148</v>
      </c>
      <c r="E46" s="66" t="n">
        <v>67</v>
      </c>
      <c r="F46" s="66" t="n">
        <v>90</v>
      </c>
      <c r="G46" s="66" t="n">
        <v>86</v>
      </c>
      <c r="H46" s="66" t="n">
        <v>88</v>
      </c>
      <c r="I46" s="66" t="n">
        <v>161</v>
      </c>
      <c r="J46" s="66" t="n">
        <v>64</v>
      </c>
      <c r="K46" s="66" t="n">
        <v>182</v>
      </c>
      <c r="L46" s="66" t="n">
        <v>95</v>
      </c>
      <c r="M46" s="66" t="n">
        <v>141</v>
      </c>
      <c r="N46" s="66" t="n">
        <v>201</v>
      </c>
      <c r="O46" s="66" t="n">
        <v>145</v>
      </c>
      <c r="P46" s="66" t="n">
        <v>199</v>
      </c>
    </row>
    <row r="47" ht="15.75" customHeight="1" s="45">
      <c r="A47" s="61" t="n">
        <v>46177</v>
      </c>
      <c r="B47" s="62" t="inlineStr">
        <is>
          <t>Antes-Projeto</t>
        </is>
      </c>
      <c r="C47" s="63" t="inlineStr">
        <is>
          <t>Exames Laboratoriais</t>
        </is>
      </c>
      <c r="D47" s="64" t="n">
        <v>538</v>
      </c>
      <c r="E47" s="64" t="n">
        <v>300</v>
      </c>
      <c r="F47" s="64" t="n">
        <v>554</v>
      </c>
      <c r="G47" s="64" t="n">
        <v>193</v>
      </c>
      <c r="H47" s="64" t="n">
        <v>263</v>
      </c>
      <c r="I47" s="64" t="n">
        <v>554</v>
      </c>
      <c r="J47" s="64" t="n">
        <v>338</v>
      </c>
      <c r="K47" s="64" t="n">
        <v>917</v>
      </c>
      <c r="L47" s="64" t="n">
        <v>555</v>
      </c>
      <c r="M47" s="64" t="n">
        <v>606</v>
      </c>
      <c r="N47" s="64" t="n">
        <v>463</v>
      </c>
      <c r="O47" s="64" t="n">
        <v>275</v>
      </c>
      <c r="P47" s="64" t="n">
        <v>406</v>
      </c>
    </row>
    <row r="48" ht="15.75" customHeight="1" s="45">
      <c r="A48" s="61" t="n">
        <v>46177</v>
      </c>
      <c r="B48" s="62" t="inlineStr">
        <is>
          <t>Antes-Projeto</t>
        </is>
      </c>
      <c r="C48" s="65" t="inlineStr">
        <is>
          <t>Radiografias</t>
        </is>
      </c>
      <c r="D48" s="66" t="n">
        <v>33</v>
      </c>
      <c r="E48" s="66" t="n">
        <v>22</v>
      </c>
      <c r="F48" s="66" t="n">
        <v>30</v>
      </c>
      <c r="G48" s="66" t="n">
        <v>19</v>
      </c>
      <c r="H48" s="66" t="n">
        <v>20</v>
      </c>
      <c r="I48" s="66" t="n">
        <v>35</v>
      </c>
      <c r="J48" s="66" t="n">
        <v>13</v>
      </c>
      <c r="K48" s="66" t="n">
        <v>40</v>
      </c>
      <c r="L48" s="66" t="n">
        <v>23</v>
      </c>
      <c r="M48" s="66" t="n">
        <v>42</v>
      </c>
      <c r="N48" s="66" t="n">
        <v>40</v>
      </c>
      <c r="O48" s="66" t="n">
        <v>24</v>
      </c>
      <c r="P48" s="66" t="n">
        <v>47</v>
      </c>
    </row>
    <row r="49" ht="15.75" customHeight="1" s="45">
      <c r="A49" s="61" t="n">
        <v>46177</v>
      </c>
      <c r="B49" s="62" t="inlineStr">
        <is>
          <t>Antes-Projeto</t>
        </is>
      </c>
      <c r="C49" s="63" t="inlineStr">
        <is>
          <t>Eletrocardiogramas</t>
        </is>
      </c>
      <c r="D49" s="64" t="n">
        <v>23</v>
      </c>
      <c r="E49" s="64" t="n">
        <v>14</v>
      </c>
      <c r="F49" s="64" t="n">
        <v>23</v>
      </c>
      <c r="G49" s="64" t="n">
        <v>7</v>
      </c>
      <c r="H49" s="64" t="n">
        <v>4</v>
      </c>
      <c r="I49" s="64" t="n">
        <v>8</v>
      </c>
      <c r="J49" s="64" t="n">
        <v>12</v>
      </c>
      <c r="K49" s="64" t="n">
        <v>22</v>
      </c>
      <c r="L49" s="64" t="n">
        <v>8</v>
      </c>
      <c r="M49" s="64" t="n">
        <v>14</v>
      </c>
      <c r="N49" s="64" t="n">
        <v>32</v>
      </c>
      <c r="O49" s="64" t="n">
        <v>13</v>
      </c>
      <c r="P49" s="64" t="n">
        <v>19</v>
      </c>
    </row>
    <row r="50" ht="15.75" customHeight="1" s="45">
      <c r="A50" s="61" t="n">
        <v>46177</v>
      </c>
      <c r="B50" s="62" t="inlineStr">
        <is>
          <t>Antes-Projeto</t>
        </is>
      </c>
      <c r="C50" s="68" t="inlineStr">
        <is>
          <t>GAEs Abertas</t>
        </is>
      </c>
      <c r="D50" s="69" t="n">
        <v>197</v>
      </c>
      <c r="E50" s="69" t="n">
        <v>152</v>
      </c>
      <c r="F50" s="69" t="n">
        <v>131</v>
      </c>
      <c r="G50" s="69" t="n">
        <v>100</v>
      </c>
      <c r="H50" s="69" t="n">
        <v>108</v>
      </c>
      <c r="I50" s="69" t="n">
        <v>203</v>
      </c>
      <c r="J50" s="69" t="n">
        <v>72</v>
      </c>
      <c r="K50" s="69" t="n">
        <v>258</v>
      </c>
      <c r="L50" s="69" t="n">
        <v>131</v>
      </c>
      <c r="M50" s="69" t="n">
        <v>219</v>
      </c>
      <c r="N50" s="69" t="n">
        <v>188</v>
      </c>
      <c r="O50" s="69" t="n">
        <v>243</v>
      </c>
      <c r="P50" s="69" t="n">
        <v>239</v>
      </c>
    </row>
    <row r="51" ht="15.75" customHeight="1" s="45">
      <c r="A51" s="61" t="n">
        <v>46177</v>
      </c>
      <c r="B51" s="62" t="inlineStr">
        <is>
          <t>Antes-Projeto</t>
        </is>
      </c>
      <c r="C51" s="68" t="inlineStr">
        <is>
          <t>GAEs Classificadas</t>
        </is>
      </c>
      <c r="D51" s="69" t="n">
        <v>183</v>
      </c>
      <c r="E51" s="69" t="n">
        <v>144</v>
      </c>
      <c r="F51" s="69" t="n">
        <v>128</v>
      </c>
      <c r="G51" s="69" t="n">
        <v>100</v>
      </c>
      <c r="H51" s="69" t="n">
        <v>105</v>
      </c>
      <c r="I51" s="69" t="n">
        <v>193</v>
      </c>
      <c r="J51" s="69" t="n">
        <v>68</v>
      </c>
      <c r="K51" s="69" t="n">
        <v>241</v>
      </c>
      <c r="L51" s="69" t="n">
        <v>130</v>
      </c>
      <c r="M51" s="69" t="n">
        <v>204</v>
      </c>
      <c r="N51" s="69" t="n">
        <v>181</v>
      </c>
      <c r="O51" s="69" t="n">
        <v>232</v>
      </c>
      <c r="P51" s="69" t="n">
        <v>231</v>
      </c>
    </row>
    <row r="52" ht="15.75" customHeight="1" s="45">
      <c r="A52" s="61" t="n">
        <v>46177</v>
      </c>
      <c r="B52" s="62" t="inlineStr">
        <is>
          <t>Antes-Projeto</t>
        </is>
      </c>
      <c r="C52" s="70" t="inlineStr">
        <is>
          <t>Percentual de GAEs abertas classificadas</t>
        </is>
      </c>
      <c r="D52" s="71">
        <f>IFERROR(D51/D50,"-")</f>
        <v/>
      </c>
      <c r="E52" s="71">
        <f>IFERROR(E51/E50,"-")</f>
        <v/>
      </c>
      <c r="F52" s="71">
        <f>IFERROR(F51/F50,"-")</f>
        <v/>
      </c>
      <c r="G52" s="71">
        <f>IFERROR(G51/G50,"-")</f>
        <v/>
      </c>
      <c r="H52" s="71">
        <f>IFERROR(H51/H50,"-")</f>
        <v/>
      </c>
      <c r="I52" s="71">
        <f>IFERROR(I51/I50,"-")</f>
        <v/>
      </c>
      <c r="J52" s="71">
        <f>IFERROR(J51/J50,"-")</f>
        <v/>
      </c>
      <c r="K52" s="71">
        <f>IFERROR(K51/K50,"-")</f>
        <v/>
      </c>
      <c r="L52" s="71">
        <f>IFERROR(L51/L50,"-")</f>
        <v/>
      </c>
      <c r="M52" s="71">
        <f>IFERROR(M51/M50,"-")</f>
        <v/>
      </c>
      <c r="N52" s="71">
        <f>IFERROR(N51/N50,"-")</f>
        <v/>
      </c>
      <c r="O52" s="71">
        <f>IFERROR(O51/O50,"-")</f>
        <v/>
      </c>
      <c r="P52" s="71">
        <f>IFERROR(P51/P50,"-")</f>
        <v/>
      </c>
    </row>
    <row r="53" ht="15.75" customHeight="1" s="45">
      <c r="A53" s="61" t="n">
        <v>46177</v>
      </c>
      <c r="B53" s="62" t="inlineStr">
        <is>
          <t>Antes-Projeto</t>
        </is>
      </c>
      <c r="C53" s="72" t="inlineStr">
        <is>
          <t>Tempo Médio — 🟡 Amarelo (hh:mm)</t>
        </is>
      </c>
      <c r="D53" s="73" t="n">
        <v>0.01822916666666667</v>
      </c>
      <c r="E53" s="73" t="n">
        <v>0.2429282407407407</v>
      </c>
      <c r="F53" s="73" t="n">
        <v>0.04859953703703704</v>
      </c>
      <c r="G53" s="73" t="n">
        <v>0.01962962962962963</v>
      </c>
      <c r="H53" s="73" t="n">
        <v>0.01818287037037037</v>
      </c>
      <c r="I53" s="73" t="n">
        <v>0.01072916666666667</v>
      </c>
      <c r="J53" s="73" t="n">
        <v>0.02815972222222222</v>
      </c>
      <c r="K53" s="73" t="n">
        <v>0.1375</v>
      </c>
      <c r="L53" s="73" t="n">
        <v>0.04125</v>
      </c>
      <c r="M53" s="73" t="n">
        <v>0.03239583333333333</v>
      </c>
      <c r="N53" s="73" t="n">
        <v>0.05125</v>
      </c>
      <c r="O53" s="73" t="n">
        <v>0.04898148148148148</v>
      </c>
      <c r="P53" s="73" t="n">
        <v>0.03363425925925926</v>
      </c>
    </row>
    <row r="54" ht="15.75" customHeight="1" s="45">
      <c r="A54" s="61" t="n">
        <v>46177</v>
      </c>
      <c r="B54" s="62" t="inlineStr">
        <is>
          <t>Antes-Projeto</t>
        </is>
      </c>
      <c r="C54" s="74" t="inlineStr">
        <is>
          <t>Tempo Médio — 🟠 Laranja (hh:mm)</t>
        </is>
      </c>
      <c r="D54" s="75" t="n">
        <v>0.008032407407407408</v>
      </c>
      <c r="E54" s="75" t="n">
        <v>0.01634259259259259</v>
      </c>
      <c r="F54" s="75" t="n">
        <v>0.005451388888888889</v>
      </c>
      <c r="G54" s="75" t="n">
        <v>0.004120370370370371</v>
      </c>
      <c r="H54" s="75" t="n">
        <v>0.00798611111111111</v>
      </c>
      <c r="I54" s="75" t="n">
        <v>0.002407407407407408</v>
      </c>
      <c r="J54" s="75" t="n">
        <v>0.01101851851851852</v>
      </c>
      <c r="K54" s="75" t="n">
        <v>0.01780092592592592</v>
      </c>
      <c r="L54" s="75" t="n">
        <v>0.008877314814814815</v>
      </c>
      <c r="M54" s="75" t="n">
        <v>0.01363425925925926</v>
      </c>
      <c r="N54" s="75" t="n">
        <v>0.01247685185185185</v>
      </c>
      <c r="O54" s="75" t="n">
        <v>0.008761574074074074</v>
      </c>
      <c r="P54" s="75" t="n">
        <v>0.01695601851851852</v>
      </c>
    </row>
    <row r="55" ht="15.75" customHeight="1" s="45">
      <c r="A55" s="76" t="n">
        <v>46177</v>
      </c>
      <c r="B55" s="77" t="inlineStr">
        <is>
          <t>Antes-Projeto</t>
        </is>
      </c>
      <c r="C55" s="78" t="inlineStr">
        <is>
          <t>Tempo Médio — 🟢 Verde   (hh:mm)</t>
        </is>
      </c>
      <c r="D55" s="79" t="n">
        <v>0.04909722222222222</v>
      </c>
      <c r="E55" s="79" t="n">
        <v>0.1974074074074074</v>
      </c>
      <c r="F55" s="79" t="n">
        <v>0.1536921296296296</v>
      </c>
      <c r="G55" s="79" t="n">
        <v>0.028125</v>
      </c>
      <c r="H55" s="79" t="n">
        <v>0.05157407407407407</v>
      </c>
      <c r="I55" s="79" t="n">
        <v>0.03587962962962963</v>
      </c>
      <c r="J55" s="79" t="n">
        <v>0.04716435185185185</v>
      </c>
      <c r="K55" s="79" t="n">
        <v>0.06284722222222222</v>
      </c>
      <c r="L55" s="79" t="n">
        <v>0.06684027777777778</v>
      </c>
      <c r="M55" s="79" t="n">
        <v>0.08302083333333334</v>
      </c>
      <c r="N55" s="79" t="n">
        <v>0.09925925925925926</v>
      </c>
      <c r="O55" s="79" t="n">
        <v>0.09373842592592592</v>
      </c>
      <c r="P55" s="79" t="n">
        <v>0.06202546296296296</v>
      </c>
    </row>
    <row r="56" ht="15.75" customHeight="1" s="45">
      <c r="A56" s="57" t="n">
        <v>46178</v>
      </c>
      <c r="B56" s="81" t="inlineStr">
        <is>
          <t>Pós-Projeto</t>
        </is>
      </c>
      <c r="C56" s="59" t="inlineStr">
        <is>
          <t>Acolhim. + Atend. Urgência + Atend. UPA</t>
        </is>
      </c>
      <c r="D56" s="60">
        <f>SUM(D57:D59)</f>
        <v/>
      </c>
      <c r="E56" s="60">
        <f>SUM(E57:E59)</f>
        <v/>
      </c>
      <c r="F56" s="60">
        <f>SUM(F57:F59)</f>
        <v/>
      </c>
      <c r="G56" s="60">
        <f>SUM(G57:G59)</f>
        <v/>
      </c>
      <c r="H56" s="60">
        <f>SUM(H57:H59)</f>
        <v/>
      </c>
      <c r="I56" s="60">
        <f>SUM(I57:I59)</f>
        <v/>
      </c>
      <c r="J56" s="60">
        <f>SUM(J57:J59)</f>
        <v/>
      </c>
      <c r="K56" s="60">
        <f>SUM(K57:K59)</f>
        <v/>
      </c>
      <c r="L56" s="60">
        <f>SUM(L57:L59)</f>
        <v/>
      </c>
      <c r="M56" s="60">
        <f>SUM(M57:M59)</f>
        <v/>
      </c>
      <c r="N56" s="60">
        <f>SUM(N57:N59)</f>
        <v/>
      </c>
      <c r="O56" s="60">
        <f>SUM(O57:O59)</f>
        <v/>
      </c>
      <c r="P56" s="60">
        <f>SUM(P57:P59)</f>
        <v/>
      </c>
    </row>
    <row r="57" ht="15.75" customHeight="1" s="45">
      <c r="A57" s="61" t="n">
        <v>46178</v>
      </c>
      <c r="B57" s="82" t="inlineStr">
        <is>
          <t>Pós-Projeto</t>
        </is>
      </c>
      <c r="C57" s="83" t="inlineStr">
        <is>
          <t>Acolhimento c/ Classif. de Risco</t>
        </is>
      </c>
      <c r="D57" s="64" t="n">
        <v>238</v>
      </c>
      <c r="E57" s="64" t="n">
        <v>173</v>
      </c>
      <c r="F57" s="64" t="n">
        <v>142</v>
      </c>
      <c r="G57" s="64" t="n">
        <v>129</v>
      </c>
      <c r="H57" s="64" t="n">
        <v>132</v>
      </c>
      <c r="I57" s="64" t="n">
        <v>223</v>
      </c>
      <c r="J57" s="64" t="n">
        <v>108</v>
      </c>
      <c r="K57" s="64" t="n">
        <v>319</v>
      </c>
      <c r="L57" s="64" t="n">
        <v>158</v>
      </c>
      <c r="M57" s="64" t="n">
        <v>241</v>
      </c>
      <c r="N57" s="64" t="n">
        <v>215</v>
      </c>
      <c r="O57" s="64" t="n">
        <v>257</v>
      </c>
      <c r="P57" s="64" t="n">
        <v>253</v>
      </c>
    </row>
    <row r="58" ht="15.75" customHeight="1" s="45">
      <c r="A58" s="61" t="n">
        <v>46178</v>
      </c>
      <c r="B58" s="82" t="inlineStr">
        <is>
          <t>Pós-Projeto</t>
        </is>
      </c>
      <c r="C58" s="84" t="inlineStr">
        <is>
          <t>Atend. Urgência Obs. ≤ 24h</t>
        </is>
      </c>
      <c r="D58" s="66" t="n">
        <v>7</v>
      </c>
      <c r="E58" s="66" t="n">
        <v>50</v>
      </c>
      <c r="F58" s="66" t="n">
        <v>25</v>
      </c>
      <c r="G58" s="66" t="n">
        <v>52</v>
      </c>
      <c r="H58" s="66" t="n">
        <v>12</v>
      </c>
      <c r="I58" s="66" t="n">
        <v>25</v>
      </c>
      <c r="J58" s="66" t="n">
        <v>16</v>
      </c>
      <c r="K58" s="66" t="n">
        <v>122</v>
      </c>
      <c r="L58" s="66" t="n">
        <v>39</v>
      </c>
      <c r="M58" s="66" t="n">
        <v>37</v>
      </c>
      <c r="N58" s="66" t="n">
        <v>23</v>
      </c>
      <c r="O58" s="66" t="n">
        <v>17</v>
      </c>
      <c r="P58" s="66" t="n">
        <v>18</v>
      </c>
    </row>
    <row r="59" ht="15.75" customHeight="1" s="45">
      <c r="A59" s="61" t="n">
        <v>46178</v>
      </c>
      <c r="B59" s="82" t="inlineStr">
        <is>
          <t>Pós-Projeto</t>
        </is>
      </c>
      <c r="C59" s="83" t="inlineStr">
        <is>
          <t>Atend. Médico em UPA</t>
        </is>
      </c>
      <c r="D59" s="64" t="n">
        <v>163</v>
      </c>
      <c r="E59" s="64" t="n">
        <v>127</v>
      </c>
      <c r="F59" s="64" t="n">
        <v>101</v>
      </c>
      <c r="G59" s="64" t="n">
        <v>82</v>
      </c>
      <c r="H59" s="64" t="n">
        <v>110</v>
      </c>
      <c r="I59" s="64" t="n">
        <v>191</v>
      </c>
      <c r="J59" s="64" t="n">
        <v>63</v>
      </c>
      <c r="K59" s="64" t="n">
        <v>270</v>
      </c>
      <c r="L59" s="64" t="n">
        <v>123</v>
      </c>
      <c r="M59" s="64" t="n">
        <v>178</v>
      </c>
      <c r="N59" s="64" t="n">
        <v>150</v>
      </c>
      <c r="O59" s="64" t="n">
        <v>172</v>
      </c>
      <c r="P59" s="64" t="n">
        <v>175</v>
      </c>
    </row>
    <row r="60" ht="15.75" customHeight="1" s="45">
      <c r="A60" s="61" t="n">
        <v>46178</v>
      </c>
      <c r="B60" s="82" t="inlineStr">
        <is>
          <t>Pós-Projeto</t>
        </is>
      </c>
      <c r="C60" s="84" t="inlineStr">
        <is>
          <t>Exames Laboratoriais</t>
        </is>
      </c>
      <c r="D60" s="66" t="n">
        <v>634</v>
      </c>
      <c r="E60" s="66" t="n">
        <v>550</v>
      </c>
      <c r="F60" s="66" t="n">
        <v>409</v>
      </c>
      <c r="G60" s="66" t="n">
        <v>329</v>
      </c>
      <c r="H60" s="66" t="n">
        <v>293</v>
      </c>
      <c r="I60" s="66" t="n">
        <v>590</v>
      </c>
      <c r="J60" s="66" t="n">
        <v>307</v>
      </c>
      <c r="K60" s="66" t="n">
        <v>984</v>
      </c>
      <c r="L60" s="66" t="n">
        <v>707</v>
      </c>
      <c r="M60" s="66" t="n">
        <v>503</v>
      </c>
      <c r="N60" s="66" t="n">
        <v>406</v>
      </c>
      <c r="O60" s="66" t="n">
        <v>565</v>
      </c>
      <c r="P60" s="66" t="n">
        <v>551</v>
      </c>
    </row>
    <row r="61" ht="15.75" customHeight="1" s="45">
      <c r="A61" s="61" t="n">
        <v>46178</v>
      </c>
      <c r="B61" s="82" t="inlineStr">
        <is>
          <t>Pós-Projeto</t>
        </is>
      </c>
      <c r="C61" s="83" t="inlineStr">
        <is>
          <t>Radiografias</t>
        </is>
      </c>
      <c r="D61" s="64" t="n">
        <v>23</v>
      </c>
      <c r="E61" s="64" t="n">
        <v>33</v>
      </c>
      <c r="F61" s="64" t="n">
        <v>26</v>
      </c>
      <c r="G61" s="64" t="n">
        <v>21</v>
      </c>
      <c r="H61" s="64" t="n">
        <v>18</v>
      </c>
      <c r="I61" s="64" t="n">
        <v>28</v>
      </c>
      <c r="J61" s="64" t="n">
        <v>26</v>
      </c>
      <c r="K61" s="64" t="n">
        <v>74</v>
      </c>
      <c r="L61" s="64" t="n">
        <v>10</v>
      </c>
      <c r="M61" s="64" t="n">
        <v>32</v>
      </c>
      <c r="N61" s="64" t="n">
        <v>17</v>
      </c>
      <c r="O61" s="64" t="n">
        <v>41</v>
      </c>
      <c r="P61" s="64" t="n">
        <v>63</v>
      </c>
    </row>
    <row r="62" ht="15.75" customHeight="1" s="45">
      <c r="A62" s="61" t="n">
        <v>46178</v>
      </c>
      <c r="B62" s="82" t="inlineStr">
        <is>
          <t>Pós-Projeto</t>
        </is>
      </c>
      <c r="C62" s="84" t="inlineStr">
        <is>
          <t>Eletrocardiogramas</t>
        </is>
      </c>
      <c r="D62" s="66" t="n">
        <v>11</v>
      </c>
      <c r="E62" s="66" t="n">
        <v>14</v>
      </c>
      <c r="F62" s="66" t="n">
        <v>17</v>
      </c>
      <c r="G62" s="66" t="n">
        <v>9</v>
      </c>
      <c r="H62" s="66" t="n">
        <v>6</v>
      </c>
      <c r="I62" s="66" t="n">
        <v>18</v>
      </c>
      <c r="J62" s="66" t="n">
        <v>6</v>
      </c>
      <c r="K62" s="67" t="n">
        <v>0</v>
      </c>
      <c r="L62" s="66" t="n">
        <v>18</v>
      </c>
      <c r="M62" s="66" t="n">
        <v>15</v>
      </c>
      <c r="N62" s="66" t="n">
        <v>4</v>
      </c>
      <c r="O62" s="67" t="n">
        <v>0</v>
      </c>
      <c r="P62" s="66" t="n">
        <v>10</v>
      </c>
    </row>
    <row r="63" ht="15.75" customHeight="1" s="45">
      <c r="A63" s="61" t="n">
        <v>46178</v>
      </c>
      <c r="B63" s="82" t="inlineStr">
        <is>
          <t>Pós-Projeto</t>
        </is>
      </c>
      <c r="C63" s="85" t="inlineStr">
        <is>
          <t>GAEs Abertas</t>
        </is>
      </c>
      <c r="D63" s="69" t="n">
        <v>248</v>
      </c>
      <c r="E63" s="69" t="n">
        <v>181</v>
      </c>
      <c r="F63" s="69" t="n">
        <v>146</v>
      </c>
      <c r="G63" s="69" t="n">
        <v>134</v>
      </c>
      <c r="H63" s="69" t="n">
        <v>133</v>
      </c>
      <c r="I63" s="69" t="n">
        <v>248</v>
      </c>
      <c r="J63" s="69" t="n">
        <v>110</v>
      </c>
      <c r="K63" s="69" t="n">
        <v>351</v>
      </c>
      <c r="L63" s="69" t="n">
        <v>168</v>
      </c>
      <c r="M63" s="69" t="n">
        <v>251</v>
      </c>
      <c r="N63" s="69" t="n">
        <v>220</v>
      </c>
      <c r="O63" s="69" t="n">
        <v>266</v>
      </c>
      <c r="P63" s="69" t="n">
        <v>260</v>
      </c>
    </row>
    <row r="64" ht="15.75" customHeight="1" s="45">
      <c r="A64" s="61" t="n">
        <v>46178</v>
      </c>
      <c r="B64" s="82" t="inlineStr">
        <is>
          <t>Pós-Projeto</t>
        </is>
      </c>
      <c r="C64" s="85" t="inlineStr">
        <is>
          <t>GAEs Classificadas</t>
        </is>
      </c>
      <c r="D64" s="69" t="n">
        <v>238</v>
      </c>
      <c r="E64" s="69" t="n">
        <v>174</v>
      </c>
      <c r="F64" s="69" t="n">
        <v>141</v>
      </c>
      <c r="G64" s="69" t="n">
        <v>129</v>
      </c>
      <c r="H64" s="69" t="n">
        <v>131</v>
      </c>
      <c r="I64" s="69" t="n">
        <v>221</v>
      </c>
      <c r="J64" s="69" t="n">
        <v>108</v>
      </c>
      <c r="K64" s="69" t="n">
        <v>324</v>
      </c>
      <c r="L64" s="69" t="n">
        <v>156</v>
      </c>
      <c r="M64" s="69" t="n">
        <v>244</v>
      </c>
      <c r="N64" s="69" t="n">
        <v>212</v>
      </c>
      <c r="O64" s="69" t="n">
        <v>258</v>
      </c>
      <c r="P64" s="69" t="n">
        <v>253</v>
      </c>
    </row>
    <row r="65" ht="15.75" customHeight="1" s="45">
      <c r="A65" s="61" t="n">
        <v>46178</v>
      </c>
      <c r="B65" s="82" t="inlineStr">
        <is>
          <t>Pós-Projeto</t>
        </is>
      </c>
      <c r="C65" s="86" t="inlineStr">
        <is>
          <t>Percentual de GAEs abertas classificadas</t>
        </is>
      </c>
      <c r="D65" s="71">
        <f>IFERROR(D64/D63,"-")</f>
        <v/>
      </c>
      <c r="E65" s="71">
        <f>IFERROR(E64/E63,"-")</f>
        <v/>
      </c>
      <c r="F65" s="71">
        <f>IFERROR(F64/F63,"-")</f>
        <v/>
      </c>
      <c r="G65" s="71">
        <f>IFERROR(G64/G63,"-")</f>
        <v/>
      </c>
      <c r="H65" s="71">
        <f>IFERROR(H64/H63,"-")</f>
        <v/>
      </c>
      <c r="I65" s="71">
        <f>IFERROR(I64/I63,"-")</f>
        <v/>
      </c>
      <c r="J65" s="71">
        <f>IFERROR(J64/J63,"-")</f>
        <v/>
      </c>
      <c r="K65" s="71">
        <f>IFERROR(K64/K63,"-")</f>
        <v/>
      </c>
      <c r="L65" s="71">
        <f>IFERROR(L64/L63,"-")</f>
        <v/>
      </c>
      <c r="M65" s="71">
        <f>IFERROR(M64/M63,"-")</f>
        <v/>
      </c>
      <c r="N65" s="71">
        <f>IFERROR(N64/N63,"-")</f>
        <v/>
      </c>
      <c r="O65" s="71">
        <f>IFERROR(O64/O63,"-")</f>
        <v/>
      </c>
      <c r="P65" s="71">
        <f>IFERROR(P64/P63,"-")</f>
        <v/>
      </c>
    </row>
    <row r="66" ht="15.75" customHeight="1" s="45">
      <c r="A66" s="61" t="n">
        <v>46178</v>
      </c>
      <c r="B66" s="82" t="inlineStr">
        <is>
          <t>Pós-Projeto</t>
        </is>
      </c>
      <c r="C66" s="87" t="inlineStr">
        <is>
          <t>Tempo Médio — 🟡 Amarelo (hh:mm)</t>
        </is>
      </c>
      <c r="D66" s="73" t="n">
        <v>0.07456018518518519</v>
      </c>
      <c r="E66" s="73" t="n">
        <v>0.07124999999999999</v>
      </c>
      <c r="F66" s="73" t="n">
        <v>0.06074074074074074</v>
      </c>
      <c r="G66" s="73" t="n">
        <v>0.03879629629629629</v>
      </c>
      <c r="H66" s="73" t="n">
        <v>0.0996412037037037</v>
      </c>
      <c r="I66" s="73" t="n">
        <v>0.0334837962962963</v>
      </c>
      <c r="J66" s="73" t="n">
        <v>0.0466550925925926</v>
      </c>
      <c r="K66" s="73" t="n">
        <v>0.08672453703703703</v>
      </c>
      <c r="L66" s="73" t="n">
        <v>0.05425925925925926</v>
      </c>
      <c r="M66" s="73" t="n">
        <v>0.0374537037037037</v>
      </c>
      <c r="N66" s="73" t="n">
        <v>0.06826388888888889</v>
      </c>
      <c r="O66" s="73" t="n">
        <v>0.04682870370370371</v>
      </c>
      <c r="P66" s="73" t="n">
        <v>0.02791666666666667</v>
      </c>
    </row>
    <row r="67" ht="15.75" customHeight="1" s="45">
      <c r="A67" s="61" t="n">
        <v>46178</v>
      </c>
      <c r="B67" s="82" t="inlineStr">
        <is>
          <t>Pós-Projeto</t>
        </is>
      </c>
      <c r="C67" s="88" t="inlineStr">
        <is>
          <t>Tempo Médio — 🟠 Laranja (hh:mm)</t>
        </is>
      </c>
      <c r="D67" s="75" t="n">
        <v>0.008958333333333334</v>
      </c>
      <c r="E67" s="75" t="n">
        <v>0.008159722222222223</v>
      </c>
      <c r="F67" s="75" t="n">
        <v>0.005462962962962963</v>
      </c>
      <c r="G67" s="75" t="n">
        <v>0.004652777777777777</v>
      </c>
      <c r="H67" s="75" t="n">
        <v>0.004386574074074074</v>
      </c>
      <c r="I67" s="75" t="n">
        <v>0.005752314814814815</v>
      </c>
      <c r="J67" s="75" t="n">
        <v>0.00886574074074074</v>
      </c>
      <c r="K67" s="75" t="n">
        <v>0.01256944444444444</v>
      </c>
      <c r="L67" s="75" t="n">
        <v>0.008310185185185184</v>
      </c>
      <c r="M67" s="75" t="n">
        <v>0.007824074074074074</v>
      </c>
      <c r="N67" s="75" t="n">
        <v>0.01341435185185185</v>
      </c>
      <c r="O67" s="75" t="n">
        <v>0.01662037037037037</v>
      </c>
      <c r="P67" s="75" t="n">
        <v>0.01344907407407407</v>
      </c>
    </row>
    <row r="68" ht="15.75" customHeight="1" s="45">
      <c r="A68" s="76" t="n">
        <v>46178</v>
      </c>
      <c r="B68" s="89" t="inlineStr">
        <is>
          <t>Pós-Projeto</t>
        </is>
      </c>
      <c r="C68" s="90" t="inlineStr">
        <is>
          <t>Tempo Médio — 🟢 Verde   (hh:mm)</t>
        </is>
      </c>
      <c r="D68" s="79" t="n">
        <v>0.07337962962962963</v>
      </c>
      <c r="E68" s="79" t="n">
        <v>0.09546296296296296</v>
      </c>
      <c r="F68" s="79" t="n">
        <v>0.1012152777777778</v>
      </c>
      <c r="G68" s="79" t="n">
        <v>0.0969212962962963</v>
      </c>
      <c r="H68" s="79" t="n">
        <v>0.09840277777777778</v>
      </c>
      <c r="I68" s="79" t="n">
        <v>0.09730324074074075</v>
      </c>
      <c r="J68" s="79" t="n">
        <v>0.07347222222222222</v>
      </c>
      <c r="K68" s="79" t="n">
        <v>0.07098379629629629</v>
      </c>
      <c r="L68" s="79" t="n">
        <v>0.1188078703703704</v>
      </c>
      <c r="M68" s="79" t="n">
        <v>0.06584490740740741</v>
      </c>
      <c r="N68" s="79" t="n">
        <v>0.1382986111111111</v>
      </c>
      <c r="O68" s="79" t="n">
        <v>0.1759143518518519</v>
      </c>
      <c r="P68" s="79" t="n">
        <v>0.04258101851851852</v>
      </c>
    </row>
    <row r="69" ht="15.75" customHeight="1" s="45">
      <c r="A69" s="57" t="n">
        <v>46179</v>
      </c>
      <c r="B69" s="81" t="inlineStr">
        <is>
          <t>Pós-Projeto</t>
        </is>
      </c>
      <c r="C69" s="59" t="inlineStr">
        <is>
          <t>Acolhim. + Atend. Urgência + Atend. UPA</t>
        </is>
      </c>
      <c r="D69" s="60">
        <f>SUM(D70:D72)</f>
        <v/>
      </c>
      <c r="E69" s="60">
        <f>SUM(E70:E72)</f>
        <v/>
      </c>
      <c r="F69" s="60">
        <f>SUM(F70:F72)</f>
        <v/>
      </c>
      <c r="G69" s="60">
        <f>SUM(G70:G72)</f>
        <v/>
      </c>
      <c r="H69" s="60">
        <f>SUM(H70:H72)</f>
        <v/>
      </c>
      <c r="I69" s="60">
        <f>SUM(I70:I72)</f>
        <v/>
      </c>
      <c r="J69" s="60">
        <f>SUM(J70:J72)</f>
        <v/>
      </c>
      <c r="K69" s="60">
        <f>SUM(K70:K72)</f>
        <v/>
      </c>
      <c r="L69" s="60">
        <f>SUM(L70:L72)</f>
        <v/>
      </c>
      <c r="M69" s="60">
        <f>SUM(M70:M72)</f>
        <v/>
      </c>
      <c r="N69" s="60">
        <f>SUM(N70:N72)</f>
        <v/>
      </c>
      <c r="O69" s="60">
        <f>SUM(O70:O72)</f>
        <v/>
      </c>
      <c r="P69" s="60">
        <f>SUM(P70:P72)</f>
        <v/>
      </c>
    </row>
    <row r="70" ht="15.75" customHeight="1" s="45">
      <c r="A70" s="61" t="n">
        <v>46179</v>
      </c>
      <c r="B70" s="82" t="inlineStr">
        <is>
          <t>Pós-Projeto</t>
        </is>
      </c>
      <c r="C70" s="84" t="inlineStr">
        <is>
          <t>Acolhimento c/ Classif. de Risco</t>
        </is>
      </c>
      <c r="D70" s="66" t="n">
        <v>148</v>
      </c>
      <c r="E70" s="66" t="n">
        <v>128</v>
      </c>
      <c r="F70" s="66" t="n">
        <v>114</v>
      </c>
      <c r="G70" s="66" t="n">
        <v>107</v>
      </c>
      <c r="H70" s="66" t="n">
        <v>106</v>
      </c>
      <c r="I70" s="66" t="n">
        <v>150</v>
      </c>
      <c r="J70" s="66" t="n">
        <v>60</v>
      </c>
      <c r="K70" s="66" t="n">
        <v>221</v>
      </c>
      <c r="L70" s="66" t="n">
        <v>104</v>
      </c>
      <c r="M70" s="66" t="n">
        <v>195</v>
      </c>
      <c r="N70" s="66" t="n">
        <v>169</v>
      </c>
      <c r="O70" s="66" t="n">
        <v>210</v>
      </c>
      <c r="P70" s="66" t="n">
        <v>199</v>
      </c>
    </row>
    <row r="71" ht="15.75" customHeight="1" s="45">
      <c r="A71" s="61" t="n">
        <v>46179</v>
      </c>
      <c r="B71" s="82" t="inlineStr">
        <is>
          <t>Pós-Projeto</t>
        </is>
      </c>
      <c r="C71" s="83" t="inlineStr">
        <is>
          <t>Atend. Urgência Obs. ≤ 24h</t>
        </is>
      </c>
      <c r="D71" s="64" t="n">
        <v>36</v>
      </c>
      <c r="E71" s="64" t="n">
        <v>54</v>
      </c>
      <c r="F71" s="64" t="n">
        <v>21</v>
      </c>
      <c r="G71" s="64" t="n">
        <v>21</v>
      </c>
      <c r="H71" s="64" t="n">
        <v>9</v>
      </c>
      <c r="I71" s="64" t="n">
        <v>12</v>
      </c>
      <c r="J71" s="64" t="n">
        <v>10</v>
      </c>
      <c r="K71" s="64" t="n">
        <v>88</v>
      </c>
      <c r="L71" s="64" t="n">
        <v>65</v>
      </c>
      <c r="M71" s="64" t="n">
        <v>20</v>
      </c>
      <c r="N71" s="64" t="n">
        <v>30</v>
      </c>
      <c r="O71" s="64" t="n">
        <v>6</v>
      </c>
      <c r="P71" s="64" t="n">
        <v>28</v>
      </c>
    </row>
    <row r="72" ht="15.75" customHeight="1" s="45">
      <c r="A72" s="61" t="n">
        <v>46179</v>
      </c>
      <c r="B72" s="82" t="inlineStr">
        <is>
          <t>Pós-Projeto</t>
        </is>
      </c>
      <c r="C72" s="84" t="inlineStr">
        <is>
          <t>Atend. Médico em UPA</t>
        </is>
      </c>
      <c r="D72" s="66" t="n">
        <v>85</v>
      </c>
      <c r="E72" s="66" t="n">
        <v>77</v>
      </c>
      <c r="F72" s="66" t="n">
        <v>82</v>
      </c>
      <c r="G72" s="66" t="n">
        <v>73</v>
      </c>
      <c r="H72" s="66" t="n">
        <v>105</v>
      </c>
      <c r="I72" s="66" t="n">
        <v>135</v>
      </c>
      <c r="J72" s="66" t="n">
        <v>42</v>
      </c>
      <c r="K72" s="66" t="n">
        <v>138</v>
      </c>
      <c r="L72" s="66" t="n">
        <v>60</v>
      </c>
      <c r="M72" s="66" t="n">
        <v>134</v>
      </c>
      <c r="N72" s="66" t="n">
        <v>148</v>
      </c>
      <c r="O72" s="66" t="n">
        <v>138</v>
      </c>
      <c r="P72" s="66" t="n">
        <v>141</v>
      </c>
    </row>
    <row r="73" ht="15.75" customHeight="1" s="45">
      <c r="A73" s="61" t="n">
        <v>46179</v>
      </c>
      <c r="B73" s="82" t="inlineStr">
        <is>
          <t>Pós-Projeto</t>
        </is>
      </c>
      <c r="C73" s="83" t="inlineStr">
        <is>
          <t>Exames Laboratoriais</t>
        </is>
      </c>
      <c r="D73" s="64" t="n">
        <v>578</v>
      </c>
      <c r="E73" s="64" t="n">
        <v>247</v>
      </c>
      <c r="F73" s="64" t="n">
        <v>312</v>
      </c>
      <c r="G73" s="64" t="n">
        <v>7</v>
      </c>
      <c r="H73" s="64" t="n">
        <v>201</v>
      </c>
      <c r="I73" s="64" t="n">
        <v>585</v>
      </c>
      <c r="J73" s="64" t="n">
        <v>243</v>
      </c>
      <c r="K73" s="64" t="n">
        <v>718</v>
      </c>
      <c r="L73" s="64" t="n">
        <v>612</v>
      </c>
      <c r="M73" s="64" t="n">
        <v>534</v>
      </c>
      <c r="N73" s="64" t="n">
        <v>334</v>
      </c>
      <c r="O73" s="64" t="n">
        <v>392</v>
      </c>
      <c r="P73" s="64" t="n">
        <v>334</v>
      </c>
    </row>
    <row r="74" ht="15.75" customHeight="1" s="45">
      <c r="A74" s="61" t="n">
        <v>46179</v>
      </c>
      <c r="B74" s="82" t="inlineStr">
        <is>
          <t>Pós-Projeto</t>
        </is>
      </c>
      <c r="C74" s="84" t="inlineStr">
        <is>
          <t>Radiografias</t>
        </is>
      </c>
      <c r="D74" s="66" t="n">
        <v>14</v>
      </c>
      <c r="E74" s="66" t="n">
        <v>6</v>
      </c>
      <c r="F74" s="66" t="n">
        <v>24</v>
      </c>
      <c r="G74" s="66" t="n">
        <v>22</v>
      </c>
      <c r="H74" s="66" t="n">
        <v>8</v>
      </c>
      <c r="I74" s="66" t="n">
        <v>15</v>
      </c>
      <c r="J74" s="66" t="n">
        <v>20</v>
      </c>
      <c r="K74" s="66" t="n">
        <v>41</v>
      </c>
      <c r="L74" s="66" t="n">
        <v>17</v>
      </c>
      <c r="M74" s="66" t="n">
        <v>46</v>
      </c>
      <c r="N74" s="66" t="n">
        <v>21</v>
      </c>
      <c r="O74" s="66" t="n">
        <v>28</v>
      </c>
      <c r="P74" s="66" t="n">
        <v>39</v>
      </c>
    </row>
    <row r="75" ht="15.75" customHeight="1" s="45">
      <c r="A75" s="61" t="n">
        <v>46179</v>
      </c>
      <c r="B75" s="82" t="inlineStr">
        <is>
          <t>Pós-Projeto</t>
        </is>
      </c>
      <c r="C75" s="83" t="inlineStr">
        <is>
          <t>Eletrocardiogramas</t>
        </is>
      </c>
      <c r="D75" s="64" t="n">
        <v>5</v>
      </c>
      <c r="E75" s="64" t="n">
        <v>11</v>
      </c>
      <c r="F75" s="64" t="n">
        <v>13</v>
      </c>
      <c r="G75" s="64" t="n">
        <v>253</v>
      </c>
      <c r="H75" s="64" t="n">
        <v>4</v>
      </c>
      <c r="I75" s="64" t="n">
        <v>6</v>
      </c>
      <c r="J75" s="64" t="n">
        <v>4</v>
      </c>
      <c r="K75" s="64" t="n">
        <v>5</v>
      </c>
      <c r="L75" s="64" t="n">
        <v>15</v>
      </c>
      <c r="M75" s="64" t="n">
        <v>16</v>
      </c>
      <c r="N75" s="64" t="n">
        <v>10</v>
      </c>
      <c r="O75" s="67" t="n">
        <v>0</v>
      </c>
      <c r="P75" s="64" t="n">
        <v>13</v>
      </c>
    </row>
    <row r="76" ht="15.75" customHeight="1" s="45">
      <c r="A76" s="61" t="n">
        <v>46179</v>
      </c>
      <c r="B76" s="82" t="inlineStr">
        <is>
          <t>Pós-Projeto</t>
        </is>
      </c>
      <c r="C76" s="85" t="inlineStr">
        <is>
          <t>GAEs Abertas</t>
        </is>
      </c>
      <c r="D76" s="69" t="n">
        <v>153</v>
      </c>
      <c r="E76" s="69" t="n">
        <v>139</v>
      </c>
      <c r="F76" s="69" t="n">
        <v>118</v>
      </c>
      <c r="G76" s="69" t="n">
        <v>109</v>
      </c>
      <c r="H76" s="69" t="n">
        <v>108</v>
      </c>
      <c r="I76" s="69" t="n">
        <v>167</v>
      </c>
      <c r="J76" s="69" t="n">
        <v>64</v>
      </c>
      <c r="K76" s="69" t="n">
        <v>235</v>
      </c>
      <c r="L76" s="69" t="n">
        <v>108</v>
      </c>
      <c r="M76" s="69" t="n">
        <v>208</v>
      </c>
      <c r="N76" s="69" t="n">
        <v>171</v>
      </c>
      <c r="O76" s="69" t="n">
        <v>225</v>
      </c>
      <c r="P76" s="69" t="n">
        <v>202</v>
      </c>
    </row>
    <row r="77" ht="15.75" customHeight="1" s="45">
      <c r="A77" s="61" t="n">
        <v>46179</v>
      </c>
      <c r="B77" s="82" t="inlineStr">
        <is>
          <t>Pós-Projeto</t>
        </is>
      </c>
      <c r="C77" s="85" t="inlineStr">
        <is>
          <t>GAEs Classificadas</t>
        </is>
      </c>
      <c r="D77" s="69" t="n">
        <v>148</v>
      </c>
      <c r="E77" s="69" t="n">
        <v>125</v>
      </c>
      <c r="F77" s="69" t="n">
        <v>114</v>
      </c>
      <c r="G77" s="69" t="n">
        <v>106</v>
      </c>
      <c r="H77" s="69" t="n">
        <v>104</v>
      </c>
      <c r="I77" s="69" t="n">
        <v>151</v>
      </c>
      <c r="J77" s="69" t="n">
        <v>60</v>
      </c>
      <c r="K77" s="69" t="n">
        <v>217</v>
      </c>
      <c r="L77" s="69" t="n">
        <v>104</v>
      </c>
      <c r="M77" s="69" t="n">
        <v>193</v>
      </c>
      <c r="N77" s="69" t="n">
        <v>167</v>
      </c>
      <c r="O77" s="69" t="n">
        <v>208</v>
      </c>
      <c r="P77" s="69" t="n">
        <v>199</v>
      </c>
    </row>
    <row r="78" ht="15.75" customHeight="1" s="45">
      <c r="A78" s="61" t="n">
        <v>46179</v>
      </c>
      <c r="B78" s="82" t="inlineStr">
        <is>
          <t>Pós-Projeto</t>
        </is>
      </c>
      <c r="C78" s="86" t="inlineStr">
        <is>
          <t>Percentual de GAEs abertas classificadas</t>
        </is>
      </c>
      <c r="D78" s="71">
        <f>IFERROR(D77/D76,"-")</f>
        <v/>
      </c>
      <c r="E78" s="71">
        <f>IFERROR(E77/E76,"-")</f>
        <v/>
      </c>
      <c r="F78" s="71">
        <f>IFERROR(F77/F76,"-")</f>
        <v/>
      </c>
      <c r="G78" s="71">
        <f>IFERROR(G77/G76,"-")</f>
        <v/>
      </c>
      <c r="H78" s="71">
        <f>IFERROR(H77/H76,"-")</f>
        <v/>
      </c>
      <c r="I78" s="71">
        <f>IFERROR(I77/I76,"-")</f>
        <v/>
      </c>
      <c r="J78" s="71">
        <f>IFERROR(J77/J76,"-")</f>
        <v/>
      </c>
      <c r="K78" s="71">
        <f>IFERROR(K77/K76,"-")</f>
        <v/>
      </c>
      <c r="L78" s="71">
        <f>IFERROR(L77/L76,"-")</f>
        <v/>
      </c>
      <c r="M78" s="71">
        <f>IFERROR(M77/M76,"-")</f>
        <v/>
      </c>
      <c r="N78" s="71">
        <f>IFERROR(N77/N76,"-")</f>
        <v/>
      </c>
      <c r="O78" s="71">
        <f>IFERROR(O77/O76,"-")</f>
        <v/>
      </c>
      <c r="P78" s="71">
        <f>IFERROR(P77/P76,"-")</f>
        <v/>
      </c>
    </row>
    <row r="79" ht="15.75" customHeight="1" s="45">
      <c r="A79" s="61" t="n">
        <v>46179</v>
      </c>
      <c r="B79" s="82" t="inlineStr">
        <is>
          <t>Pós-Projeto</t>
        </is>
      </c>
      <c r="C79" s="87" t="inlineStr">
        <is>
          <t>Tempo Médio — 🟡 Amarelo (hh:mm)</t>
        </is>
      </c>
      <c r="D79" s="73" t="n">
        <v>0.03381944444444444</v>
      </c>
      <c r="E79" s="73" t="n">
        <v>0.06690972222222222</v>
      </c>
      <c r="F79" s="73" t="n">
        <v>0.03563657407407408</v>
      </c>
      <c r="G79" s="73" t="n">
        <v>0.02672453703703704</v>
      </c>
      <c r="H79" s="73" t="n">
        <v>0.03541666666666667</v>
      </c>
      <c r="I79" s="73" t="n">
        <v>0.01828703703703704</v>
      </c>
      <c r="J79" s="73" t="n">
        <v>0.08651620370370371</v>
      </c>
      <c r="K79" s="73" t="n">
        <v>0.1021064814814815</v>
      </c>
      <c r="L79" s="73" t="n">
        <v>0.09652777777777778</v>
      </c>
      <c r="M79" s="73" t="n">
        <v>0.05364583333333333</v>
      </c>
      <c r="N79" s="73" t="n">
        <v>0.0571875</v>
      </c>
      <c r="O79" s="73" t="n">
        <v>0.05083333333333333</v>
      </c>
      <c r="P79" s="73" t="n">
        <v>0.04335648148148148</v>
      </c>
    </row>
    <row r="80" ht="15.75" customHeight="1" s="45">
      <c r="A80" s="61" t="n">
        <v>46179</v>
      </c>
      <c r="B80" s="82" t="inlineStr">
        <is>
          <t>Pós-Projeto</t>
        </is>
      </c>
      <c r="C80" s="88" t="inlineStr">
        <is>
          <t>Tempo Médio — 🟠 Laranja (hh:mm)</t>
        </is>
      </c>
      <c r="D80" s="75" t="n">
        <v>0.008472222222222223</v>
      </c>
      <c r="E80" s="75" t="n">
        <v>0.01787037037037037</v>
      </c>
      <c r="F80" s="75" t="n">
        <v>0.003923611111111111</v>
      </c>
      <c r="G80" s="75" t="n">
        <v>0.005659722222222222</v>
      </c>
      <c r="H80" s="75" t="n">
        <v>0.005092592592592593</v>
      </c>
      <c r="I80" s="75" t="n">
        <v>0.00568287037037037</v>
      </c>
      <c r="J80" s="75" t="n">
        <v>0.009884259259259259</v>
      </c>
      <c r="K80" s="75" t="n">
        <v>0.03347222222222222</v>
      </c>
      <c r="L80" s="75" t="n">
        <v>0.006782407407407407</v>
      </c>
      <c r="M80" s="75" t="n">
        <v>0.01950231481481482</v>
      </c>
      <c r="N80" s="75" t="n">
        <v>0.007847222222222222</v>
      </c>
      <c r="O80" s="75" t="n">
        <v>0.01038194444444444</v>
      </c>
      <c r="P80" s="75" t="n">
        <v>0.01709490740740741</v>
      </c>
    </row>
    <row r="81" ht="15.75" customHeight="1" s="45">
      <c r="A81" s="76" t="n">
        <v>46179</v>
      </c>
      <c r="B81" s="89" t="inlineStr">
        <is>
          <t>Pós-Projeto</t>
        </is>
      </c>
      <c r="C81" s="90" t="inlineStr">
        <is>
          <t>Tempo Médio — 🟢 Verde   (hh:mm)</t>
        </is>
      </c>
      <c r="D81" s="79" t="n">
        <v>0.1126736111111111</v>
      </c>
      <c r="E81" s="79" t="n">
        <v>0.09630787037037038</v>
      </c>
      <c r="F81" s="79" t="n">
        <v>0.2177083333333333</v>
      </c>
      <c r="G81" s="79" t="n">
        <v>0.08332175925925926</v>
      </c>
      <c r="H81" s="79" t="n">
        <v>0.1081828703703704</v>
      </c>
      <c r="I81" s="79" t="n">
        <v>0.11375</v>
      </c>
      <c r="J81" s="79" t="n">
        <v>0.1831828703703704</v>
      </c>
      <c r="K81" s="79" t="n">
        <v>0.1420717592592593</v>
      </c>
      <c r="L81" s="79" t="n">
        <v>0.1805324074074074</v>
      </c>
      <c r="M81" s="79" t="n">
        <v>0.06979166666666667</v>
      </c>
      <c r="N81" s="79" t="n">
        <v>0.1205787037037037</v>
      </c>
      <c r="O81" s="79" t="n">
        <v>0.08315972222222222</v>
      </c>
      <c r="P81" s="79" t="n">
        <v>0.04425925925925926</v>
      </c>
    </row>
    <row r="82" ht="15.75" customHeight="1" s="45">
      <c r="A82" s="57" t="n">
        <v>46180</v>
      </c>
      <c r="B82" s="81" t="inlineStr">
        <is>
          <t>Pós-Projeto</t>
        </is>
      </c>
      <c r="C82" s="59" t="inlineStr">
        <is>
          <t>Acolhim. + Atend. Urgência + Atend. UPA</t>
        </is>
      </c>
      <c r="D82" s="60">
        <f>SUM(D83:D85)</f>
        <v/>
      </c>
      <c r="E82" s="60">
        <f>SUM(E83:E85)</f>
        <v/>
      </c>
      <c r="F82" s="60">
        <f>SUM(F83:F85)</f>
        <v/>
      </c>
      <c r="G82" s="60">
        <f>SUM(G83:G85)</f>
        <v/>
      </c>
      <c r="H82" s="60">
        <f>SUM(H83:H85)</f>
        <v/>
      </c>
      <c r="I82" s="60">
        <f>SUM(I83:I85)</f>
        <v/>
      </c>
      <c r="J82" s="60">
        <f>SUM(J83:J85)</f>
        <v/>
      </c>
      <c r="K82" s="60">
        <f>SUM(K83:K85)</f>
        <v/>
      </c>
      <c r="L82" s="60">
        <f>SUM(L83:L85)</f>
        <v/>
      </c>
      <c r="M82" s="60">
        <f>SUM(M83:M85)</f>
        <v/>
      </c>
      <c r="N82" s="60">
        <f>SUM(N83:N85)</f>
        <v/>
      </c>
      <c r="O82" s="60">
        <f>SUM(O83:O85)</f>
        <v/>
      </c>
      <c r="P82" s="60">
        <f>SUM(P83:P85)</f>
        <v/>
      </c>
    </row>
    <row r="83" ht="15.75" customHeight="1" s="45">
      <c r="A83" s="61" t="n">
        <v>46180</v>
      </c>
      <c r="B83" s="82" t="inlineStr">
        <is>
          <t>Pós-Projeto</t>
        </is>
      </c>
      <c r="C83" s="83" t="inlineStr">
        <is>
          <t>Acolhimento c/ Classif. de Risco</t>
        </is>
      </c>
      <c r="D83" s="64" t="n">
        <v>154</v>
      </c>
      <c r="E83" s="64" t="n">
        <v>127</v>
      </c>
      <c r="F83" s="64" t="n">
        <v>111</v>
      </c>
      <c r="G83" s="64" t="n">
        <v>84</v>
      </c>
      <c r="H83" s="64" t="n">
        <v>108</v>
      </c>
      <c r="I83" s="64" t="n">
        <v>170</v>
      </c>
      <c r="J83" s="64" t="n">
        <v>109</v>
      </c>
      <c r="K83" s="64" t="n">
        <v>222</v>
      </c>
      <c r="L83" s="64" t="n">
        <v>81</v>
      </c>
      <c r="M83" s="64" t="n">
        <v>204</v>
      </c>
      <c r="N83" s="64" t="n">
        <v>137</v>
      </c>
      <c r="O83" s="64" t="n">
        <v>191</v>
      </c>
      <c r="P83" s="64" t="n">
        <v>217</v>
      </c>
    </row>
    <row r="84" ht="15.75" customHeight="1" s="45">
      <c r="A84" s="61" t="n">
        <v>46180</v>
      </c>
      <c r="B84" s="82" t="inlineStr">
        <is>
          <t>Pós-Projeto</t>
        </is>
      </c>
      <c r="C84" s="84" t="inlineStr">
        <is>
          <t>Atend. Urgência Obs. ≤ 24h</t>
        </is>
      </c>
      <c r="D84" s="66" t="n">
        <v>4</v>
      </c>
      <c r="E84" s="66" t="n">
        <v>38</v>
      </c>
      <c r="F84" s="66" t="n">
        <v>21</v>
      </c>
      <c r="G84" s="66" t="n">
        <v>40</v>
      </c>
      <c r="H84" s="66" t="n">
        <v>5</v>
      </c>
      <c r="I84" s="66" t="n">
        <v>23</v>
      </c>
      <c r="J84" s="66" t="n">
        <v>29</v>
      </c>
      <c r="K84" s="66" t="n">
        <v>39</v>
      </c>
      <c r="L84" s="66" t="n">
        <v>66</v>
      </c>
      <c r="M84" s="66" t="n">
        <v>15</v>
      </c>
      <c r="N84" s="66" t="n">
        <v>34</v>
      </c>
      <c r="O84" s="66" t="n">
        <v>9</v>
      </c>
      <c r="P84" s="66" t="n">
        <v>22</v>
      </c>
    </row>
    <row r="85" ht="15.75" customHeight="1" s="45">
      <c r="A85" s="61" t="n">
        <v>46180</v>
      </c>
      <c r="B85" s="82" t="inlineStr">
        <is>
          <t>Pós-Projeto</t>
        </is>
      </c>
      <c r="C85" s="83" t="inlineStr">
        <is>
          <t>Atend. Médico em UPA</t>
        </is>
      </c>
      <c r="D85" s="64" t="n">
        <v>115</v>
      </c>
      <c r="E85" s="64" t="n">
        <v>85</v>
      </c>
      <c r="F85" s="64" t="n">
        <v>82</v>
      </c>
      <c r="G85" s="64" t="n">
        <v>64</v>
      </c>
      <c r="H85" s="64" t="n">
        <v>59</v>
      </c>
      <c r="I85" s="64" t="n">
        <v>153</v>
      </c>
      <c r="J85" s="64" t="n">
        <v>83</v>
      </c>
      <c r="K85" s="64" t="n">
        <v>124</v>
      </c>
      <c r="L85" s="64" t="n">
        <v>53</v>
      </c>
      <c r="M85" s="64" t="n">
        <v>92</v>
      </c>
      <c r="N85" s="64" t="n">
        <v>99</v>
      </c>
      <c r="O85" s="64" t="n">
        <v>148</v>
      </c>
      <c r="P85" s="64" t="n">
        <v>163</v>
      </c>
    </row>
    <row r="86" ht="15.75" customHeight="1" s="45">
      <c r="A86" s="61" t="n">
        <v>46180</v>
      </c>
      <c r="B86" s="82" t="inlineStr">
        <is>
          <t>Pós-Projeto</t>
        </is>
      </c>
      <c r="C86" s="84" t="inlineStr">
        <is>
          <t>Exames Laboratoriais</t>
        </is>
      </c>
      <c r="D86" s="66" t="n">
        <v>420</v>
      </c>
      <c r="E86" s="66" t="n">
        <v>299</v>
      </c>
      <c r="F86" s="66" t="n">
        <v>291</v>
      </c>
      <c r="G86" s="66" t="n">
        <v>198</v>
      </c>
      <c r="H86" s="66" t="n">
        <v>297</v>
      </c>
      <c r="I86" s="66" t="n">
        <v>416</v>
      </c>
      <c r="J86" s="66" t="n">
        <v>309</v>
      </c>
      <c r="K86" s="66" t="n">
        <v>430</v>
      </c>
      <c r="L86" s="66" t="n">
        <v>475</v>
      </c>
      <c r="M86" s="66" t="n">
        <v>403</v>
      </c>
      <c r="N86" s="66" t="n">
        <v>256</v>
      </c>
      <c r="O86" s="66" t="n">
        <v>662</v>
      </c>
      <c r="P86" s="66" t="n">
        <v>639</v>
      </c>
    </row>
    <row r="87" ht="15.75" customHeight="1" s="45">
      <c r="A87" s="61" t="n">
        <v>46180</v>
      </c>
      <c r="B87" s="82" t="inlineStr">
        <is>
          <t>Pós-Projeto</t>
        </is>
      </c>
      <c r="C87" s="83" t="inlineStr">
        <is>
          <t>Radiografias</t>
        </is>
      </c>
      <c r="D87" s="64" t="n">
        <v>37</v>
      </c>
      <c r="E87" s="64" t="n">
        <v>14</v>
      </c>
      <c r="F87" s="64" t="n">
        <v>25</v>
      </c>
      <c r="G87" s="64" t="n">
        <v>25</v>
      </c>
      <c r="H87" s="64" t="n">
        <v>18</v>
      </c>
      <c r="I87" s="64" t="n">
        <v>22</v>
      </c>
      <c r="J87" s="64" t="n">
        <v>20</v>
      </c>
      <c r="K87" s="64" t="n">
        <v>36</v>
      </c>
      <c r="L87" s="64" t="n">
        <v>10</v>
      </c>
      <c r="M87" s="64" t="n">
        <v>38</v>
      </c>
      <c r="N87" s="64" t="n">
        <v>15</v>
      </c>
      <c r="O87" s="64" t="n">
        <v>41</v>
      </c>
      <c r="P87" s="64" t="n">
        <v>46</v>
      </c>
    </row>
    <row r="88" ht="15.75" customHeight="1" s="45">
      <c r="A88" s="61" t="n">
        <v>46180</v>
      </c>
      <c r="B88" s="82" t="inlineStr">
        <is>
          <t>Pós-Projeto</t>
        </is>
      </c>
      <c r="C88" s="84" t="inlineStr">
        <is>
          <t>Eletrocardiogramas</t>
        </is>
      </c>
      <c r="D88" s="66" t="n">
        <v>15</v>
      </c>
      <c r="E88" s="66" t="n">
        <v>7</v>
      </c>
      <c r="F88" s="66" t="n">
        <v>9</v>
      </c>
      <c r="G88" s="66" t="n">
        <v>7</v>
      </c>
      <c r="H88" s="66" t="n">
        <v>8</v>
      </c>
      <c r="I88" s="66" t="n">
        <v>9</v>
      </c>
      <c r="J88" s="66" t="n">
        <v>7</v>
      </c>
      <c r="K88" s="67" t="n">
        <v>0</v>
      </c>
      <c r="L88" s="66" t="n">
        <v>10</v>
      </c>
      <c r="M88" s="66" t="n">
        <v>14</v>
      </c>
      <c r="N88" s="66" t="n">
        <v>1</v>
      </c>
      <c r="O88" s="67" t="n">
        <v>0</v>
      </c>
      <c r="P88" s="66" t="n">
        <v>15</v>
      </c>
    </row>
    <row r="89" ht="15.75" customHeight="1" s="45">
      <c r="A89" s="61" t="n">
        <v>46180</v>
      </c>
      <c r="B89" s="82" t="inlineStr">
        <is>
          <t>Pós-Projeto</t>
        </is>
      </c>
      <c r="C89" s="85" t="inlineStr">
        <is>
          <t>GAEs Abertas</t>
        </is>
      </c>
      <c r="D89" s="69" t="n">
        <v>155</v>
      </c>
      <c r="E89" s="69" t="n">
        <v>134</v>
      </c>
      <c r="F89" s="69" t="n">
        <v>116</v>
      </c>
      <c r="G89" s="69" t="n">
        <v>87</v>
      </c>
      <c r="H89" s="69" t="n">
        <v>110</v>
      </c>
      <c r="I89" s="69" t="n">
        <v>182</v>
      </c>
      <c r="J89" s="69" t="n">
        <v>113</v>
      </c>
      <c r="K89" s="69" t="n">
        <v>238</v>
      </c>
      <c r="L89" s="69" t="n">
        <v>91</v>
      </c>
      <c r="M89" s="69" t="n">
        <v>215</v>
      </c>
      <c r="N89" s="69" t="n">
        <v>144</v>
      </c>
      <c r="O89" s="69" t="n">
        <v>202</v>
      </c>
      <c r="P89" s="69" t="n">
        <v>237</v>
      </c>
    </row>
    <row r="90" ht="15.75" customHeight="1" s="45">
      <c r="A90" s="61" t="n">
        <v>46180</v>
      </c>
      <c r="B90" s="82" t="inlineStr">
        <is>
          <t>Pós-Projeto</t>
        </is>
      </c>
      <c r="C90" s="85" t="inlineStr">
        <is>
          <t>GAEs Classificadas</t>
        </is>
      </c>
      <c r="D90" s="69" t="n">
        <v>154</v>
      </c>
      <c r="E90" s="69" t="n">
        <v>129</v>
      </c>
      <c r="F90" s="69" t="n">
        <v>111</v>
      </c>
      <c r="G90" s="69" t="n">
        <v>84</v>
      </c>
      <c r="H90" s="69" t="n">
        <v>107</v>
      </c>
      <c r="I90" s="69" t="n">
        <v>170</v>
      </c>
      <c r="J90" s="69" t="n">
        <v>109</v>
      </c>
      <c r="K90" s="69" t="n">
        <v>223</v>
      </c>
      <c r="L90" s="69" t="n">
        <v>83</v>
      </c>
      <c r="M90" s="69" t="n">
        <v>201</v>
      </c>
      <c r="N90" s="69" t="n">
        <v>136</v>
      </c>
      <c r="O90" s="69" t="n">
        <v>194</v>
      </c>
      <c r="P90" s="69" t="n">
        <v>219</v>
      </c>
    </row>
    <row r="91" ht="15.75" customHeight="1" s="45">
      <c r="A91" s="61" t="n">
        <v>46180</v>
      </c>
      <c r="B91" s="82" t="inlineStr">
        <is>
          <t>Pós-Projeto</t>
        </is>
      </c>
      <c r="C91" s="86" t="inlineStr">
        <is>
          <t>Percentual de GAEs abertas classificadas</t>
        </is>
      </c>
      <c r="D91" s="71">
        <f>IFERROR(D90/D89,"-")</f>
        <v/>
      </c>
      <c r="E91" s="71">
        <f>IFERROR(E90/E89,"-")</f>
        <v/>
      </c>
      <c r="F91" s="71">
        <f>IFERROR(F90/F89,"-")</f>
        <v/>
      </c>
      <c r="G91" s="71">
        <f>IFERROR(G90/G89,"-")</f>
        <v/>
      </c>
      <c r="H91" s="71">
        <f>IFERROR(H90/H89,"-")</f>
        <v/>
      </c>
      <c r="I91" s="71">
        <f>IFERROR(I90/I89,"-")</f>
        <v/>
      </c>
      <c r="J91" s="71">
        <f>IFERROR(J90/J89,"-")</f>
        <v/>
      </c>
      <c r="K91" s="71">
        <f>IFERROR(K90/K89,"-")</f>
        <v/>
      </c>
      <c r="L91" s="71">
        <f>IFERROR(L90/L89,"-")</f>
        <v/>
      </c>
      <c r="M91" s="71">
        <f>IFERROR(M90/M89,"-")</f>
        <v/>
      </c>
      <c r="N91" s="71">
        <f>IFERROR(N90/N89,"-")</f>
        <v/>
      </c>
      <c r="O91" s="71">
        <f>IFERROR(O90/O89,"-")</f>
        <v/>
      </c>
      <c r="P91" s="71">
        <f>IFERROR(P90/P89,"-")</f>
        <v/>
      </c>
    </row>
    <row r="92" ht="15.75" customHeight="1" s="45">
      <c r="A92" s="61" t="n">
        <v>46180</v>
      </c>
      <c r="B92" s="82" t="inlineStr">
        <is>
          <t>Pós-Projeto</t>
        </is>
      </c>
      <c r="C92" s="87" t="inlineStr">
        <is>
          <t>Tempo Médio — 🟡 Amarelo (hh:mm)</t>
        </is>
      </c>
      <c r="D92" s="73" t="n">
        <v>0.04064814814814815</v>
      </c>
      <c r="E92" s="73" t="n">
        <v>0.08149305555555555</v>
      </c>
      <c r="F92" s="73" t="n">
        <v>0.0337037037037037</v>
      </c>
      <c r="G92" s="73" t="n">
        <v>0.04525462962962963</v>
      </c>
      <c r="H92" s="73" t="n">
        <v>0.05167824074074074</v>
      </c>
      <c r="I92" s="73" t="n">
        <v>0.02523148148148148</v>
      </c>
      <c r="J92" s="73" t="n">
        <v>0.03561342592592592</v>
      </c>
      <c r="K92" s="73" t="n">
        <v>0.1450347222222222</v>
      </c>
      <c r="L92" s="73" t="n">
        <v>0.0250462962962963</v>
      </c>
      <c r="M92" s="73" t="n">
        <v>0.05696759259259259</v>
      </c>
      <c r="N92" s="73" t="n">
        <v>0.1099768518518519</v>
      </c>
      <c r="O92" s="73" t="n">
        <v>0.03564814814814815</v>
      </c>
      <c r="P92" s="73" t="n">
        <v>0.05655092592592593</v>
      </c>
    </row>
    <row r="93" ht="15.75" customHeight="1" s="45">
      <c r="A93" s="61" t="n">
        <v>46180</v>
      </c>
      <c r="B93" s="82" t="inlineStr">
        <is>
          <t>Pós-Projeto</t>
        </is>
      </c>
      <c r="C93" s="88" t="inlineStr">
        <is>
          <t>Tempo Médio — 🟠 Laranja (hh:mm)</t>
        </is>
      </c>
      <c r="D93" s="75" t="n">
        <v>0.005416666666666667</v>
      </c>
      <c r="E93" s="75" t="n">
        <v>0.018125</v>
      </c>
      <c r="F93" s="75" t="n">
        <v>0.006655092592592593</v>
      </c>
      <c r="G93" s="75" t="n">
        <v>0.007835648148148149</v>
      </c>
      <c r="H93" s="75" t="n">
        <v>0.008229166666666666</v>
      </c>
      <c r="I93" s="75" t="n">
        <v>0.005358796296296296</v>
      </c>
      <c r="J93" s="75" t="n">
        <v>0.01010416666666667</v>
      </c>
      <c r="K93" s="75" t="n">
        <v>0.01193287037037037</v>
      </c>
      <c r="L93" s="75" t="n">
        <v>0.01665509259259259</v>
      </c>
      <c r="M93" s="75" t="n">
        <v>0.06542824074074075</v>
      </c>
      <c r="N93" s="75" t="n">
        <v>0.02229166666666667</v>
      </c>
      <c r="O93" s="75" t="n">
        <v>0.007673611111111111</v>
      </c>
      <c r="P93" s="75" t="n">
        <v>0.01271990740740741</v>
      </c>
    </row>
    <row r="94" ht="15.75" customHeight="1" s="45">
      <c r="A94" s="76" t="n">
        <v>46180</v>
      </c>
      <c r="B94" s="89" t="inlineStr">
        <is>
          <t>Pós-Projeto</t>
        </is>
      </c>
      <c r="C94" s="90" t="inlineStr">
        <is>
          <t>Tempo Médio — 🟢 Verde   (hh:mm)</t>
        </is>
      </c>
      <c r="D94" s="79" t="n">
        <v>0.1220138888888889</v>
      </c>
      <c r="E94" s="79" t="n">
        <v>0.1837268518518519</v>
      </c>
      <c r="F94" s="79" t="n">
        <v>0.1008912037037037</v>
      </c>
      <c r="G94" s="79" t="n">
        <v>0.1215509259259259</v>
      </c>
      <c r="H94" s="79" t="n">
        <v>0.1439351851851852</v>
      </c>
      <c r="I94" s="79" t="n">
        <v>0.1149884259259259</v>
      </c>
      <c r="J94" s="79" t="n">
        <v>0.05344907407407407</v>
      </c>
      <c r="K94" s="79" t="n">
        <v>0.1567939814814815</v>
      </c>
      <c r="L94" s="79" t="n">
        <v>0.06706018518518518</v>
      </c>
      <c r="M94" s="79" t="n">
        <v>0.06018518518518518</v>
      </c>
      <c r="N94" s="79" t="n">
        <v>0.1409375</v>
      </c>
      <c r="O94" s="79" t="n">
        <v>0.1003819444444444</v>
      </c>
      <c r="P94" s="79" t="n">
        <v>0.07232638888888888</v>
      </c>
    </row>
    <row r="95" ht="15.75" customHeight="1" s="45">
      <c r="A95" s="57" t="n">
        <v>46181</v>
      </c>
      <c r="B95" s="81" t="inlineStr">
        <is>
          <t>Pós-Projeto</t>
        </is>
      </c>
      <c r="C95" s="59" t="inlineStr">
        <is>
          <t>Acolhim. + Atend. Urgência + Atend. UPA</t>
        </is>
      </c>
      <c r="D95" s="60">
        <f>SUM(D96:D98)</f>
        <v/>
      </c>
      <c r="E95" s="60">
        <f>SUM(E96:E98)</f>
        <v/>
      </c>
      <c r="F95" s="60">
        <f>SUM(F96:F98)</f>
        <v/>
      </c>
      <c r="G95" s="60">
        <f>SUM(G96:G98)</f>
        <v/>
      </c>
      <c r="H95" s="60">
        <f>SUM(H96:H98)</f>
        <v/>
      </c>
      <c r="I95" s="60">
        <f>SUM(I96:I98)</f>
        <v/>
      </c>
      <c r="J95" s="60">
        <f>SUM(J96:J98)</f>
        <v/>
      </c>
      <c r="K95" s="60">
        <f>SUM(K96:K98)</f>
        <v/>
      </c>
      <c r="L95" s="60">
        <f>SUM(L96:L98)</f>
        <v/>
      </c>
      <c r="M95" s="60">
        <f>SUM(M96:M98)</f>
        <v/>
      </c>
      <c r="N95" s="60">
        <f>SUM(N96:N98)</f>
        <v/>
      </c>
      <c r="O95" s="60">
        <f>SUM(O96:O98)</f>
        <v/>
      </c>
      <c r="P95" s="60">
        <f>SUM(P96:P98)</f>
        <v/>
      </c>
    </row>
    <row r="96" ht="15.75" customHeight="1" s="45">
      <c r="A96" s="61" t="n">
        <v>46181</v>
      </c>
      <c r="B96" s="82" t="inlineStr">
        <is>
          <t>Pós-Projeto</t>
        </is>
      </c>
      <c r="C96" s="84" t="inlineStr">
        <is>
          <t>Acolhimento c/ Classif. de Risco</t>
        </is>
      </c>
      <c r="D96" s="66" t="n">
        <v>283</v>
      </c>
      <c r="E96" s="66" t="n">
        <v>182</v>
      </c>
      <c r="F96" s="66" t="n">
        <v>176</v>
      </c>
      <c r="G96" s="66" t="n">
        <v>172</v>
      </c>
      <c r="H96" s="66" t="n">
        <v>137</v>
      </c>
      <c r="I96" s="66" t="n">
        <v>226</v>
      </c>
      <c r="J96" s="66" t="n">
        <v>142</v>
      </c>
      <c r="K96" s="66" t="n">
        <v>349</v>
      </c>
      <c r="L96" s="66" t="n">
        <v>153</v>
      </c>
      <c r="M96" s="66" t="n">
        <v>282</v>
      </c>
      <c r="N96" s="66" t="n">
        <v>236</v>
      </c>
      <c r="O96" s="66" t="n">
        <v>297</v>
      </c>
      <c r="P96" s="66" t="n">
        <v>277</v>
      </c>
    </row>
    <row r="97" ht="15.75" customHeight="1" s="45">
      <c r="A97" s="61" t="n">
        <v>46181</v>
      </c>
      <c r="B97" s="82" t="inlineStr">
        <is>
          <t>Pós-Projeto</t>
        </is>
      </c>
      <c r="C97" s="83" t="inlineStr">
        <is>
          <t>Atend. Urgência Obs. ≤ 24h</t>
        </is>
      </c>
      <c r="D97" s="64" t="n">
        <v>25</v>
      </c>
      <c r="E97" s="64" t="n">
        <v>16</v>
      </c>
      <c r="F97" s="64" t="n">
        <v>20</v>
      </c>
      <c r="G97" s="64" t="n">
        <v>34</v>
      </c>
      <c r="H97" s="64" t="n">
        <v>24</v>
      </c>
      <c r="I97" s="64" t="n">
        <v>22</v>
      </c>
      <c r="J97" s="64" t="n">
        <v>18</v>
      </c>
      <c r="K97" s="64" t="n">
        <v>66</v>
      </c>
      <c r="L97" s="64" t="n">
        <v>31</v>
      </c>
      <c r="M97" s="64" t="n">
        <v>20</v>
      </c>
      <c r="N97" s="64" t="n">
        <v>26</v>
      </c>
      <c r="O97" s="64" t="n">
        <v>13</v>
      </c>
      <c r="P97" s="64" t="n">
        <v>11</v>
      </c>
    </row>
    <row r="98" ht="15.75" customHeight="1" s="45">
      <c r="A98" s="61" t="n">
        <v>46181</v>
      </c>
      <c r="B98" s="82" t="inlineStr">
        <is>
          <t>Pós-Projeto</t>
        </is>
      </c>
      <c r="C98" s="84" t="inlineStr">
        <is>
          <t>Atend. Médico em UPA</t>
        </is>
      </c>
      <c r="D98" s="66" t="n">
        <v>231</v>
      </c>
      <c r="E98" s="66" t="n">
        <v>116</v>
      </c>
      <c r="F98" s="66" t="n">
        <v>107</v>
      </c>
      <c r="G98" s="66" t="n">
        <v>97</v>
      </c>
      <c r="H98" s="66" t="n">
        <v>106</v>
      </c>
      <c r="I98" s="66" t="n">
        <v>180</v>
      </c>
      <c r="J98" s="66" t="n">
        <v>92</v>
      </c>
      <c r="K98" s="66" t="n">
        <v>222</v>
      </c>
      <c r="L98" s="66" t="n">
        <v>100</v>
      </c>
      <c r="M98" s="66" t="n">
        <v>162</v>
      </c>
      <c r="N98" s="66" t="n">
        <v>178</v>
      </c>
      <c r="O98" s="66" t="n">
        <v>245</v>
      </c>
      <c r="P98" s="66" t="n">
        <v>142</v>
      </c>
    </row>
    <row r="99" ht="15.75" customHeight="1" s="45">
      <c r="A99" s="61" t="n">
        <v>46181</v>
      </c>
      <c r="B99" s="82" t="inlineStr">
        <is>
          <t>Pós-Projeto</t>
        </is>
      </c>
      <c r="C99" s="83" t="inlineStr">
        <is>
          <t>Exames Laboratoriais</t>
        </is>
      </c>
      <c r="D99" s="64" t="n">
        <v>456</v>
      </c>
      <c r="E99" s="64" t="n">
        <v>368</v>
      </c>
      <c r="F99" s="64" t="n">
        <v>318</v>
      </c>
      <c r="G99" s="64" t="n">
        <v>299</v>
      </c>
      <c r="H99" s="64" t="n">
        <v>416</v>
      </c>
      <c r="I99" s="64" t="n">
        <v>708</v>
      </c>
      <c r="J99" s="64" t="n">
        <v>424</v>
      </c>
      <c r="K99" s="64" t="n">
        <v>825</v>
      </c>
      <c r="L99" s="64" t="n">
        <v>490</v>
      </c>
      <c r="M99" s="64" t="n">
        <v>570</v>
      </c>
      <c r="N99" s="64" t="n">
        <v>525</v>
      </c>
      <c r="O99" s="64" t="n">
        <v>522</v>
      </c>
      <c r="P99" s="64" t="n">
        <v>603</v>
      </c>
    </row>
    <row r="100" ht="15.75" customHeight="1" s="45">
      <c r="A100" s="61" t="n">
        <v>46181</v>
      </c>
      <c r="B100" s="82" t="inlineStr">
        <is>
          <t>Pós-Projeto</t>
        </is>
      </c>
      <c r="C100" s="84" t="inlineStr">
        <is>
          <t>Radiografias</t>
        </is>
      </c>
      <c r="D100" s="66" t="n">
        <v>40</v>
      </c>
      <c r="E100" s="66" t="n">
        <v>21</v>
      </c>
      <c r="F100" s="66" t="n">
        <v>30</v>
      </c>
      <c r="G100" s="66" t="n">
        <v>21</v>
      </c>
      <c r="H100" s="66" t="n">
        <v>24</v>
      </c>
      <c r="I100" s="66" t="n">
        <v>24</v>
      </c>
      <c r="J100" s="66" t="n">
        <v>30</v>
      </c>
      <c r="K100" s="66" t="n">
        <v>60</v>
      </c>
      <c r="L100" s="66" t="n">
        <v>20</v>
      </c>
      <c r="M100" s="66" t="n">
        <v>70</v>
      </c>
      <c r="N100" s="66" t="n">
        <v>17</v>
      </c>
      <c r="O100" s="66" t="n">
        <v>52</v>
      </c>
      <c r="P100" s="66" t="n">
        <v>69</v>
      </c>
    </row>
    <row r="101" ht="15.75" customHeight="1" s="45">
      <c r="A101" s="61" t="n">
        <v>46181</v>
      </c>
      <c r="B101" s="82" t="inlineStr">
        <is>
          <t>Pós-Projeto</t>
        </is>
      </c>
      <c r="C101" s="83" t="inlineStr">
        <is>
          <t>Eletrocardiogramas</t>
        </is>
      </c>
      <c r="D101" s="64" t="n">
        <v>11</v>
      </c>
      <c r="E101" s="64" t="n">
        <v>9</v>
      </c>
      <c r="F101" s="64" t="n">
        <v>18</v>
      </c>
      <c r="G101" s="64" t="n">
        <v>12</v>
      </c>
      <c r="H101" s="64" t="n">
        <v>4</v>
      </c>
      <c r="I101" s="64" t="n">
        <v>10</v>
      </c>
      <c r="J101" s="64" t="n">
        <v>11</v>
      </c>
      <c r="K101" s="64" t="n">
        <v>6</v>
      </c>
      <c r="L101" s="64" t="n">
        <v>8</v>
      </c>
      <c r="M101" s="64" t="n">
        <v>2</v>
      </c>
      <c r="N101" s="64" t="n">
        <v>10</v>
      </c>
      <c r="O101" s="67" t="n">
        <v>0</v>
      </c>
      <c r="P101" s="64" t="n">
        <v>9</v>
      </c>
    </row>
    <row r="102" ht="15.75" customHeight="1" s="45">
      <c r="A102" s="61" t="n">
        <v>46181</v>
      </c>
      <c r="B102" s="82" t="inlineStr">
        <is>
          <t>Pós-Projeto</t>
        </is>
      </c>
      <c r="C102" s="85" t="inlineStr">
        <is>
          <t>GAEs Abertas</t>
        </is>
      </c>
      <c r="D102" s="69" t="n">
        <v>402</v>
      </c>
      <c r="E102" s="69" t="n">
        <v>241</v>
      </c>
      <c r="F102" s="69" t="n">
        <v>318</v>
      </c>
      <c r="G102" s="69" t="n">
        <v>295</v>
      </c>
      <c r="H102" s="69" t="n">
        <v>159</v>
      </c>
      <c r="I102" s="69" t="n">
        <v>290</v>
      </c>
      <c r="J102" s="69" t="n">
        <v>303</v>
      </c>
      <c r="K102" s="69" t="n">
        <v>188</v>
      </c>
      <c r="L102" s="69" t="n">
        <v>185</v>
      </c>
      <c r="M102" s="69" t="n">
        <v>182</v>
      </c>
      <c r="N102" s="69" t="n">
        <v>146</v>
      </c>
      <c r="O102" s="69" t="n">
        <v>230</v>
      </c>
      <c r="P102" s="69" t="n">
        <v>149</v>
      </c>
    </row>
    <row r="103" ht="15.75" customHeight="1" s="45">
      <c r="A103" s="61" t="n">
        <v>46181</v>
      </c>
      <c r="B103" s="82" t="inlineStr">
        <is>
          <t>Pós-Projeto</t>
        </is>
      </c>
      <c r="C103" s="85" t="inlineStr">
        <is>
          <t>GAEs Classificadas</t>
        </is>
      </c>
      <c r="D103" s="69" t="n">
        <v>352</v>
      </c>
      <c r="E103" s="69" t="n">
        <v>236</v>
      </c>
      <c r="F103" s="69" t="n">
        <v>297</v>
      </c>
      <c r="G103" s="69" t="n">
        <v>282</v>
      </c>
      <c r="H103" s="69" t="n">
        <v>151</v>
      </c>
      <c r="I103" s="69" t="n">
        <v>275</v>
      </c>
      <c r="J103" s="69" t="n">
        <v>285</v>
      </c>
      <c r="K103" s="69" t="n">
        <v>181</v>
      </c>
      <c r="L103" s="69" t="n">
        <v>176</v>
      </c>
      <c r="M103" s="69" t="n">
        <v>172</v>
      </c>
      <c r="N103" s="69" t="n">
        <v>138</v>
      </c>
      <c r="O103" s="69" t="n">
        <v>223</v>
      </c>
      <c r="P103" s="69" t="n">
        <v>141</v>
      </c>
    </row>
    <row r="104" ht="15.75" customHeight="1" s="45">
      <c r="A104" s="61" t="n">
        <v>46181</v>
      </c>
      <c r="B104" s="82" t="inlineStr">
        <is>
          <t>Pós-Projeto</t>
        </is>
      </c>
      <c r="C104" s="86" t="inlineStr">
        <is>
          <t>Percentual de GAEs abertas classificadas</t>
        </is>
      </c>
      <c r="D104" s="71">
        <f>IFERROR(D103/D102,"-")</f>
        <v/>
      </c>
      <c r="E104" s="71">
        <f>IFERROR(E103/E102,"-")</f>
        <v/>
      </c>
      <c r="F104" s="71">
        <f>IFERROR(F103/F102,"-")</f>
        <v/>
      </c>
      <c r="G104" s="71">
        <f>IFERROR(G103/G102,"-")</f>
        <v/>
      </c>
      <c r="H104" s="71">
        <f>IFERROR(H103/H102,"-")</f>
        <v/>
      </c>
      <c r="I104" s="71">
        <f>IFERROR(I103/I102,"-")</f>
        <v/>
      </c>
      <c r="J104" s="71">
        <f>IFERROR(J103/J102,"-")</f>
        <v/>
      </c>
      <c r="K104" s="71">
        <f>IFERROR(K103/K102,"-")</f>
        <v/>
      </c>
      <c r="L104" s="71">
        <f>IFERROR(L103/L102,"-")</f>
        <v/>
      </c>
      <c r="M104" s="71">
        <f>IFERROR(M103/M102,"-")</f>
        <v/>
      </c>
      <c r="N104" s="71">
        <f>IFERROR(N103/N102,"-")</f>
        <v/>
      </c>
      <c r="O104" s="71">
        <f>IFERROR(O103/O102,"-")</f>
        <v/>
      </c>
      <c r="P104" s="71">
        <f>IFERROR(P103/P102,"-")</f>
        <v/>
      </c>
    </row>
    <row r="105" ht="15.75" customHeight="1" s="45">
      <c r="A105" s="61" t="n">
        <v>46181</v>
      </c>
      <c r="B105" s="82" t="inlineStr">
        <is>
          <t>Pós-Projeto</t>
        </is>
      </c>
      <c r="C105" s="87" t="inlineStr">
        <is>
          <t>Tempo Médio — 🟡 Amarelo (hh:mm)</t>
        </is>
      </c>
      <c r="D105" s="73" t="n">
        <v>0.05996527777777778</v>
      </c>
      <c r="E105" s="73" t="n">
        <v>0.06388888888888888</v>
      </c>
      <c r="F105" s="73" t="n">
        <v>0.07332175925925925</v>
      </c>
      <c r="G105" s="73" t="n">
        <v>0.08361111111111111</v>
      </c>
      <c r="H105" s="73" t="n">
        <v>0.05376157407407407</v>
      </c>
      <c r="I105" s="73" t="n">
        <v>0.01409722222222222</v>
      </c>
      <c r="J105" s="73" t="n">
        <v>0.04957175925925926</v>
      </c>
      <c r="K105" s="73" t="n">
        <v>0.09006944444444444</v>
      </c>
      <c r="L105" s="73" t="n">
        <v>0.05048611111111111</v>
      </c>
      <c r="M105" s="73" t="n">
        <v>0.02405092592592593</v>
      </c>
      <c r="N105" s="73" t="n">
        <v>0.05175925925925926</v>
      </c>
      <c r="O105" s="73" t="n">
        <v>0.050625</v>
      </c>
      <c r="P105" s="73" t="n">
        <v>0.09221064814814815</v>
      </c>
    </row>
    <row r="106" ht="15.75" customHeight="1" s="45">
      <c r="A106" s="61" t="n">
        <v>46181</v>
      </c>
      <c r="B106" s="82" t="inlineStr">
        <is>
          <t>Pós-Projeto</t>
        </is>
      </c>
      <c r="C106" s="88" t="inlineStr">
        <is>
          <t>Tempo Médio — 🟠 Laranja (hh:mm)</t>
        </is>
      </c>
      <c r="D106" s="75" t="n">
        <v>0.01407407407407407</v>
      </c>
      <c r="E106" s="75" t="n">
        <v>0.01196759259259259</v>
      </c>
      <c r="F106" s="75" t="n">
        <v>0.01833333333333333</v>
      </c>
      <c r="G106" s="75" t="n">
        <v>0.01319444444444444</v>
      </c>
      <c r="H106" s="75" t="n">
        <v>0.00443287037037037</v>
      </c>
      <c r="I106" s="75" t="n">
        <v>0.003530092592592592</v>
      </c>
      <c r="J106" s="75" t="n">
        <v>0.008564814814814815</v>
      </c>
      <c r="K106" s="75" t="n">
        <v>0.01922453703703704</v>
      </c>
      <c r="L106" s="75" t="n">
        <v>0.01827546296296296</v>
      </c>
      <c r="M106" s="75" t="n">
        <v>0.01100694444444444</v>
      </c>
      <c r="N106" s="75" t="n">
        <v>0.008078703703703704</v>
      </c>
      <c r="O106" s="75" t="n">
        <v>0.0109837962962963</v>
      </c>
      <c r="P106" s="75" t="n">
        <v>0.01271990740740741</v>
      </c>
    </row>
    <row r="107" ht="15.75" customHeight="1" s="45">
      <c r="A107" s="76" t="n">
        <v>46181</v>
      </c>
      <c r="B107" s="89" t="inlineStr">
        <is>
          <t>Pós-Projeto</t>
        </is>
      </c>
      <c r="C107" s="90" t="inlineStr">
        <is>
          <t>Tempo Médio — 🟢 Verde   (hh:mm)</t>
        </is>
      </c>
      <c r="D107" s="79" t="n">
        <v>0.06060185185185185</v>
      </c>
      <c r="E107" s="79" t="n">
        <v>0.1944212962962963</v>
      </c>
      <c r="F107" s="79" t="n">
        <v>0.1260763888888889</v>
      </c>
      <c r="G107" s="79" t="n">
        <v>0.1294675925925926</v>
      </c>
      <c r="H107" s="79" t="n">
        <v>0.05635416666666666</v>
      </c>
      <c r="I107" s="79" t="n">
        <v>0.07623842592592593</v>
      </c>
      <c r="J107" s="79" t="n">
        <v>0.05326388888888889</v>
      </c>
      <c r="K107" s="79" t="n">
        <v>0.1371527777777778</v>
      </c>
      <c r="L107" s="79" t="n">
        <v>0.1069212962962963</v>
      </c>
      <c r="M107" s="79" t="n">
        <v>0.07090277777777777</v>
      </c>
      <c r="N107" s="79" t="n">
        <v>0.09216435185185186</v>
      </c>
      <c r="O107" s="79" t="n">
        <v>0.1037847222222222</v>
      </c>
      <c r="P107" s="79" t="n">
        <v>0.07395833333333333</v>
      </c>
    </row>
    <row r="108" ht="15.75" customHeight="1" s="45">
      <c r="A108" s="57" t="n">
        <v>46182</v>
      </c>
      <c r="B108" s="81" t="inlineStr">
        <is>
          <t>Pós-Projeto</t>
        </is>
      </c>
      <c r="C108" s="59" t="inlineStr">
        <is>
          <t>Acolhim. + Atend. Urgência + Atend. UPA</t>
        </is>
      </c>
      <c r="D108" s="60">
        <f>SUM(D109:D111)</f>
        <v/>
      </c>
      <c r="E108" s="60">
        <f>SUM(E109:E111)</f>
        <v/>
      </c>
      <c r="F108" s="60">
        <f>SUM(F109:F111)</f>
        <v/>
      </c>
      <c r="G108" s="60">
        <f>SUM(G109:G111)</f>
        <v/>
      </c>
      <c r="H108" s="60">
        <f>SUM(H109:H111)</f>
        <v/>
      </c>
      <c r="I108" s="60">
        <f>SUM(I109:I111)</f>
        <v/>
      </c>
      <c r="J108" s="60">
        <f>SUM(J109:J111)</f>
        <v/>
      </c>
      <c r="K108" s="60">
        <f>SUM(K109:K111)</f>
        <v/>
      </c>
      <c r="L108" s="60">
        <f>SUM(L109:L111)</f>
        <v/>
      </c>
      <c r="M108" s="60">
        <f>SUM(M109:M111)</f>
        <v/>
      </c>
      <c r="N108" s="60">
        <f>SUM(N109:N111)</f>
        <v/>
      </c>
      <c r="O108" s="60">
        <f>SUM(O109:O111)</f>
        <v/>
      </c>
      <c r="P108" s="60">
        <f>SUM(P109:P111)</f>
        <v/>
      </c>
    </row>
    <row r="109" ht="15.75" customHeight="1" s="45">
      <c r="A109" s="61" t="n">
        <v>46182</v>
      </c>
      <c r="B109" s="82" t="inlineStr">
        <is>
          <t>Pós-Projeto</t>
        </is>
      </c>
      <c r="C109" s="83" t="inlineStr">
        <is>
          <t>Acolhimento c/ Classif. de Risco</t>
        </is>
      </c>
      <c r="D109" s="64" t="n">
        <v>233</v>
      </c>
      <c r="E109" s="64" t="n">
        <v>187</v>
      </c>
      <c r="F109" s="64" t="n">
        <v>147</v>
      </c>
      <c r="G109" s="64" t="n">
        <v>146</v>
      </c>
      <c r="H109" s="64" t="n">
        <v>130</v>
      </c>
      <c r="I109" s="64" t="n">
        <v>208</v>
      </c>
      <c r="J109" s="64" t="n">
        <v>131</v>
      </c>
      <c r="K109" s="64" t="n">
        <v>318</v>
      </c>
      <c r="L109" s="64" t="n">
        <v>167</v>
      </c>
      <c r="M109" s="64" t="n">
        <v>245</v>
      </c>
      <c r="N109" s="64" t="n">
        <v>224</v>
      </c>
      <c r="O109" s="64" t="n">
        <v>270</v>
      </c>
      <c r="P109" s="64" t="n">
        <v>247</v>
      </c>
    </row>
    <row r="110" ht="15.75" customHeight="1" s="45">
      <c r="A110" s="61" t="n">
        <v>46182</v>
      </c>
      <c r="B110" s="82" t="inlineStr">
        <is>
          <t>Pós-Projeto</t>
        </is>
      </c>
      <c r="C110" s="84" t="inlineStr">
        <is>
          <t>Atend. Urgência Obs. ≤ 24h</t>
        </is>
      </c>
      <c r="D110" s="66" t="n">
        <v>21</v>
      </c>
      <c r="E110" s="66" t="n">
        <v>17</v>
      </c>
      <c r="F110" s="66" t="n">
        <v>27</v>
      </c>
      <c r="G110" s="66" t="n">
        <v>28</v>
      </c>
      <c r="H110" s="66" t="n">
        <v>11</v>
      </c>
      <c r="I110" s="66" t="n">
        <v>26</v>
      </c>
      <c r="J110" s="66" t="n">
        <v>5</v>
      </c>
      <c r="K110" s="66" t="n">
        <v>33</v>
      </c>
      <c r="L110" s="66" t="n">
        <v>49</v>
      </c>
      <c r="M110" s="66" t="n">
        <v>13</v>
      </c>
      <c r="N110" s="66" t="n">
        <v>37</v>
      </c>
      <c r="O110" s="66" t="n">
        <v>22</v>
      </c>
      <c r="P110" s="66" t="n">
        <v>29</v>
      </c>
    </row>
    <row r="111" ht="15.75" customHeight="1" s="45">
      <c r="A111" s="61" t="n">
        <v>46182</v>
      </c>
      <c r="B111" s="82" t="inlineStr">
        <is>
          <t>Pós-Projeto</t>
        </is>
      </c>
      <c r="C111" s="83" t="inlineStr">
        <is>
          <t>Atend. Médico em UPA</t>
        </is>
      </c>
      <c r="D111" s="64" t="n">
        <v>174</v>
      </c>
      <c r="E111" s="64" t="n">
        <v>161</v>
      </c>
      <c r="F111" s="64" t="n">
        <v>64</v>
      </c>
      <c r="G111" s="64" t="n">
        <v>109</v>
      </c>
      <c r="H111" s="64" t="n">
        <v>108</v>
      </c>
      <c r="I111" s="64" t="n">
        <v>155</v>
      </c>
      <c r="J111" s="64" t="n">
        <v>90</v>
      </c>
      <c r="K111" s="64" t="n">
        <v>264</v>
      </c>
      <c r="L111" s="64" t="n">
        <v>95</v>
      </c>
      <c r="M111" s="64" t="n">
        <v>114</v>
      </c>
      <c r="N111" s="64" t="n">
        <v>148</v>
      </c>
      <c r="O111" s="64" t="n">
        <v>144</v>
      </c>
      <c r="P111" s="64" t="n">
        <v>188</v>
      </c>
    </row>
    <row r="112" ht="15.75" customHeight="1" s="45">
      <c r="A112" s="61" t="n">
        <v>46182</v>
      </c>
      <c r="B112" s="82" t="inlineStr">
        <is>
          <t>Pós-Projeto</t>
        </is>
      </c>
      <c r="C112" s="84" t="inlineStr">
        <is>
          <t>Exames Laboratoriais</t>
        </is>
      </c>
      <c r="D112" s="66" t="n">
        <v>807</v>
      </c>
      <c r="E112" s="66" t="n">
        <v>449</v>
      </c>
      <c r="F112" s="66" t="n">
        <v>546</v>
      </c>
      <c r="G112" s="66" t="n">
        <v>303</v>
      </c>
      <c r="H112" s="66" t="n">
        <v>389</v>
      </c>
      <c r="I112" s="66" t="n">
        <v>583</v>
      </c>
      <c r="J112" s="66" t="n">
        <v>384</v>
      </c>
      <c r="K112" s="66" t="n">
        <v>1081</v>
      </c>
      <c r="L112" s="66" t="n">
        <v>897</v>
      </c>
      <c r="M112" s="66" t="n">
        <v>675</v>
      </c>
      <c r="N112" s="66" t="n">
        <v>573</v>
      </c>
      <c r="O112" s="66" t="n">
        <v>483</v>
      </c>
      <c r="P112" s="66" t="n">
        <v>922</v>
      </c>
    </row>
    <row r="113" ht="15.75" customHeight="1" s="45">
      <c r="A113" s="61" t="n">
        <v>46182</v>
      </c>
      <c r="B113" s="82" t="inlineStr">
        <is>
          <t>Pós-Projeto</t>
        </is>
      </c>
      <c r="C113" s="83" t="inlineStr">
        <is>
          <t>Radiografias</t>
        </is>
      </c>
      <c r="D113" s="64" t="n">
        <v>30</v>
      </c>
      <c r="E113" s="64" t="n">
        <v>28</v>
      </c>
      <c r="F113" s="64" t="n">
        <v>39</v>
      </c>
      <c r="G113" s="64" t="n">
        <v>21</v>
      </c>
      <c r="H113" s="64" t="n">
        <v>27</v>
      </c>
      <c r="I113" s="64" t="n">
        <v>33</v>
      </c>
      <c r="J113" s="64" t="n">
        <v>31</v>
      </c>
      <c r="K113" s="64" t="n">
        <v>80</v>
      </c>
      <c r="L113" s="64" t="n">
        <v>19</v>
      </c>
      <c r="M113" s="64" t="n">
        <v>54</v>
      </c>
      <c r="N113" s="64" t="n">
        <v>44</v>
      </c>
      <c r="O113" s="64" t="n">
        <v>41</v>
      </c>
      <c r="P113" s="64" t="n">
        <v>74</v>
      </c>
    </row>
    <row r="114" ht="15.75" customHeight="1" s="45">
      <c r="A114" s="61" t="n">
        <v>46182</v>
      </c>
      <c r="B114" s="82" t="inlineStr">
        <is>
          <t>Pós-Projeto</t>
        </is>
      </c>
      <c r="C114" s="84" t="inlineStr">
        <is>
          <t>Eletrocardiogramas</t>
        </is>
      </c>
      <c r="D114" s="66" t="n">
        <v>19</v>
      </c>
      <c r="E114" s="66" t="n">
        <v>15</v>
      </c>
      <c r="F114" s="66" t="n">
        <v>25</v>
      </c>
      <c r="G114" s="66" t="n">
        <v>11</v>
      </c>
      <c r="H114" s="66" t="n">
        <v>8</v>
      </c>
      <c r="I114" s="66" t="n">
        <v>14</v>
      </c>
      <c r="J114" s="66" t="n">
        <v>30</v>
      </c>
      <c r="K114" s="66" t="n">
        <v>2</v>
      </c>
      <c r="L114" s="66" t="n">
        <v>15</v>
      </c>
      <c r="M114" s="66" t="n">
        <v>3</v>
      </c>
      <c r="N114" s="66" t="n">
        <v>5</v>
      </c>
      <c r="O114" s="67" t="n">
        <v>0</v>
      </c>
      <c r="P114" s="66" t="n">
        <v>1</v>
      </c>
    </row>
    <row r="115" ht="15.75" customHeight="1" s="45">
      <c r="A115" s="61" t="n">
        <v>46182</v>
      </c>
      <c r="B115" s="82" t="inlineStr">
        <is>
          <t>Pós-Projeto</t>
        </is>
      </c>
      <c r="C115" s="85" t="inlineStr">
        <is>
          <t>GAEs Abertas</t>
        </is>
      </c>
      <c r="D115" s="69" t="n">
        <v>251</v>
      </c>
      <c r="E115" s="69" t="n">
        <v>194</v>
      </c>
      <c r="F115" s="69" t="n">
        <v>153</v>
      </c>
      <c r="G115" s="69" t="n">
        <v>151</v>
      </c>
      <c r="H115" s="69" t="n">
        <v>132</v>
      </c>
      <c r="I115" s="69" t="n">
        <v>219</v>
      </c>
      <c r="J115" s="69" t="n">
        <v>133</v>
      </c>
      <c r="K115" s="69" t="n">
        <v>360</v>
      </c>
      <c r="L115" s="69" t="n">
        <v>177</v>
      </c>
      <c r="M115" s="69" t="n">
        <v>260</v>
      </c>
      <c r="N115" s="69" t="n">
        <v>228</v>
      </c>
      <c r="O115" s="69" t="n">
        <v>291</v>
      </c>
      <c r="P115" s="69" t="n">
        <v>257</v>
      </c>
    </row>
    <row r="116" ht="15.75" customHeight="1" s="45">
      <c r="A116" s="61" t="n">
        <v>46182</v>
      </c>
      <c r="B116" s="82" t="inlineStr">
        <is>
          <t>Pós-Projeto</t>
        </is>
      </c>
      <c r="C116" s="85" t="inlineStr">
        <is>
          <t>GAEs Classificadas</t>
        </is>
      </c>
      <c r="D116" s="69" t="n">
        <v>231</v>
      </c>
      <c r="E116" s="69" t="n">
        <v>187</v>
      </c>
      <c r="F116" s="69" t="n">
        <v>150</v>
      </c>
      <c r="G116" s="69" t="n">
        <v>145</v>
      </c>
      <c r="H116" s="69" t="n">
        <v>129</v>
      </c>
      <c r="I116" s="69" t="n">
        <v>207</v>
      </c>
      <c r="J116" s="69" t="n">
        <v>133</v>
      </c>
      <c r="K116" s="69" t="n">
        <v>316</v>
      </c>
      <c r="L116" s="69" t="n">
        <v>169</v>
      </c>
      <c r="M116" s="69" t="n">
        <v>245</v>
      </c>
      <c r="N116" s="69" t="n">
        <v>226</v>
      </c>
      <c r="O116" s="69" t="n">
        <v>266</v>
      </c>
      <c r="P116" s="69" t="n">
        <v>247</v>
      </c>
    </row>
    <row r="117" ht="15.75" customHeight="1" s="45">
      <c r="A117" s="61" t="n">
        <v>46182</v>
      </c>
      <c r="B117" s="82" t="inlineStr">
        <is>
          <t>Pós-Projeto</t>
        </is>
      </c>
      <c r="C117" s="86" t="inlineStr">
        <is>
          <t>Percentual de GAEs abertas classificadas</t>
        </is>
      </c>
      <c r="D117" s="71">
        <f>IFERROR(D116/D115,"-")</f>
        <v/>
      </c>
      <c r="E117" s="71">
        <f>IFERROR(E116/E115,"-")</f>
        <v/>
      </c>
      <c r="F117" s="71">
        <f>IFERROR(F116/F115,"-")</f>
        <v/>
      </c>
      <c r="G117" s="71">
        <f>IFERROR(G116/G115,"-")</f>
        <v/>
      </c>
      <c r="H117" s="71">
        <f>IFERROR(H116/H115,"-")</f>
        <v/>
      </c>
      <c r="I117" s="71">
        <f>IFERROR(I116/I115,"-")</f>
        <v/>
      </c>
      <c r="J117" s="71">
        <f>IFERROR(J116/J115,"-")</f>
        <v/>
      </c>
      <c r="K117" s="71">
        <f>IFERROR(K116/K115,"-")</f>
        <v/>
      </c>
      <c r="L117" s="71">
        <f>IFERROR(L116/L115,"-")</f>
        <v/>
      </c>
      <c r="M117" s="71">
        <f>IFERROR(M116/M115,"-")</f>
        <v/>
      </c>
      <c r="N117" s="71">
        <f>IFERROR(N116/N115,"-")</f>
        <v/>
      </c>
      <c r="O117" s="71">
        <f>IFERROR(O116/O115,"-")</f>
        <v/>
      </c>
      <c r="P117" s="71">
        <f>IFERROR(P116/P115,"-")</f>
        <v/>
      </c>
    </row>
    <row r="118" ht="15.75" customHeight="1" s="45">
      <c r="A118" s="61" t="n">
        <v>46182</v>
      </c>
      <c r="B118" s="82" t="inlineStr">
        <is>
          <t>Pós-Projeto</t>
        </is>
      </c>
      <c r="C118" s="87" t="inlineStr">
        <is>
          <t>Tempo Médio — 🟡 Amarelo (hh:mm)</t>
        </is>
      </c>
      <c r="D118" s="73" t="n">
        <v>0.03844907407407407</v>
      </c>
      <c r="E118" s="73" t="n">
        <v>0.03767361111111111</v>
      </c>
      <c r="F118" s="73" t="n">
        <v>0.05868055555555556</v>
      </c>
      <c r="G118" s="73" t="n">
        <v>0.04518518518518518</v>
      </c>
      <c r="H118" s="73" t="n">
        <v>0.07284722222222222</v>
      </c>
      <c r="I118" s="73" t="n">
        <v>0.02907407407407408</v>
      </c>
      <c r="J118" s="73" t="n">
        <v>0.03560185185185185</v>
      </c>
      <c r="K118" s="73" t="n">
        <v>0.1054166666666667</v>
      </c>
      <c r="L118" s="73" t="n">
        <v>0.08126157407407407</v>
      </c>
      <c r="M118" s="73" t="n">
        <v>0.08133101851851852</v>
      </c>
      <c r="N118" s="73" t="n">
        <v>0.05857638888888889</v>
      </c>
      <c r="O118" s="73" t="n">
        <v>0.0378125</v>
      </c>
      <c r="P118" s="73" t="n">
        <v>0.06775462962962962</v>
      </c>
    </row>
    <row r="119" ht="15.75" customHeight="1" s="45">
      <c r="A119" s="61" t="n">
        <v>46182</v>
      </c>
      <c r="B119" s="82" t="inlineStr">
        <is>
          <t>Pós-Projeto</t>
        </is>
      </c>
      <c r="C119" s="88" t="inlineStr">
        <is>
          <t>Tempo Médio — 🟠 Laranja (hh:mm)</t>
        </is>
      </c>
      <c r="D119" s="75" t="n">
        <v>0.008391203703703705</v>
      </c>
      <c r="E119" s="75" t="n">
        <v>0.008252314814814815</v>
      </c>
      <c r="F119" s="75" t="n">
        <v>0.008587962962962962</v>
      </c>
      <c r="G119" s="75" t="n">
        <v>0.006631944444444445</v>
      </c>
      <c r="H119" s="75" t="n">
        <v>0.00712962962962963</v>
      </c>
      <c r="I119" s="75" t="n">
        <v>0.006851851851851852</v>
      </c>
      <c r="J119" s="75" t="n">
        <v>0.005925925925925926</v>
      </c>
      <c r="K119" s="75" t="n">
        <v>0.01217592592592593</v>
      </c>
      <c r="L119" s="75" t="n">
        <v>0.01628472222222222</v>
      </c>
      <c r="M119" s="75" t="n">
        <v>0.01190972222222222</v>
      </c>
      <c r="N119" s="75" t="n">
        <v>0.0118287037037037</v>
      </c>
      <c r="O119" s="75" t="n">
        <v>0.02804398148148148</v>
      </c>
      <c r="P119" s="75" t="n">
        <v>0.02056712962962963</v>
      </c>
    </row>
    <row r="120" ht="15.75" customHeight="1" s="45">
      <c r="A120" s="76" t="n">
        <v>46182</v>
      </c>
      <c r="B120" s="82" t="inlineStr">
        <is>
          <t>Pós-Projeto</t>
        </is>
      </c>
      <c r="C120" s="91" t="inlineStr">
        <is>
          <t>Tempo Médio — 🟢 Verde   (hh:mm)</t>
        </is>
      </c>
      <c r="D120" s="79" t="n">
        <v>0.07422453703703703</v>
      </c>
      <c r="E120" s="79" t="n">
        <v>0.08299768518518519</v>
      </c>
      <c r="F120" s="79" t="n">
        <v>0.1039699074074074</v>
      </c>
      <c r="G120" s="79" t="n">
        <v>0.07574074074074075</v>
      </c>
      <c r="H120" s="79" t="n">
        <v>0.1214699074074074</v>
      </c>
      <c r="I120" s="79" t="n">
        <v>0.1065740740740741</v>
      </c>
      <c r="J120" s="79" t="n">
        <v>0.0575462962962963</v>
      </c>
      <c r="K120" s="79" t="n">
        <v>0.1124074074074074</v>
      </c>
      <c r="L120" s="79" t="n">
        <v>0.1587847222222222</v>
      </c>
      <c r="M120" s="79" t="n">
        <v>0.1955671296296296</v>
      </c>
      <c r="N120" s="79" t="n">
        <v>0.1297800925925926</v>
      </c>
      <c r="O120" s="79" t="n">
        <v>0.1665046296296296</v>
      </c>
      <c r="P120" s="79" t="n">
        <v>0.06194444444444445</v>
      </c>
    </row>
    <row r="121" ht="15.75" customHeight="1" s="45">
      <c r="A121" s="57" t="n">
        <v>46183</v>
      </c>
      <c r="B121" s="81" t="inlineStr">
        <is>
          <t>Pós-Projeto</t>
        </is>
      </c>
      <c r="C121" s="59" t="inlineStr">
        <is>
          <t>Acolhim. + Atend. Urgência + Atend. UPA</t>
        </is>
      </c>
      <c r="D121" s="60">
        <f>SUM(D122:D124)</f>
        <v/>
      </c>
      <c r="E121" s="60">
        <f>SUM(E122:E124)</f>
        <v/>
      </c>
      <c r="F121" s="60">
        <f>SUM(F122:F124)</f>
        <v/>
      </c>
      <c r="G121" s="60">
        <f>SUM(G122:G124)</f>
        <v/>
      </c>
      <c r="H121" s="60">
        <f>SUM(H122:H124)</f>
        <v/>
      </c>
      <c r="I121" s="60">
        <f>SUM(I122:I124)</f>
        <v/>
      </c>
      <c r="J121" s="60">
        <f>SUM(J122:J124)</f>
        <v/>
      </c>
      <c r="K121" s="60">
        <f>SUM(K122:K124)</f>
        <v/>
      </c>
      <c r="L121" s="60">
        <f>SUM(L122:L124)</f>
        <v/>
      </c>
      <c r="M121" s="60">
        <f>SUM(M122:M124)</f>
        <v/>
      </c>
      <c r="N121" s="60">
        <f>SUM(N122:N124)</f>
        <v/>
      </c>
      <c r="O121" s="60">
        <f>SUM(O122:O124)</f>
        <v/>
      </c>
      <c r="P121" s="60">
        <f>SUM(P122:P124)</f>
        <v/>
      </c>
    </row>
    <row r="122" ht="15.75" customHeight="1" s="45">
      <c r="A122" s="61" t="n">
        <v>46183</v>
      </c>
      <c r="B122" s="82" t="inlineStr">
        <is>
          <t>Pós-Projeto</t>
        </is>
      </c>
      <c r="C122" s="83" t="inlineStr">
        <is>
          <t>Acolhimento c/ Classif. de Risco</t>
        </is>
      </c>
      <c r="D122" s="64" t="n">
        <v>274</v>
      </c>
      <c r="E122" s="64" t="n">
        <v>178</v>
      </c>
      <c r="F122" s="64" t="n">
        <v>160</v>
      </c>
      <c r="G122" s="64" t="n">
        <v>144</v>
      </c>
      <c r="H122" s="64" t="n">
        <v>143</v>
      </c>
      <c r="I122" s="64" t="n">
        <v>210</v>
      </c>
      <c r="J122" s="64" t="n">
        <v>113</v>
      </c>
      <c r="K122" s="64" t="n">
        <v>301</v>
      </c>
      <c r="L122" s="64" t="n">
        <v>150</v>
      </c>
      <c r="M122" s="64" t="n">
        <v>262</v>
      </c>
      <c r="N122" s="64" t="n">
        <v>201</v>
      </c>
      <c r="O122" s="64" t="n">
        <v>279</v>
      </c>
      <c r="P122" s="64" t="n">
        <v>220</v>
      </c>
    </row>
    <row r="123" ht="15.75" customHeight="1" s="45">
      <c r="A123" s="61" t="n">
        <v>46183</v>
      </c>
      <c r="B123" s="82" t="inlineStr">
        <is>
          <t>Pós-Projeto</t>
        </is>
      </c>
      <c r="C123" s="84" t="inlineStr">
        <is>
          <t>Atend. Urgência Obs. ≤ 24h</t>
        </is>
      </c>
      <c r="D123" s="66" t="n">
        <v>18</v>
      </c>
      <c r="E123" s="66" t="n">
        <v>19</v>
      </c>
      <c r="F123" s="66" t="n">
        <v>34</v>
      </c>
      <c r="G123" s="66" t="n">
        <v>33</v>
      </c>
      <c r="H123" s="66" t="n">
        <v>12</v>
      </c>
      <c r="I123" s="66" t="n">
        <v>10</v>
      </c>
      <c r="J123" s="66" t="n">
        <v>14</v>
      </c>
      <c r="K123" s="66" t="n">
        <v>57</v>
      </c>
      <c r="L123" s="66" t="n">
        <v>31</v>
      </c>
      <c r="M123" s="66" t="n">
        <v>35</v>
      </c>
      <c r="N123" s="66" t="n">
        <v>28</v>
      </c>
      <c r="O123" s="66" t="n">
        <v>10</v>
      </c>
      <c r="P123" s="66" t="n">
        <v>23</v>
      </c>
    </row>
    <row r="124" ht="15.75" customHeight="1" s="45">
      <c r="A124" s="61" t="n">
        <v>46183</v>
      </c>
      <c r="B124" s="82" t="inlineStr">
        <is>
          <t>Pós-Projeto</t>
        </is>
      </c>
      <c r="C124" s="83" t="inlineStr">
        <is>
          <t>Atend. Médico em UPA</t>
        </is>
      </c>
      <c r="D124" s="64" t="n">
        <v>177</v>
      </c>
      <c r="E124" s="64" t="n">
        <v>99</v>
      </c>
      <c r="F124" s="64" t="n">
        <v>98</v>
      </c>
      <c r="G124" s="64" t="n">
        <v>102</v>
      </c>
      <c r="H124" s="64" t="n">
        <v>81</v>
      </c>
      <c r="I124" s="64" t="n">
        <v>165</v>
      </c>
      <c r="J124" s="64" t="n">
        <v>88</v>
      </c>
      <c r="K124" s="64" t="n">
        <v>247</v>
      </c>
      <c r="L124" s="64" t="n">
        <v>102</v>
      </c>
      <c r="M124" s="64" t="n">
        <v>101</v>
      </c>
      <c r="N124" s="64" t="n">
        <v>158</v>
      </c>
      <c r="O124" s="64" t="n">
        <v>206</v>
      </c>
      <c r="P124" s="64" t="n">
        <v>164</v>
      </c>
    </row>
    <row r="125" ht="15.75" customHeight="1" s="45">
      <c r="A125" s="61" t="n">
        <v>46183</v>
      </c>
      <c r="B125" s="82" t="inlineStr">
        <is>
          <t>Pós-Projeto</t>
        </is>
      </c>
      <c r="C125" s="84" t="inlineStr">
        <is>
          <t>Exames Laboratoriais</t>
        </is>
      </c>
      <c r="D125" s="66" t="n">
        <v>524</v>
      </c>
      <c r="E125" s="66" t="n">
        <v>322</v>
      </c>
      <c r="F125" s="66" t="n">
        <v>587</v>
      </c>
      <c r="G125" s="66" t="n">
        <v>326</v>
      </c>
      <c r="H125" s="66" t="n">
        <v>428</v>
      </c>
      <c r="I125" s="66" t="n">
        <v>512</v>
      </c>
      <c r="J125" s="66" t="n">
        <v>243</v>
      </c>
      <c r="K125" s="66" t="n">
        <v>830</v>
      </c>
      <c r="L125" s="66" t="n">
        <v>550</v>
      </c>
      <c r="M125" s="66" t="n">
        <v>787</v>
      </c>
      <c r="N125" s="66" t="n">
        <v>671</v>
      </c>
      <c r="O125" s="66" t="n">
        <v>633</v>
      </c>
      <c r="P125" s="66" t="n">
        <v>419</v>
      </c>
    </row>
    <row r="126" ht="15.75" customHeight="1" s="45">
      <c r="A126" s="61" t="n">
        <v>46183</v>
      </c>
      <c r="B126" s="82" t="inlineStr">
        <is>
          <t>Pós-Projeto</t>
        </is>
      </c>
      <c r="C126" s="83" t="inlineStr">
        <is>
          <t>Radiografias</t>
        </is>
      </c>
      <c r="D126" s="64" t="n">
        <v>43</v>
      </c>
      <c r="E126" s="64" t="n">
        <v>10</v>
      </c>
      <c r="F126" s="64" t="n">
        <v>25</v>
      </c>
      <c r="G126" s="64" t="n">
        <v>29</v>
      </c>
      <c r="H126" s="64" t="n">
        <v>29</v>
      </c>
      <c r="I126" s="64" t="n">
        <v>27</v>
      </c>
      <c r="J126" s="64" t="n">
        <v>17</v>
      </c>
      <c r="K126" s="64" t="n">
        <v>76</v>
      </c>
      <c r="L126" s="64" t="n">
        <v>19</v>
      </c>
      <c r="M126" s="64" t="n">
        <v>55</v>
      </c>
      <c r="N126" s="64" t="n">
        <v>39</v>
      </c>
      <c r="O126" s="64" t="n">
        <v>65</v>
      </c>
      <c r="P126" s="64" t="n">
        <v>51</v>
      </c>
    </row>
    <row r="127" ht="15.75" customHeight="1" s="45">
      <c r="A127" s="61" t="n">
        <v>46183</v>
      </c>
      <c r="B127" s="82" t="inlineStr">
        <is>
          <t>Pós-Projeto</t>
        </is>
      </c>
      <c r="C127" s="84" t="inlineStr">
        <is>
          <t>Eletrocardiogramas</t>
        </is>
      </c>
      <c r="D127" s="66" t="n">
        <v>15</v>
      </c>
      <c r="E127" s="66" t="n">
        <v>10</v>
      </c>
      <c r="F127" s="66" t="n">
        <v>16</v>
      </c>
      <c r="G127" s="66" t="n">
        <v>13</v>
      </c>
      <c r="H127" s="66" t="n">
        <v>14</v>
      </c>
      <c r="I127" s="66" t="n">
        <v>16</v>
      </c>
      <c r="J127" s="67" t="n">
        <v>0</v>
      </c>
      <c r="K127" s="66" t="n">
        <v>10</v>
      </c>
      <c r="L127" s="66" t="n">
        <v>12</v>
      </c>
      <c r="M127" s="67" t="n">
        <v>0</v>
      </c>
      <c r="N127" s="66" t="n">
        <v>1</v>
      </c>
      <c r="O127" s="67" t="n">
        <v>0</v>
      </c>
      <c r="P127" s="67" t="n">
        <v>0</v>
      </c>
    </row>
    <row r="128" ht="15.75" customHeight="1" s="45">
      <c r="A128" s="61" t="n">
        <v>46183</v>
      </c>
      <c r="B128" s="82" t="inlineStr">
        <is>
          <t>Pós-Projeto</t>
        </is>
      </c>
      <c r="C128" s="85" t="inlineStr">
        <is>
          <t>GAEs Abertas</t>
        </is>
      </c>
      <c r="D128" s="69" t="n">
        <v>287</v>
      </c>
      <c r="E128" s="69" t="n">
        <v>184</v>
      </c>
      <c r="F128" s="69" t="n">
        <v>162</v>
      </c>
      <c r="G128" s="69" t="n">
        <v>150</v>
      </c>
      <c r="H128" s="69" t="n">
        <v>149</v>
      </c>
      <c r="I128" s="69" t="n">
        <v>230</v>
      </c>
      <c r="J128" s="69" t="n">
        <v>118</v>
      </c>
      <c r="K128" s="69" t="n">
        <v>348</v>
      </c>
      <c r="L128" s="69" t="n">
        <v>157</v>
      </c>
      <c r="M128" s="69" t="n">
        <v>274</v>
      </c>
      <c r="N128" s="69" t="n">
        <v>209</v>
      </c>
      <c r="O128" s="69" t="n">
        <v>296</v>
      </c>
      <c r="P128" s="69" t="n">
        <v>274</v>
      </c>
    </row>
    <row r="129" ht="15.75" customHeight="1" s="45">
      <c r="A129" s="61" t="n">
        <v>46183</v>
      </c>
      <c r="B129" s="82" t="inlineStr">
        <is>
          <t>Pós-Projeto</t>
        </is>
      </c>
      <c r="C129" s="85" t="inlineStr">
        <is>
          <t>GAEs Classificadas</t>
        </is>
      </c>
      <c r="D129" s="69" t="n">
        <v>276</v>
      </c>
      <c r="E129" s="69" t="n">
        <v>179</v>
      </c>
      <c r="F129" s="69" t="n">
        <v>160</v>
      </c>
      <c r="G129" s="69" t="n">
        <v>146</v>
      </c>
      <c r="H129" s="69" t="n">
        <v>144</v>
      </c>
      <c r="I129" s="69" t="n">
        <v>208</v>
      </c>
      <c r="J129" s="69" t="n">
        <v>114</v>
      </c>
      <c r="K129" s="69" t="n">
        <v>299</v>
      </c>
      <c r="L129" s="69" t="n">
        <v>150</v>
      </c>
      <c r="M129" s="69" t="n">
        <v>262</v>
      </c>
      <c r="N129" s="69" t="n">
        <v>200</v>
      </c>
      <c r="O129" s="69" t="n">
        <v>281</v>
      </c>
      <c r="P129" s="69" t="n">
        <v>219</v>
      </c>
    </row>
    <row r="130" ht="15.75" customHeight="1" s="45">
      <c r="A130" s="61" t="n">
        <v>46183</v>
      </c>
      <c r="B130" s="82" t="inlineStr">
        <is>
          <t>Pós-Projeto</t>
        </is>
      </c>
      <c r="C130" s="86" t="inlineStr">
        <is>
          <t>Percentual de GAEs abertas classificadas</t>
        </is>
      </c>
      <c r="D130" s="71">
        <f>IFERROR(D129/D128,"-")</f>
        <v/>
      </c>
      <c r="E130" s="71">
        <f>IFERROR(E129/E128,"-")</f>
        <v/>
      </c>
      <c r="F130" s="71">
        <f>IFERROR(F129/F128,"-")</f>
        <v/>
      </c>
      <c r="G130" s="71">
        <f>IFERROR(G129/G128,"-")</f>
        <v/>
      </c>
      <c r="H130" s="71">
        <f>IFERROR(H129/H128,"-")</f>
        <v/>
      </c>
      <c r="I130" s="71">
        <f>IFERROR(I129/I128,"-")</f>
        <v/>
      </c>
      <c r="J130" s="71">
        <f>IFERROR(J129/J128,"-")</f>
        <v/>
      </c>
      <c r="K130" s="71">
        <f>IFERROR(K129/K128,"-")</f>
        <v/>
      </c>
      <c r="L130" s="71">
        <f>IFERROR(L129/L128,"-")</f>
        <v/>
      </c>
      <c r="M130" s="71">
        <f>IFERROR(M129/M128,"-")</f>
        <v/>
      </c>
      <c r="N130" s="71">
        <f>IFERROR(N129/N128,"-")</f>
        <v/>
      </c>
      <c r="O130" s="71">
        <f>IFERROR(O129/O128,"-")</f>
        <v/>
      </c>
      <c r="P130" s="71">
        <f>IFERROR(P129/P128,"-")</f>
        <v/>
      </c>
    </row>
    <row r="131" ht="15.75" customHeight="1" s="45">
      <c r="A131" s="61" t="n">
        <v>46183</v>
      </c>
      <c r="B131" s="82" t="inlineStr">
        <is>
          <t>Pós-Projeto</t>
        </is>
      </c>
      <c r="C131" s="87" t="inlineStr">
        <is>
          <t>Tempo Médio — 🟡 Amarelo (hh:mm)</t>
        </is>
      </c>
      <c r="D131" s="73" t="n">
        <v>0.1010185185185185</v>
      </c>
      <c r="E131" s="73" t="n">
        <v>0.1018287037037037</v>
      </c>
      <c r="F131" s="73" t="n">
        <v>0.07339120370370371</v>
      </c>
      <c r="G131" s="73" t="n">
        <v>0.0212962962962963</v>
      </c>
      <c r="H131" s="73" t="n">
        <v>0.1005439814814815</v>
      </c>
      <c r="I131" s="73" t="n">
        <v>0.02190972222222222</v>
      </c>
      <c r="J131" s="73" t="n">
        <v>0.01678240740740741</v>
      </c>
      <c r="K131" s="73" t="n">
        <v>0.07409722222222222</v>
      </c>
      <c r="L131" s="73" t="n">
        <v>0.16125</v>
      </c>
      <c r="M131" s="73" t="n">
        <v>0.06028935185185185</v>
      </c>
      <c r="N131" s="73" t="n">
        <v>0.07398148148148148</v>
      </c>
      <c r="O131" s="73" t="n">
        <v>0.06799768518518519</v>
      </c>
      <c r="P131" s="73" t="n">
        <v>0.102650462962963</v>
      </c>
    </row>
    <row r="132" ht="15.75" customHeight="1" s="45">
      <c r="A132" s="61" t="n">
        <v>46183</v>
      </c>
      <c r="B132" s="82" t="inlineStr">
        <is>
          <t>Pós-Projeto</t>
        </is>
      </c>
      <c r="C132" s="88" t="inlineStr">
        <is>
          <t>Tempo Médio — 🟠 Laranja (hh:mm)</t>
        </is>
      </c>
      <c r="D132" s="75" t="n">
        <v>0.0103587962962963</v>
      </c>
      <c r="E132" s="75" t="n">
        <v>0.002986111111111111</v>
      </c>
      <c r="F132" s="75" t="n">
        <v>0.00542824074074074</v>
      </c>
      <c r="G132" s="75" t="n">
        <v>0.009722222222222222</v>
      </c>
      <c r="H132" s="75" t="n">
        <v>0.01165509259259259</v>
      </c>
      <c r="I132" s="75" t="n">
        <v>0.005231481481481481</v>
      </c>
      <c r="J132" s="75" t="n">
        <v>0.006770833333333334</v>
      </c>
      <c r="K132" s="75" t="n">
        <v>0.01219907407407407</v>
      </c>
      <c r="L132" s="75" t="n">
        <v>0.01957175925925926</v>
      </c>
      <c r="M132" s="75" t="n">
        <v>0.0143287037037037</v>
      </c>
      <c r="N132" s="75" t="n">
        <v>0.01123842592592593</v>
      </c>
      <c r="O132" s="75" t="n">
        <v>0.0143287037037037</v>
      </c>
      <c r="P132" s="75" t="n">
        <v>0.002152777777777778</v>
      </c>
    </row>
    <row r="133" ht="15.75" customHeight="1" s="45">
      <c r="A133" s="76" t="n">
        <v>46183</v>
      </c>
      <c r="B133" s="82" t="inlineStr">
        <is>
          <t>Pós-Projeto</t>
        </is>
      </c>
      <c r="C133" s="91" t="inlineStr">
        <is>
          <t>Tempo Médio — 🟢 Verde   (hh:mm)</t>
        </is>
      </c>
      <c r="D133" s="79" t="n">
        <v>0.1032175925925926</v>
      </c>
      <c r="E133" s="79" t="n">
        <v>0.1483333333333333</v>
      </c>
      <c r="F133" s="79" t="n">
        <v>0.0763888888888889</v>
      </c>
      <c r="G133" s="79" t="n">
        <v>0.09460648148148149</v>
      </c>
      <c r="H133" s="79" t="n">
        <v>0.07258101851851852</v>
      </c>
      <c r="I133" s="79" t="n">
        <v>0.06841435185185185</v>
      </c>
      <c r="J133" s="79" t="n">
        <v>0.04865740740740741</v>
      </c>
      <c r="K133" s="79" t="n">
        <v>0.08752314814814814</v>
      </c>
      <c r="L133" s="79" t="n">
        <v>0.0975</v>
      </c>
      <c r="M133" s="79" t="n">
        <v>0.1347337962962963</v>
      </c>
      <c r="N133" s="79" t="n">
        <v>0.0946412037037037</v>
      </c>
      <c r="O133" s="79" t="n">
        <v>0.1123726851851852</v>
      </c>
      <c r="P133" s="79" t="n">
        <v>0.05719907407407408</v>
      </c>
    </row>
    <row r="134" ht="15.75" customHeight="1" s="45">
      <c r="A134" s="57" t="n">
        <v>46184</v>
      </c>
      <c r="B134" s="81" t="inlineStr">
        <is>
          <t>Pós-Projeto</t>
        </is>
      </c>
      <c r="C134" s="59" t="inlineStr">
        <is>
          <t>Acolhim. + Atend. Urgência + Atend. UPA</t>
        </is>
      </c>
      <c r="D134" s="60">
        <f>SUM(D135:D137)</f>
        <v/>
      </c>
      <c r="E134" s="60">
        <f>SUM(E135:E137)</f>
        <v/>
      </c>
      <c r="F134" s="60">
        <f>SUM(F135:F137)</f>
        <v/>
      </c>
      <c r="G134" s="60">
        <f>SUM(G135:G137)</f>
        <v/>
      </c>
      <c r="H134" s="60">
        <f>SUM(H135:H137)</f>
        <v/>
      </c>
      <c r="I134" s="60">
        <f>SUM(I135:I137)</f>
        <v/>
      </c>
      <c r="J134" s="60">
        <f>SUM(J135:J137)</f>
        <v/>
      </c>
      <c r="K134" s="60">
        <f>SUM(K135:K137)</f>
        <v/>
      </c>
      <c r="L134" s="60">
        <f>SUM(L135:L137)</f>
        <v/>
      </c>
      <c r="M134" s="60">
        <f>SUM(M135:M137)</f>
        <v/>
      </c>
      <c r="N134" s="60">
        <f>SUM(N135:N137)</f>
        <v/>
      </c>
      <c r="O134" s="60">
        <f>SUM(O135:O137)</f>
        <v/>
      </c>
      <c r="P134" s="60">
        <f>SUM(P135:P137)</f>
        <v/>
      </c>
    </row>
    <row r="135" ht="15.75" customHeight="1" s="45">
      <c r="A135" s="61" t="n">
        <v>46184</v>
      </c>
      <c r="B135" s="82" t="inlineStr">
        <is>
          <t>Pós-Projeto</t>
        </is>
      </c>
      <c r="C135" s="83" t="inlineStr">
        <is>
          <t>Acolhimento c/ Classif. de Risco</t>
        </is>
      </c>
      <c r="D135" s="64" t="n">
        <v>233</v>
      </c>
      <c r="E135" s="64" t="n">
        <v>162</v>
      </c>
      <c r="F135" s="64" t="n">
        <v>151</v>
      </c>
      <c r="G135" s="64" t="n">
        <v>120</v>
      </c>
      <c r="H135" s="64" t="n">
        <v>140</v>
      </c>
      <c r="I135" s="64" t="n">
        <v>202</v>
      </c>
      <c r="J135" s="64" t="n">
        <v>119</v>
      </c>
      <c r="K135" s="64" t="n">
        <v>279</v>
      </c>
      <c r="L135" s="64" t="n">
        <v>140</v>
      </c>
      <c r="M135" s="64" t="n">
        <v>256</v>
      </c>
      <c r="N135" s="64" t="n">
        <v>213</v>
      </c>
      <c r="O135" s="64" t="n">
        <v>248</v>
      </c>
      <c r="P135" s="64" t="n">
        <v>232</v>
      </c>
    </row>
    <row r="136" ht="15.75" customHeight="1" s="45">
      <c r="A136" s="61" t="n">
        <v>46184</v>
      </c>
      <c r="B136" s="82" t="inlineStr">
        <is>
          <t>Pós-Projeto</t>
        </is>
      </c>
      <c r="C136" s="84" t="inlineStr">
        <is>
          <t>Atend. Urgência Obs. ≤ 24h</t>
        </is>
      </c>
      <c r="D136" s="66" t="n">
        <v>31</v>
      </c>
      <c r="E136" s="66" t="n">
        <v>10</v>
      </c>
      <c r="F136" s="66" t="n">
        <v>24</v>
      </c>
      <c r="G136" s="66" t="n">
        <v>17</v>
      </c>
      <c r="H136" s="66" t="n">
        <v>24</v>
      </c>
      <c r="I136" s="66" t="n">
        <v>26</v>
      </c>
      <c r="J136" s="66" t="n">
        <v>3</v>
      </c>
      <c r="K136" s="66" t="n">
        <v>52</v>
      </c>
      <c r="L136" s="66" t="n">
        <v>49</v>
      </c>
      <c r="M136" s="66" t="n">
        <v>26</v>
      </c>
      <c r="N136" s="66" t="n">
        <v>29</v>
      </c>
      <c r="O136" s="66" t="n">
        <v>6</v>
      </c>
      <c r="P136" s="66" t="n">
        <v>28</v>
      </c>
    </row>
    <row r="137" ht="15.75" customHeight="1" s="45">
      <c r="A137" s="61" t="n">
        <v>46184</v>
      </c>
      <c r="B137" s="82" t="inlineStr">
        <is>
          <t>Pós-Projeto</t>
        </is>
      </c>
      <c r="C137" s="83" t="inlineStr">
        <is>
          <t>Atend. Médico em UPA</t>
        </is>
      </c>
      <c r="D137" s="64" t="n">
        <v>161</v>
      </c>
      <c r="E137" s="64" t="n">
        <v>86</v>
      </c>
      <c r="F137" s="64" t="n">
        <v>100</v>
      </c>
      <c r="G137" s="64" t="n">
        <v>61</v>
      </c>
      <c r="H137" s="64" t="n">
        <v>91</v>
      </c>
      <c r="I137" s="64" t="n">
        <v>173</v>
      </c>
      <c r="J137" s="64" t="n">
        <v>90</v>
      </c>
      <c r="K137" s="64" t="n">
        <v>219</v>
      </c>
      <c r="L137" s="64" t="n">
        <v>75</v>
      </c>
      <c r="M137" s="64" t="n">
        <v>156</v>
      </c>
      <c r="N137" s="64" t="n">
        <v>147</v>
      </c>
      <c r="O137" s="64" t="n">
        <v>173</v>
      </c>
      <c r="P137" s="64" t="n">
        <v>168</v>
      </c>
    </row>
    <row r="138" ht="15.75" customHeight="1" s="45">
      <c r="A138" s="61" t="n">
        <v>46184</v>
      </c>
      <c r="B138" s="82" t="inlineStr">
        <is>
          <t>Pós-Projeto</t>
        </is>
      </c>
      <c r="C138" s="84" t="inlineStr">
        <is>
          <t>Exames Laboratoriais</t>
        </is>
      </c>
      <c r="D138" s="66" t="n">
        <v>866</v>
      </c>
      <c r="E138" s="66" t="n">
        <v>368</v>
      </c>
      <c r="F138" s="66" t="n">
        <v>662</v>
      </c>
      <c r="G138" s="66" t="n">
        <v>378</v>
      </c>
      <c r="H138" s="66" t="n">
        <v>306</v>
      </c>
      <c r="I138" s="66" t="n">
        <v>519</v>
      </c>
      <c r="J138" s="66" t="n">
        <v>281</v>
      </c>
      <c r="K138" s="66" t="n">
        <v>906</v>
      </c>
      <c r="L138" s="66" t="n">
        <v>671</v>
      </c>
      <c r="M138" s="66" t="n">
        <v>772</v>
      </c>
      <c r="N138" s="66" t="n">
        <v>26</v>
      </c>
      <c r="O138" s="66" t="n">
        <v>333</v>
      </c>
      <c r="P138" s="66" t="n">
        <v>827</v>
      </c>
    </row>
    <row r="139" ht="15.75" customHeight="1" s="45">
      <c r="A139" s="61" t="n">
        <v>46184</v>
      </c>
      <c r="B139" s="82" t="inlineStr">
        <is>
          <t>Pós-Projeto</t>
        </is>
      </c>
      <c r="C139" s="83" t="inlineStr">
        <is>
          <t>Radiografias</t>
        </is>
      </c>
      <c r="D139" s="64" t="n">
        <v>37</v>
      </c>
      <c r="E139" s="64" t="n">
        <v>18</v>
      </c>
      <c r="F139" s="64" t="n">
        <v>30</v>
      </c>
      <c r="G139" s="64" t="n">
        <v>18</v>
      </c>
      <c r="H139" s="64" t="n">
        <v>27</v>
      </c>
      <c r="I139" s="64" t="n">
        <v>23</v>
      </c>
      <c r="J139" s="64" t="n">
        <v>21</v>
      </c>
      <c r="K139" s="64" t="n">
        <v>55</v>
      </c>
      <c r="L139" s="64" t="n">
        <v>18</v>
      </c>
      <c r="M139" s="64" t="n">
        <v>53</v>
      </c>
      <c r="N139" s="64" t="n">
        <v>34</v>
      </c>
      <c r="O139" s="64" t="n">
        <v>52</v>
      </c>
      <c r="P139" s="64" t="n">
        <v>48</v>
      </c>
    </row>
    <row r="140" ht="15.75" customHeight="1" s="45">
      <c r="A140" s="61" t="n">
        <v>46184</v>
      </c>
      <c r="B140" s="82" t="inlineStr">
        <is>
          <t>Pós-Projeto</t>
        </is>
      </c>
      <c r="C140" s="84" t="inlineStr">
        <is>
          <t>Eletrocardiogramas</t>
        </is>
      </c>
      <c r="D140" s="66" t="n">
        <v>9</v>
      </c>
      <c r="E140" s="66" t="n">
        <v>13</v>
      </c>
      <c r="F140" s="66" t="n">
        <v>13</v>
      </c>
      <c r="G140" s="66" t="n">
        <v>10</v>
      </c>
      <c r="H140" s="66" t="n">
        <v>6</v>
      </c>
      <c r="I140" s="66" t="n">
        <v>12</v>
      </c>
      <c r="J140" s="67" t="n">
        <v>0</v>
      </c>
      <c r="K140" s="66" t="n">
        <v>1</v>
      </c>
      <c r="L140" s="66" t="n">
        <v>12</v>
      </c>
      <c r="M140" s="67" t="n">
        <v>0</v>
      </c>
      <c r="N140" s="66" t="n">
        <v>15</v>
      </c>
      <c r="O140" s="67" t="n">
        <v>0</v>
      </c>
      <c r="P140" s="66" t="n">
        <v>1</v>
      </c>
    </row>
    <row r="141" ht="15.75" customHeight="1" s="45">
      <c r="A141" s="61" t="n">
        <v>46184</v>
      </c>
      <c r="B141" s="82" t="inlineStr">
        <is>
          <t>Pós-Projeto</t>
        </is>
      </c>
      <c r="C141" s="85" t="inlineStr">
        <is>
          <t>GAEs Abertas</t>
        </is>
      </c>
      <c r="D141" s="69" t="n">
        <v>302</v>
      </c>
      <c r="E141" s="69" t="n">
        <v>228</v>
      </c>
      <c r="F141" s="69" t="n">
        <v>255</v>
      </c>
      <c r="G141" s="69" t="n">
        <v>262</v>
      </c>
      <c r="H141" s="69" t="n">
        <v>154</v>
      </c>
      <c r="I141" s="69" t="n">
        <v>245</v>
      </c>
      <c r="J141" s="69" t="n">
        <v>245</v>
      </c>
      <c r="K141" s="69" t="n">
        <v>165</v>
      </c>
      <c r="L141" s="69" t="n">
        <v>152</v>
      </c>
      <c r="M141" s="69" t="n">
        <v>125</v>
      </c>
      <c r="N141" s="69" t="n">
        <v>141</v>
      </c>
      <c r="O141" s="69" t="n">
        <v>220</v>
      </c>
      <c r="P141" s="69" t="n">
        <v>125</v>
      </c>
    </row>
    <row r="142" ht="15.75" customHeight="1" s="45">
      <c r="A142" s="61" t="n">
        <v>46184</v>
      </c>
      <c r="B142" s="82" t="inlineStr">
        <is>
          <t>Pós-Projeto</t>
        </is>
      </c>
      <c r="C142" s="85" t="inlineStr">
        <is>
          <t>GAEs Classificadas</t>
        </is>
      </c>
      <c r="D142" s="69" t="n">
        <v>279</v>
      </c>
      <c r="E142" s="69" t="n">
        <v>212</v>
      </c>
      <c r="F142" s="69" t="n">
        <v>246</v>
      </c>
      <c r="G142" s="69" t="n">
        <v>255</v>
      </c>
      <c r="H142" s="69" t="n">
        <v>139</v>
      </c>
      <c r="I142" s="69" t="n">
        <v>235</v>
      </c>
      <c r="J142" s="69" t="n">
        <v>235</v>
      </c>
      <c r="K142" s="69" t="n">
        <v>160</v>
      </c>
      <c r="L142" s="69" t="n">
        <v>151</v>
      </c>
      <c r="M142" s="69" t="n">
        <v>118</v>
      </c>
      <c r="N142" s="69" t="n">
        <v>140</v>
      </c>
      <c r="O142" s="69" t="n">
        <v>204</v>
      </c>
      <c r="P142" s="69" t="n">
        <v>120</v>
      </c>
    </row>
    <row r="143" ht="15.75" customHeight="1" s="45">
      <c r="A143" s="61" t="n">
        <v>46184</v>
      </c>
      <c r="B143" s="82" t="inlineStr">
        <is>
          <t>Pós-Projeto</t>
        </is>
      </c>
      <c r="C143" s="86" t="inlineStr">
        <is>
          <t>Percentual de GAEs abertas classificadas</t>
        </is>
      </c>
      <c r="D143" s="71">
        <f>IFERROR(D142/D141,"-")</f>
        <v/>
      </c>
      <c r="E143" s="71">
        <f>IFERROR(E142/E141,"-")</f>
        <v/>
      </c>
      <c r="F143" s="71">
        <f>IFERROR(F142/F141,"-")</f>
        <v/>
      </c>
      <c r="G143" s="71">
        <f>IFERROR(G142/G141,"-")</f>
        <v/>
      </c>
      <c r="H143" s="71">
        <f>IFERROR(H142/H141,"-")</f>
        <v/>
      </c>
      <c r="I143" s="71">
        <f>IFERROR(I142/I141,"-")</f>
        <v/>
      </c>
      <c r="J143" s="71">
        <f>IFERROR(J142/J141,"-")</f>
        <v/>
      </c>
      <c r="K143" s="71">
        <f>IFERROR(K142/K141,"-")</f>
        <v/>
      </c>
      <c r="L143" s="71">
        <f>IFERROR(L142/L141,"-")</f>
        <v/>
      </c>
      <c r="M143" s="71">
        <f>IFERROR(M142/M141,"-")</f>
        <v/>
      </c>
      <c r="N143" s="71">
        <f>IFERROR(N142/N141,"-")</f>
        <v/>
      </c>
      <c r="O143" s="71">
        <f>IFERROR(O142/O141,"-")</f>
        <v/>
      </c>
      <c r="P143" s="71">
        <f>IFERROR(P142/P141,"-")</f>
        <v/>
      </c>
    </row>
    <row r="144" ht="15.75" customHeight="1" s="45">
      <c r="A144" s="61" t="n">
        <v>46184</v>
      </c>
      <c r="B144" s="82" t="inlineStr">
        <is>
          <t>Pós-Projeto</t>
        </is>
      </c>
      <c r="C144" s="87" t="inlineStr">
        <is>
          <t>Tempo Médio — 🟡 Amarelo (hh:mm)</t>
        </is>
      </c>
      <c r="D144" s="73" t="n">
        <v>0.0777199074074074</v>
      </c>
      <c r="E144" s="73" t="n">
        <v>0.1182175925925926</v>
      </c>
      <c r="F144" s="73" t="n">
        <v>0.07299768518518518</v>
      </c>
      <c r="G144" s="73" t="n">
        <v>0.09554398148148148</v>
      </c>
      <c r="H144" s="73" t="n">
        <v>0.06434027777777777</v>
      </c>
      <c r="I144" s="73" t="n">
        <v>0.02712962962962963</v>
      </c>
      <c r="J144" s="73" t="n">
        <v>0.05614583333333333</v>
      </c>
      <c r="K144" s="73" t="n">
        <v>0.07515046296296296</v>
      </c>
      <c r="L144" s="73" t="n">
        <v>0.1247106481481482</v>
      </c>
      <c r="M144" s="73" t="n">
        <v>0.03748842592592593</v>
      </c>
      <c r="N144" s="73" t="n">
        <v>0.1143055555555555</v>
      </c>
      <c r="O144" s="73" t="n">
        <v>0.03256944444444444</v>
      </c>
      <c r="P144" s="73" t="n">
        <v>0.06986111111111111</v>
      </c>
    </row>
    <row r="145" ht="15.75" customHeight="1" s="45">
      <c r="A145" s="61" t="n">
        <v>46184</v>
      </c>
      <c r="B145" s="82" t="inlineStr">
        <is>
          <t>Pós-Projeto</t>
        </is>
      </c>
      <c r="C145" s="88" t="inlineStr">
        <is>
          <t>Tempo Médio — 🟠 Laranja (hh:mm)</t>
        </is>
      </c>
      <c r="D145" s="75" t="n">
        <v>0.01015046296296296</v>
      </c>
      <c r="E145" s="75" t="n">
        <v>0.02246527777777778</v>
      </c>
      <c r="F145" s="75" t="n">
        <v>0.008842592592592593</v>
      </c>
      <c r="G145" s="75" t="n">
        <v>0.008877314814814815</v>
      </c>
      <c r="H145" s="75" t="n">
        <v>0.006168981481481482</v>
      </c>
      <c r="I145" s="75" t="n">
        <v>0.004884259259259259</v>
      </c>
      <c r="J145" s="75" t="n">
        <v>0.01063657407407407</v>
      </c>
      <c r="K145" s="75" t="n">
        <v>0.03150462962962963</v>
      </c>
      <c r="L145" s="75" t="n">
        <v>0.01604166666666667</v>
      </c>
      <c r="M145" s="75" t="n">
        <v>0.02033564814814815</v>
      </c>
      <c r="N145" s="75" t="n">
        <v>0.02070601851851852</v>
      </c>
      <c r="O145" s="75" t="n">
        <v>0.008541666666666666</v>
      </c>
      <c r="P145" s="75" t="n">
        <v>0.01178240740740741</v>
      </c>
    </row>
    <row r="146" ht="15.75" customHeight="1" s="45">
      <c r="A146" s="76" t="n">
        <v>46184</v>
      </c>
      <c r="B146" s="82" t="inlineStr">
        <is>
          <t>Pós-Projeto</t>
        </is>
      </c>
      <c r="C146" s="91" t="inlineStr">
        <is>
          <t>Tempo Médio — 🟢 Verde   (hh:mm)</t>
        </is>
      </c>
      <c r="D146" s="79" t="n">
        <v>0.09834490740740741</v>
      </c>
      <c r="E146" s="79" t="n">
        <v>0.153287037037037</v>
      </c>
      <c r="F146" s="79" t="n">
        <v>0.1325347222222222</v>
      </c>
      <c r="G146" s="79" t="n">
        <v>0.1033217592592593</v>
      </c>
      <c r="H146" s="79" t="n">
        <v>0.1119907407407407</v>
      </c>
      <c r="I146" s="79" t="n">
        <v>0.1217592592592593</v>
      </c>
      <c r="J146" s="79" t="n">
        <v>0.07372685185185185</v>
      </c>
      <c r="K146" s="79" t="n">
        <v>0.05206018518518519</v>
      </c>
      <c r="L146" s="79" t="n">
        <v>0.1250925925925926</v>
      </c>
      <c r="M146" s="79" t="n">
        <v>0.09738425925925925</v>
      </c>
      <c r="N146" s="79" t="n">
        <v>0.1490972222222222</v>
      </c>
      <c r="O146" s="79" t="n">
        <v>0.09399305555555555</v>
      </c>
      <c r="P146" s="79" t="n">
        <v>0.1034722222222222</v>
      </c>
    </row>
    <row r="147" ht="15.75" customHeight="1" s="45">
      <c r="A147" s="57" t="n">
        <v>46185</v>
      </c>
      <c r="B147" s="81" t="inlineStr">
        <is>
          <t>Pós-Projeto</t>
        </is>
      </c>
      <c r="C147" s="59" t="inlineStr">
        <is>
          <t>Acolhim. + Atend. Urgência + Atend. UPA</t>
        </is>
      </c>
      <c r="D147" s="60">
        <f>SUM(D148:D150)</f>
        <v/>
      </c>
      <c r="E147" s="60">
        <f>SUM(E148:E150)</f>
        <v/>
      </c>
      <c r="F147" s="60">
        <f>SUM(F148:F150)</f>
        <v/>
      </c>
      <c r="G147" s="60">
        <f>SUM(G148:G150)</f>
        <v/>
      </c>
      <c r="H147" s="60">
        <f>SUM(H148:H150)</f>
        <v/>
      </c>
      <c r="I147" s="60">
        <f>SUM(I148:I150)</f>
        <v/>
      </c>
      <c r="J147" s="60">
        <f>SUM(J148:J150)</f>
        <v/>
      </c>
      <c r="K147" s="60">
        <f>SUM(K148:K150)</f>
        <v/>
      </c>
      <c r="L147" s="60">
        <f>SUM(L148:L150)</f>
        <v/>
      </c>
      <c r="M147" s="60">
        <f>SUM(M148:M150)</f>
        <v/>
      </c>
      <c r="N147" s="60">
        <f>SUM(N148:N150)</f>
        <v/>
      </c>
      <c r="O147" s="60">
        <f>SUM(O148:O150)</f>
        <v/>
      </c>
      <c r="P147" s="60">
        <f>SUM(P148:P150)</f>
        <v/>
      </c>
    </row>
    <row r="148" ht="15.75" customHeight="1" s="45">
      <c r="A148" s="61" t="n">
        <v>46185</v>
      </c>
      <c r="B148" s="82" t="inlineStr">
        <is>
          <t>Pós-Projeto</t>
        </is>
      </c>
      <c r="C148" s="83" t="inlineStr">
        <is>
          <t>Acolhimento c/ Classif. de Risco</t>
        </is>
      </c>
      <c r="D148" s="64" t="n">
        <v>199</v>
      </c>
      <c r="E148" s="64" t="n">
        <v>144</v>
      </c>
      <c r="F148" s="64" t="n">
        <v>137</v>
      </c>
      <c r="G148" s="64" t="n">
        <v>115</v>
      </c>
      <c r="H148" s="64" t="n">
        <v>105</v>
      </c>
      <c r="I148" s="64" t="n">
        <v>195</v>
      </c>
      <c r="J148" s="64" t="n">
        <v>100</v>
      </c>
      <c r="K148" s="64" t="n">
        <v>284</v>
      </c>
      <c r="L148" s="64" t="n">
        <v>141</v>
      </c>
      <c r="M148" s="64" t="n">
        <v>212</v>
      </c>
      <c r="N148" s="64" t="n">
        <v>184</v>
      </c>
      <c r="O148" s="64" t="n">
        <v>244</v>
      </c>
      <c r="P148" s="64" t="n">
        <v>221</v>
      </c>
    </row>
    <row r="149" ht="15.75" customHeight="1" s="45">
      <c r="A149" s="61" t="n">
        <v>46185</v>
      </c>
      <c r="B149" s="82" t="inlineStr">
        <is>
          <t>Pós-Projeto</t>
        </is>
      </c>
      <c r="C149" s="84" t="inlineStr">
        <is>
          <t>Atend. Urgência Obs. ≤ 24h</t>
        </is>
      </c>
      <c r="D149" s="66" t="n">
        <v>18</v>
      </c>
      <c r="E149" s="66" t="n">
        <v>15</v>
      </c>
      <c r="F149" s="66" t="n">
        <v>24</v>
      </c>
      <c r="G149" s="66" t="n">
        <v>24</v>
      </c>
      <c r="H149" s="66" t="n">
        <v>13</v>
      </c>
      <c r="I149" s="66" t="n">
        <v>37</v>
      </c>
      <c r="J149" s="66" t="n">
        <v>30</v>
      </c>
      <c r="K149" s="66" t="n">
        <v>37</v>
      </c>
      <c r="L149" s="66" t="n">
        <v>45</v>
      </c>
      <c r="M149" s="66" t="n">
        <v>10</v>
      </c>
      <c r="N149" s="66" t="n">
        <v>36</v>
      </c>
      <c r="O149" s="66" t="n">
        <v>2</v>
      </c>
      <c r="P149" s="66" t="n">
        <v>25</v>
      </c>
    </row>
    <row r="150" ht="15.75" customHeight="1" s="45">
      <c r="A150" s="61" t="n">
        <v>46185</v>
      </c>
      <c r="B150" s="82" t="inlineStr">
        <is>
          <t>Pós-Projeto</t>
        </is>
      </c>
      <c r="C150" s="83" t="inlineStr">
        <is>
          <t>Atend. Médico em UPA</t>
        </is>
      </c>
      <c r="D150" s="64" t="n">
        <v>65</v>
      </c>
      <c r="E150" s="64" t="n">
        <v>82</v>
      </c>
      <c r="F150" s="64" t="n">
        <v>103</v>
      </c>
      <c r="G150" s="64" t="n">
        <v>76</v>
      </c>
      <c r="H150" s="64" t="n">
        <v>66</v>
      </c>
      <c r="I150" s="64" t="n">
        <v>159</v>
      </c>
      <c r="J150" s="64" t="n">
        <v>68</v>
      </c>
      <c r="K150" s="64" t="n">
        <v>169</v>
      </c>
      <c r="L150" s="64" t="n">
        <v>82</v>
      </c>
      <c r="M150" s="64" t="n">
        <v>156</v>
      </c>
      <c r="N150" s="64" t="n">
        <v>125</v>
      </c>
      <c r="O150" s="64" t="n">
        <v>189</v>
      </c>
      <c r="P150" s="64" t="n">
        <v>143</v>
      </c>
    </row>
    <row r="151" ht="15.75" customHeight="1" s="45">
      <c r="A151" s="61" t="n">
        <v>46185</v>
      </c>
      <c r="B151" s="82" t="inlineStr">
        <is>
          <t>Pós-Projeto</t>
        </is>
      </c>
      <c r="C151" s="84" t="inlineStr">
        <is>
          <t>Exames Laboratoriais</t>
        </is>
      </c>
      <c r="D151" s="66" t="n">
        <v>417</v>
      </c>
      <c r="E151" s="66" t="n">
        <v>344</v>
      </c>
      <c r="F151" s="66" t="n">
        <v>343</v>
      </c>
      <c r="G151" s="66" t="n">
        <v>425</v>
      </c>
      <c r="H151" s="66" t="n">
        <v>180</v>
      </c>
      <c r="I151" s="66" t="n">
        <v>597</v>
      </c>
      <c r="J151" s="66" t="n">
        <v>233</v>
      </c>
      <c r="K151" s="66" t="n">
        <v>625</v>
      </c>
      <c r="L151" s="66" t="n">
        <v>476</v>
      </c>
      <c r="M151" s="66" t="n">
        <v>531</v>
      </c>
      <c r="N151" s="66" t="n">
        <v>704</v>
      </c>
      <c r="O151" s="66" t="n">
        <v>484</v>
      </c>
      <c r="P151" s="66" t="n">
        <v>210</v>
      </c>
    </row>
    <row r="152" ht="15.75" customHeight="1" s="45">
      <c r="A152" s="61" t="n">
        <v>46185</v>
      </c>
      <c r="B152" s="82" t="inlineStr">
        <is>
          <t>Pós-Projeto</t>
        </is>
      </c>
      <c r="C152" s="83" t="inlineStr">
        <is>
          <t>Radiografias</t>
        </is>
      </c>
      <c r="D152" s="64" t="n">
        <v>17</v>
      </c>
      <c r="E152" s="64" t="n">
        <v>14</v>
      </c>
      <c r="F152" s="64" t="n">
        <v>43</v>
      </c>
      <c r="G152" s="64" t="n">
        <v>28</v>
      </c>
      <c r="H152" s="64" t="n">
        <v>4</v>
      </c>
      <c r="I152" s="64" t="n">
        <v>33</v>
      </c>
      <c r="J152" s="64" t="n">
        <v>27</v>
      </c>
      <c r="K152" s="64" t="n">
        <v>46</v>
      </c>
      <c r="L152" s="64" t="n">
        <v>16</v>
      </c>
      <c r="M152" s="64" t="n">
        <v>36</v>
      </c>
      <c r="N152" s="64" t="n">
        <v>29</v>
      </c>
      <c r="O152" s="64" t="n">
        <v>30</v>
      </c>
      <c r="P152" s="64" t="n">
        <v>8</v>
      </c>
    </row>
    <row r="153" ht="15.75" customHeight="1" s="45">
      <c r="A153" s="61" t="n">
        <v>46185</v>
      </c>
      <c r="B153" s="82" t="inlineStr">
        <is>
          <t>Pós-Projeto</t>
        </is>
      </c>
      <c r="C153" s="84" t="inlineStr">
        <is>
          <t>Eletrocardiogramas</t>
        </is>
      </c>
      <c r="D153" s="66" t="n">
        <v>8</v>
      </c>
      <c r="E153" s="66" t="n">
        <v>6</v>
      </c>
      <c r="F153" s="66" t="n">
        <v>14</v>
      </c>
      <c r="G153" s="66" t="n">
        <v>11</v>
      </c>
      <c r="H153" s="66" t="n">
        <v>4</v>
      </c>
      <c r="I153" s="66" t="n">
        <v>11</v>
      </c>
      <c r="J153" s="67" t="n">
        <v>0</v>
      </c>
      <c r="K153" s="67" t="n">
        <v>0</v>
      </c>
      <c r="L153" s="66" t="n">
        <v>16</v>
      </c>
      <c r="M153" s="67" t="n">
        <v>0</v>
      </c>
      <c r="N153" s="66" t="n">
        <v>8</v>
      </c>
      <c r="O153" s="67" t="n">
        <v>0</v>
      </c>
      <c r="P153" s="66" t="n">
        <v>1</v>
      </c>
    </row>
    <row r="154" ht="15.75" customHeight="1" s="45">
      <c r="A154" s="61" t="n">
        <v>46185</v>
      </c>
      <c r="B154" s="82" t="inlineStr">
        <is>
          <t>Pós-Projeto</t>
        </is>
      </c>
      <c r="C154" s="85" t="inlineStr">
        <is>
          <t>GAEs Abertas</t>
        </is>
      </c>
      <c r="D154" s="69" t="n">
        <v>227</v>
      </c>
      <c r="E154" s="69" t="n">
        <v>151</v>
      </c>
      <c r="F154" s="69" t="n">
        <v>140</v>
      </c>
      <c r="G154" s="69" t="n">
        <v>119</v>
      </c>
      <c r="H154" s="69" t="n">
        <v>110</v>
      </c>
      <c r="I154" s="69" t="n">
        <v>199</v>
      </c>
      <c r="J154" s="69" t="n">
        <v>101</v>
      </c>
      <c r="K154" s="69" t="n">
        <v>315</v>
      </c>
      <c r="L154" s="69" t="n">
        <v>146</v>
      </c>
      <c r="M154" s="69" t="n">
        <v>226</v>
      </c>
      <c r="N154" s="69" t="n">
        <v>188</v>
      </c>
      <c r="O154" s="69" t="n">
        <v>254</v>
      </c>
      <c r="P154" s="69" t="n">
        <v>237</v>
      </c>
    </row>
    <row r="155" ht="15.75" customHeight="1" s="45">
      <c r="A155" s="61" t="n">
        <v>46185</v>
      </c>
      <c r="B155" s="82" t="inlineStr">
        <is>
          <t>Pós-Projeto</t>
        </is>
      </c>
      <c r="C155" s="85" t="inlineStr">
        <is>
          <t>GAEs Classificadas</t>
        </is>
      </c>
      <c r="D155" s="69" t="n">
        <v>197</v>
      </c>
      <c r="E155" s="69" t="n">
        <v>145</v>
      </c>
      <c r="F155" s="69" t="n">
        <v>137</v>
      </c>
      <c r="G155" s="69" t="n">
        <v>116</v>
      </c>
      <c r="H155" s="69" t="n">
        <v>104</v>
      </c>
      <c r="I155" s="69" t="n">
        <v>189</v>
      </c>
      <c r="J155" s="69" t="n">
        <v>99</v>
      </c>
      <c r="K155" s="69" t="n">
        <v>286</v>
      </c>
      <c r="L155" s="69" t="n">
        <v>139</v>
      </c>
      <c r="M155" s="69" t="n">
        <v>211</v>
      </c>
      <c r="N155" s="69" t="n">
        <v>181</v>
      </c>
      <c r="O155" s="69" t="n">
        <v>244</v>
      </c>
      <c r="P155" s="69" t="n">
        <v>221</v>
      </c>
    </row>
    <row r="156" ht="15.75" customHeight="1" s="45">
      <c r="A156" s="61" t="n">
        <v>46185</v>
      </c>
      <c r="B156" s="82" t="inlineStr">
        <is>
          <t>Pós-Projeto</t>
        </is>
      </c>
      <c r="C156" s="86" t="inlineStr">
        <is>
          <t>Percentual de GAEs abertas classificadas</t>
        </is>
      </c>
      <c r="D156" s="71">
        <f>IFERROR(D155/D154,"-")</f>
        <v/>
      </c>
      <c r="E156" s="71">
        <f>IFERROR(E155/E154,"-")</f>
        <v/>
      </c>
      <c r="F156" s="71">
        <f>IFERROR(F155/F154,"-")</f>
        <v/>
      </c>
      <c r="G156" s="71">
        <f>IFERROR(G155/G154,"-")</f>
        <v/>
      </c>
      <c r="H156" s="71">
        <f>IFERROR(H155/H154,"-")</f>
        <v/>
      </c>
      <c r="I156" s="71">
        <f>IFERROR(I155/I154,"-")</f>
        <v/>
      </c>
      <c r="J156" s="71">
        <f>IFERROR(J155/J154,"-")</f>
        <v/>
      </c>
      <c r="K156" s="71">
        <f>IFERROR(K155/K154,"-")</f>
        <v/>
      </c>
      <c r="L156" s="71">
        <f>IFERROR(L155/L154,"-")</f>
        <v/>
      </c>
      <c r="M156" s="71">
        <f>IFERROR(M155/M154,"-")</f>
        <v/>
      </c>
      <c r="N156" s="71">
        <f>IFERROR(N155/N154,"-")</f>
        <v/>
      </c>
      <c r="O156" s="71">
        <f>IFERROR(O155/O154,"-")</f>
        <v/>
      </c>
      <c r="P156" s="71">
        <f>IFERROR(P155/P154,"-")</f>
        <v/>
      </c>
    </row>
    <row r="157" ht="15.75" customHeight="1" s="45">
      <c r="A157" s="61" t="n">
        <v>46185</v>
      </c>
      <c r="B157" s="82" t="inlineStr">
        <is>
          <t>Pós-Projeto</t>
        </is>
      </c>
      <c r="C157" s="87" t="inlineStr">
        <is>
          <t>Tempo Médio — 🟡 Amarelo (hh:mm)</t>
        </is>
      </c>
      <c r="D157" s="73" t="n">
        <v>0.06905092592592593</v>
      </c>
      <c r="E157" s="73" t="n">
        <v>0.369525462962963</v>
      </c>
      <c r="F157" s="73" t="n">
        <v>0.0522337962962963</v>
      </c>
      <c r="G157" s="73" t="n">
        <v>0.02734953703703704</v>
      </c>
      <c r="H157" s="73" t="n">
        <v>0.05835648148148148</v>
      </c>
      <c r="I157" s="73" t="n">
        <v>0.02519675925925926</v>
      </c>
      <c r="J157" s="73" t="n">
        <v>0.04076388888888889</v>
      </c>
      <c r="K157" s="73" t="n">
        <v>0.05572916666666667</v>
      </c>
      <c r="L157" s="73" t="n">
        <v>0.07303240740740741</v>
      </c>
      <c r="M157" s="73" t="n">
        <v>0.02373842592592593</v>
      </c>
      <c r="N157" s="73" t="n">
        <v>0.1293634259259259</v>
      </c>
      <c r="O157" s="73" t="n">
        <v>0.04791666666666667</v>
      </c>
      <c r="P157" s="73" t="n">
        <v>0.08793981481481482</v>
      </c>
    </row>
    <row r="158" ht="15.75" customHeight="1" s="45">
      <c r="A158" s="61" t="n">
        <v>46185</v>
      </c>
      <c r="B158" s="82" t="inlineStr">
        <is>
          <t>Pós-Projeto</t>
        </is>
      </c>
      <c r="C158" s="88" t="inlineStr">
        <is>
          <t>Tempo Médio — 🟠 Laranja (hh:mm)</t>
        </is>
      </c>
      <c r="D158" s="75" t="n">
        <v>0.02630787037037037</v>
      </c>
      <c r="E158" s="75" t="n">
        <v>0.02740740740740741</v>
      </c>
      <c r="F158" s="75" t="n">
        <v>0.007592592592592593</v>
      </c>
      <c r="G158" s="75" t="n">
        <v>0.005671296296296297</v>
      </c>
      <c r="H158" s="75" t="n">
        <v>0.01246527777777778</v>
      </c>
      <c r="I158" s="75" t="n">
        <v>0.004016203703703704</v>
      </c>
      <c r="J158" s="75" t="n">
        <v>0.006076388888888889</v>
      </c>
      <c r="K158" s="75" t="n">
        <v>0.008171296296296296</v>
      </c>
      <c r="L158" s="75" t="n">
        <v>0.00863425925925926</v>
      </c>
      <c r="M158" s="75" t="n">
        <v>0.0112962962962963</v>
      </c>
      <c r="N158" s="75" t="n">
        <v>0.01577546296296296</v>
      </c>
      <c r="O158" s="75" t="n">
        <v>0.01136574074074074</v>
      </c>
      <c r="P158" s="75" t="n">
        <v>0.01766203703703704</v>
      </c>
    </row>
    <row r="159" ht="15.75" customHeight="1" s="45">
      <c r="A159" s="76" t="n">
        <v>46185</v>
      </c>
      <c r="B159" s="82" t="inlineStr">
        <is>
          <t>Pós-Projeto</t>
        </is>
      </c>
      <c r="C159" s="91" t="inlineStr">
        <is>
          <t>Tempo Médio — 🟢 Verde   (hh:mm)</t>
        </is>
      </c>
      <c r="D159" s="79" t="n">
        <v>0.0759375</v>
      </c>
      <c r="E159" s="79" t="n">
        <v>0.1002199074074074</v>
      </c>
      <c r="F159" s="79" t="n">
        <v>0.05799768518518519</v>
      </c>
      <c r="G159" s="79" t="n">
        <v>0.04042824074074074</v>
      </c>
      <c r="H159" s="79" t="n">
        <v>0.09596064814814814</v>
      </c>
      <c r="I159" s="79" t="n">
        <v>0.06322916666666667</v>
      </c>
      <c r="J159" s="79" t="n">
        <v>0.03157407407407407</v>
      </c>
      <c r="K159" s="79" t="n">
        <v>0.04575231481481482</v>
      </c>
      <c r="L159" s="79" t="n">
        <v>0.1265740740740741</v>
      </c>
      <c r="M159" s="79" t="n">
        <v>0.05112268518518519</v>
      </c>
      <c r="N159" s="79" t="n">
        <v>0.1321527777777778</v>
      </c>
      <c r="O159" s="79" t="n">
        <v>0.1355671296296296</v>
      </c>
      <c r="P159" s="79" t="n">
        <v>0.09008101851851852</v>
      </c>
    </row>
    <row r="160" ht="15.75" customHeight="1" s="45">
      <c r="A160" s="57" t="n">
        <v>46186</v>
      </c>
      <c r="B160" s="81" t="inlineStr">
        <is>
          <t>Pós-Projeto</t>
        </is>
      </c>
      <c r="C160" s="59" t="inlineStr">
        <is>
          <t>Acolhim. + Atend. Urgência + Atend. UPA</t>
        </is>
      </c>
      <c r="D160" s="60">
        <f>SUM(D161:D163)</f>
        <v/>
      </c>
      <c r="E160" s="60">
        <f>SUM(E161:E163)</f>
        <v/>
      </c>
      <c r="F160" s="60">
        <f>SUM(F161:F163)</f>
        <v/>
      </c>
      <c r="G160" s="60">
        <f>SUM(G161:G163)</f>
        <v/>
      </c>
      <c r="H160" s="60">
        <f>SUM(H161:H163)</f>
        <v/>
      </c>
      <c r="I160" s="60">
        <f>SUM(I161:I163)</f>
        <v/>
      </c>
      <c r="J160" s="60">
        <f>SUM(J161:J163)</f>
        <v/>
      </c>
      <c r="K160" s="60">
        <f>SUM(K161:K163)</f>
        <v/>
      </c>
      <c r="L160" s="60">
        <f>SUM(L161:L163)</f>
        <v/>
      </c>
      <c r="M160" s="60">
        <f>SUM(M161:M163)</f>
        <v/>
      </c>
      <c r="N160" s="60">
        <f>SUM(N161:N163)</f>
        <v/>
      </c>
      <c r="O160" s="60">
        <f>SUM(O161:O163)</f>
        <v/>
      </c>
      <c r="P160" s="60">
        <f>SUM(P161:P163)</f>
        <v/>
      </c>
    </row>
    <row r="161" ht="15.75" customHeight="1" s="45">
      <c r="A161" s="61" t="n">
        <v>46186</v>
      </c>
      <c r="B161" s="82" t="inlineStr">
        <is>
          <t>Pós-Projeto</t>
        </is>
      </c>
      <c r="C161" s="83" t="inlineStr">
        <is>
          <t>Acolhimento c/ Classif. de Risco</t>
        </is>
      </c>
      <c r="D161" s="64" t="n">
        <v>141</v>
      </c>
      <c r="E161" s="64" t="n">
        <v>87</v>
      </c>
      <c r="F161" s="64" t="n">
        <v>108</v>
      </c>
      <c r="G161" s="64" t="n">
        <v>95</v>
      </c>
      <c r="H161" s="64" t="n">
        <v>99</v>
      </c>
      <c r="I161" s="64" t="n">
        <v>161</v>
      </c>
      <c r="J161" s="64" t="n">
        <v>78</v>
      </c>
      <c r="K161" s="64" t="n">
        <v>253</v>
      </c>
      <c r="L161" s="64" t="n">
        <v>103</v>
      </c>
      <c r="M161" s="64" t="n">
        <v>189</v>
      </c>
      <c r="N161" s="64" t="n">
        <v>162</v>
      </c>
      <c r="O161" s="64" t="n">
        <v>185</v>
      </c>
      <c r="P161" s="64" t="n">
        <v>206</v>
      </c>
    </row>
    <row r="162" ht="15.75" customHeight="1" s="45">
      <c r="A162" s="61" t="n">
        <v>46186</v>
      </c>
      <c r="B162" s="82" t="inlineStr">
        <is>
          <t>Pós-Projeto</t>
        </is>
      </c>
      <c r="C162" s="84" t="inlineStr">
        <is>
          <t>Atend. Urgência Obs. ≤ 24h</t>
        </is>
      </c>
      <c r="D162" s="66" t="n">
        <v>13</v>
      </c>
      <c r="E162" s="66" t="n">
        <v>33</v>
      </c>
      <c r="F162" s="66" t="n">
        <v>17</v>
      </c>
      <c r="G162" s="66" t="n">
        <v>26</v>
      </c>
      <c r="H162" s="66" t="n">
        <v>11</v>
      </c>
      <c r="I162" s="66" t="n">
        <v>13</v>
      </c>
      <c r="J162" s="66" t="n">
        <v>5</v>
      </c>
      <c r="K162" s="66" t="n">
        <v>32</v>
      </c>
      <c r="L162" s="66" t="n">
        <v>76</v>
      </c>
      <c r="M162" s="66" t="n">
        <v>11</v>
      </c>
      <c r="N162" s="66" t="n">
        <v>27</v>
      </c>
      <c r="O162" s="66" t="n">
        <v>12</v>
      </c>
      <c r="P162" s="66" t="n">
        <v>19</v>
      </c>
    </row>
    <row r="163" ht="15.75" customHeight="1" s="45">
      <c r="A163" s="61" t="n">
        <v>46186</v>
      </c>
      <c r="B163" s="82" t="inlineStr">
        <is>
          <t>Pós-Projeto</t>
        </is>
      </c>
      <c r="C163" s="83" t="inlineStr">
        <is>
          <t>Atend. Médico em UPA</t>
        </is>
      </c>
      <c r="D163" s="64" t="n">
        <v>73</v>
      </c>
      <c r="E163" s="64" t="n">
        <v>50</v>
      </c>
      <c r="F163" s="64" t="n">
        <v>101</v>
      </c>
      <c r="G163" s="64" t="n">
        <v>37</v>
      </c>
      <c r="H163" s="64" t="n">
        <v>74</v>
      </c>
      <c r="I163" s="64" t="n">
        <v>135</v>
      </c>
      <c r="J163" s="64" t="n">
        <v>21</v>
      </c>
      <c r="K163" s="64" t="n">
        <v>157</v>
      </c>
      <c r="L163" s="64" t="n">
        <v>77</v>
      </c>
      <c r="M163" s="64" t="n">
        <v>88</v>
      </c>
      <c r="N163" s="64" t="n">
        <v>76</v>
      </c>
      <c r="O163" s="64" t="n">
        <v>166</v>
      </c>
      <c r="P163" s="64" t="n">
        <v>130</v>
      </c>
    </row>
    <row r="164" ht="15.75" customHeight="1" s="45">
      <c r="A164" s="61" t="n">
        <v>46186</v>
      </c>
      <c r="B164" s="82" t="inlineStr">
        <is>
          <t>Pós-Projeto</t>
        </is>
      </c>
      <c r="C164" s="84" t="inlineStr">
        <is>
          <t>Exames Laboratoriais</t>
        </is>
      </c>
      <c r="D164" s="66" t="n">
        <v>501</v>
      </c>
      <c r="E164" s="66" t="n">
        <v>308</v>
      </c>
      <c r="F164" s="66" t="n">
        <v>430</v>
      </c>
      <c r="G164" s="66" t="n">
        <v>262</v>
      </c>
      <c r="H164" s="66" t="n">
        <v>317</v>
      </c>
      <c r="I164" s="66" t="n">
        <v>589</v>
      </c>
      <c r="J164" s="66" t="n">
        <v>154</v>
      </c>
      <c r="K164" s="66" t="n">
        <v>778</v>
      </c>
      <c r="L164" s="66" t="n">
        <v>518</v>
      </c>
      <c r="M164" s="66" t="n">
        <v>485</v>
      </c>
      <c r="N164" s="66" t="n">
        <v>495</v>
      </c>
      <c r="O164" s="66" t="n">
        <v>281</v>
      </c>
      <c r="P164" s="66" t="n">
        <v>282</v>
      </c>
    </row>
    <row r="165" ht="15.75" customHeight="1" s="45">
      <c r="A165" s="61" t="n">
        <v>46186</v>
      </c>
      <c r="B165" s="82" t="inlineStr">
        <is>
          <t>Pós-Projeto</t>
        </is>
      </c>
      <c r="C165" s="83" t="inlineStr">
        <is>
          <t>Radiografias</t>
        </is>
      </c>
      <c r="D165" s="64" t="n">
        <v>12</v>
      </c>
      <c r="E165" s="64" t="n">
        <v>13</v>
      </c>
      <c r="F165" s="64" t="n">
        <v>23</v>
      </c>
      <c r="G165" s="64" t="n">
        <v>8</v>
      </c>
      <c r="H165" s="64" t="n">
        <v>13</v>
      </c>
      <c r="I165" s="64" t="n">
        <v>22</v>
      </c>
      <c r="J165" s="64" t="n">
        <v>14</v>
      </c>
      <c r="K165" s="64" t="n">
        <v>45</v>
      </c>
      <c r="L165" s="64" t="n">
        <v>21</v>
      </c>
      <c r="M165" s="64" t="n">
        <v>26</v>
      </c>
      <c r="N165" s="64" t="n">
        <v>14</v>
      </c>
      <c r="O165" s="64" t="n">
        <v>33</v>
      </c>
      <c r="P165" s="64" t="n">
        <v>50</v>
      </c>
    </row>
    <row r="166" ht="15.75" customHeight="1" s="45">
      <c r="A166" s="61" t="n">
        <v>46186</v>
      </c>
      <c r="B166" s="82" t="inlineStr">
        <is>
          <t>Pós-Projeto</t>
        </is>
      </c>
      <c r="C166" s="84" t="inlineStr">
        <is>
          <t>Eletrocardiogramas</t>
        </is>
      </c>
      <c r="D166" s="66" t="n">
        <v>3</v>
      </c>
      <c r="E166" s="66" t="n">
        <v>9</v>
      </c>
      <c r="F166" s="66" t="n">
        <v>13</v>
      </c>
      <c r="G166" s="66" t="n">
        <v>7</v>
      </c>
      <c r="H166" s="66" t="n">
        <v>8</v>
      </c>
      <c r="I166" s="66" t="n">
        <v>8</v>
      </c>
      <c r="J166" s="67" t="n">
        <v>0</v>
      </c>
      <c r="K166" s="67" t="n">
        <v>0</v>
      </c>
      <c r="L166" s="66" t="n">
        <v>8</v>
      </c>
      <c r="M166" s="67" t="n">
        <v>0</v>
      </c>
      <c r="N166" s="66" t="n">
        <v>6</v>
      </c>
      <c r="O166" s="67" t="n">
        <v>0</v>
      </c>
      <c r="P166" s="66" t="n">
        <v>4</v>
      </c>
    </row>
    <row r="167" ht="15.75" customHeight="1" s="45">
      <c r="A167" s="61" t="n">
        <v>46186</v>
      </c>
      <c r="B167" s="82" t="inlineStr">
        <is>
          <t>Pós-Projeto</t>
        </is>
      </c>
      <c r="C167" s="85" t="inlineStr">
        <is>
          <t>GAEs Abertas</t>
        </is>
      </c>
      <c r="D167" s="69" t="n">
        <v>271</v>
      </c>
      <c r="E167" s="69" t="n">
        <v>169</v>
      </c>
      <c r="F167" s="69" t="n">
        <v>192</v>
      </c>
      <c r="G167" s="69" t="n">
        <v>198</v>
      </c>
      <c r="H167" s="69" t="n">
        <v>111</v>
      </c>
      <c r="I167" s="69" t="n">
        <v>210</v>
      </c>
      <c r="J167" s="69" t="n">
        <v>149</v>
      </c>
      <c r="K167" s="69" t="n">
        <v>110</v>
      </c>
      <c r="L167" s="69" t="n">
        <v>112</v>
      </c>
      <c r="M167" s="69" t="n">
        <v>103</v>
      </c>
      <c r="N167" s="69" t="n">
        <v>102</v>
      </c>
      <c r="O167" s="69" t="n">
        <v>171</v>
      </c>
      <c r="P167" s="69" t="n">
        <v>80</v>
      </c>
    </row>
    <row r="168" ht="15.75" customHeight="1" s="45">
      <c r="A168" s="61" t="n">
        <v>46186</v>
      </c>
      <c r="B168" s="82" t="inlineStr">
        <is>
          <t>Pós-Projeto</t>
        </is>
      </c>
      <c r="C168" s="85" t="inlineStr">
        <is>
          <t>GAEs Classificadas</t>
        </is>
      </c>
      <c r="D168" s="69" t="n">
        <v>252</v>
      </c>
      <c r="E168" s="69" t="n">
        <v>162</v>
      </c>
      <c r="F168" s="69" t="n">
        <v>184</v>
      </c>
      <c r="G168" s="69" t="n">
        <v>188</v>
      </c>
      <c r="H168" s="69" t="n">
        <v>106</v>
      </c>
      <c r="I168" s="69" t="n">
        <v>203</v>
      </c>
      <c r="J168" s="69" t="n">
        <v>140</v>
      </c>
      <c r="K168" s="69" t="n">
        <v>86</v>
      </c>
      <c r="L168" s="69" t="n">
        <v>109</v>
      </c>
      <c r="M168" s="69" t="n">
        <v>98</v>
      </c>
      <c r="N168" s="69" t="n">
        <v>100</v>
      </c>
      <c r="O168" s="69" t="n">
        <v>162</v>
      </c>
      <c r="P168" s="69" t="n">
        <v>78</v>
      </c>
    </row>
    <row r="169" ht="15.75" customHeight="1" s="45">
      <c r="A169" s="61" t="n">
        <v>46186</v>
      </c>
      <c r="B169" s="82" t="inlineStr">
        <is>
          <t>Pós-Projeto</t>
        </is>
      </c>
      <c r="C169" s="86" t="inlineStr">
        <is>
          <t>Percentual de GAEs abertas classificadas</t>
        </is>
      </c>
      <c r="D169" s="71">
        <f>IFERROR(D168/D167,"-")</f>
        <v/>
      </c>
      <c r="E169" s="71">
        <f>IFERROR(E168/E167,"-")</f>
        <v/>
      </c>
      <c r="F169" s="71">
        <f>IFERROR(F168/F167,"-")</f>
        <v/>
      </c>
      <c r="G169" s="71">
        <f>IFERROR(G168/G167,"-")</f>
        <v/>
      </c>
      <c r="H169" s="71">
        <f>IFERROR(H168/H167,"-")</f>
        <v/>
      </c>
      <c r="I169" s="71">
        <f>IFERROR(I168/I167,"-")</f>
        <v/>
      </c>
      <c r="J169" s="71">
        <f>IFERROR(J168/J167,"-")</f>
        <v/>
      </c>
      <c r="K169" s="71">
        <f>IFERROR(K168/K167,"-")</f>
        <v/>
      </c>
      <c r="L169" s="71">
        <f>IFERROR(L168/L167,"-")</f>
        <v/>
      </c>
      <c r="M169" s="71">
        <f>IFERROR(M168/M167,"-")</f>
        <v/>
      </c>
      <c r="N169" s="71">
        <f>IFERROR(N168/N167,"-")</f>
        <v/>
      </c>
      <c r="O169" s="71">
        <f>IFERROR(O168/O167,"-")</f>
        <v/>
      </c>
      <c r="P169" s="71">
        <f>IFERROR(P168/P167,"-")</f>
        <v/>
      </c>
    </row>
    <row r="170" ht="15.75" customHeight="1" s="45">
      <c r="A170" s="61" t="n">
        <v>46186</v>
      </c>
      <c r="B170" s="82" t="inlineStr">
        <is>
          <t>Pós-Projeto</t>
        </is>
      </c>
      <c r="C170" s="87" t="inlineStr">
        <is>
          <t>Tempo Médio — 🟡 Amarelo (hh:mm)</t>
        </is>
      </c>
      <c r="D170" s="73" t="n">
        <v>0.06021990740740741</v>
      </c>
      <c r="E170" s="73" t="n">
        <v>0.03103009259259259</v>
      </c>
      <c r="F170" s="73" t="n">
        <v>0.03459490740740741</v>
      </c>
      <c r="G170" s="73" t="n">
        <v>0.1136689814814815</v>
      </c>
      <c r="H170" s="73" t="n">
        <v>0.0825462962962963</v>
      </c>
      <c r="I170" s="73" t="n">
        <v>0.03142361111111111</v>
      </c>
      <c r="J170" s="73" t="n">
        <v>0.1953240740740741</v>
      </c>
      <c r="K170" s="73" t="n">
        <v>0.1070023148148148</v>
      </c>
      <c r="L170" s="73" t="n">
        <v>0.07621527777777778</v>
      </c>
      <c r="M170" s="73" t="n">
        <v>0.04608796296296296</v>
      </c>
      <c r="N170" s="73" t="n">
        <v>0.03893518518518518</v>
      </c>
      <c r="O170" s="73" t="n">
        <v>0.01701388888888889</v>
      </c>
      <c r="P170" s="73" t="n">
        <v>0.06265046296296296</v>
      </c>
    </row>
    <row r="171" ht="15.75" customHeight="1" s="45">
      <c r="A171" s="61" t="n">
        <v>46186</v>
      </c>
      <c r="B171" s="82" t="inlineStr">
        <is>
          <t>Pós-Projeto</t>
        </is>
      </c>
      <c r="C171" s="88" t="inlineStr">
        <is>
          <t>Tempo Médio — 🟠 Laranja (hh:mm)</t>
        </is>
      </c>
      <c r="D171" s="75" t="n">
        <v>0.0065625</v>
      </c>
      <c r="E171" s="75" t="n">
        <v>0.02001157407407407</v>
      </c>
      <c r="F171" s="75" t="n">
        <v>0.006550925925925926</v>
      </c>
      <c r="G171" s="75" t="n">
        <v>0.008101851851851851</v>
      </c>
      <c r="H171" s="75" t="n">
        <v>0.01115740740740741</v>
      </c>
      <c r="I171" s="75" t="n">
        <v>0.003888888888888889</v>
      </c>
      <c r="J171" s="75" t="n">
        <v>0.03537037037037037</v>
      </c>
      <c r="K171" s="75" t="n">
        <v>0.02609953703703704</v>
      </c>
      <c r="L171" s="75" t="n">
        <v>0.007731481481481482</v>
      </c>
      <c r="M171" s="75" t="n">
        <v>0.02482638888888889</v>
      </c>
      <c r="N171" s="75" t="n">
        <v>0.01118055555555555</v>
      </c>
      <c r="O171" s="75" t="n">
        <v>0.005798611111111111</v>
      </c>
      <c r="P171" s="75" t="n">
        <v>0.009027777777777777</v>
      </c>
    </row>
    <row r="172" ht="15.75" customHeight="1" s="45">
      <c r="A172" s="76" t="n">
        <v>46186</v>
      </c>
      <c r="B172" s="82" t="inlineStr">
        <is>
          <t>Pós-Projeto</t>
        </is>
      </c>
      <c r="C172" s="91" t="inlineStr">
        <is>
          <t>Tempo Médio — 🟢 Verde   (hh:mm)</t>
        </is>
      </c>
      <c r="D172" s="79" t="n">
        <v>0.1031597222222222</v>
      </c>
      <c r="E172" s="79" t="n">
        <v>0.07858796296296296</v>
      </c>
      <c r="F172" s="79" t="n">
        <v>0.1133217592592593</v>
      </c>
      <c r="G172" s="79" t="n">
        <v>0.06459490740740741</v>
      </c>
      <c r="H172" s="79" t="n">
        <v>0.1364236111111111</v>
      </c>
      <c r="I172" s="79" t="n">
        <v>0.1046759259259259</v>
      </c>
      <c r="J172" s="79" t="n">
        <v>0.2346412037037037</v>
      </c>
      <c r="K172" s="79" t="n">
        <v>0.1131944444444444</v>
      </c>
      <c r="L172" s="79" t="n">
        <v>0.1447337962962963</v>
      </c>
      <c r="M172" s="79" t="n">
        <v>0.09633101851851852</v>
      </c>
      <c r="N172" s="79" t="n">
        <v>0.09501157407407407</v>
      </c>
      <c r="O172" s="79" t="n">
        <v>0.08297453703703704</v>
      </c>
      <c r="P172" s="79" t="n">
        <v>0.09148148148148148</v>
      </c>
    </row>
    <row r="173" ht="15.75" customHeight="1" s="45">
      <c r="A173" s="57" t="n">
        <v>46187</v>
      </c>
      <c r="B173" s="81" t="inlineStr">
        <is>
          <t>Pós-Projeto</t>
        </is>
      </c>
      <c r="C173" s="59" t="inlineStr">
        <is>
          <t>Acolhim. + Atend. Urgência + Atend. UPA</t>
        </is>
      </c>
      <c r="D173" s="60">
        <f>SUM(D174:D176)</f>
        <v/>
      </c>
      <c r="E173" s="60">
        <f>SUM(E174:E176)</f>
        <v/>
      </c>
      <c r="F173" s="60">
        <f>SUM(F174:F176)</f>
        <v/>
      </c>
      <c r="G173" s="60">
        <f>SUM(G174:G176)</f>
        <v/>
      </c>
      <c r="H173" s="60">
        <f>SUM(H174:H176)</f>
        <v/>
      </c>
      <c r="I173" s="60">
        <f>SUM(I174:I176)</f>
        <v/>
      </c>
      <c r="J173" s="60">
        <f>SUM(J174:J176)</f>
        <v/>
      </c>
      <c r="K173" s="60">
        <f>SUM(K174:K176)</f>
        <v/>
      </c>
      <c r="L173" s="60">
        <f>SUM(L174:L176)</f>
        <v/>
      </c>
      <c r="M173" s="60">
        <f>SUM(M174:M176)</f>
        <v/>
      </c>
      <c r="N173" s="60">
        <f>SUM(N174:N176)</f>
        <v/>
      </c>
      <c r="O173" s="60">
        <f>SUM(O174:O176)</f>
        <v/>
      </c>
      <c r="P173" s="60">
        <f>SUM(P174:P176)</f>
        <v/>
      </c>
    </row>
    <row r="174" ht="15.75" customHeight="1" s="45">
      <c r="A174" s="61" t="n">
        <v>46187</v>
      </c>
      <c r="B174" s="82" t="inlineStr">
        <is>
          <t>Pós-Projeto</t>
        </is>
      </c>
      <c r="C174" s="83" t="inlineStr">
        <is>
          <t>Acolhimento c/ Classif. de Risco</t>
        </is>
      </c>
      <c r="D174" s="64" t="n">
        <v>186</v>
      </c>
      <c r="E174" s="64" t="n">
        <v>120</v>
      </c>
      <c r="F174" s="64" t="n">
        <v>156</v>
      </c>
      <c r="G174" s="64" t="n">
        <v>83</v>
      </c>
      <c r="H174" s="64" t="n">
        <v>128</v>
      </c>
      <c r="I174" s="64" t="n">
        <v>178</v>
      </c>
      <c r="J174" s="64" t="n">
        <v>95</v>
      </c>
      <c r="K174" s="64" t="n">
        <v>267</v>
      </c>
      <c r="L174" s="64" t="n">
        <v>127</v>
      </c>
      <c r="M174" s="64" t="n">
        <v>200</v>
      </c>
      <c r="N174" s="64" t="n">
        <v>166</v>
      </c>
      <c r="O174" s="64" t="n">
        <v>225</v>
      </c>
      <c r="P174" s="64" t="n">
        <v>231</v>
      </c>
    </row>
    <row r="175" ht="15.75" customHeight="1" s="45">
      <c r="A175" s="61" t="n">
        <v>46187</v>
      </c>
      <c r="B175" s="82" t="inlineStr">
        <is>
          <t>Pós-Projeto</t>
        </is>
      </c>
      <c r="C175" s="84" t="inlineStr">
        <is>
          <t>Atend. Urgência Obs. ≤ 24h</t>
        </is>
      </c>
      <c r="D175" s="66" t="n">
        <v>24</v>
      </c>
      <c r="E175" s="66" t="n">
        <v>17</v>
      </c>
      <c r="F175" s="66" t="n">
        <v>21</v>
      </c>
      <c r="G175" s="66" t="n">
        <v>12</v>
      </c>
      <c r="H175" s="66" t="n">
        <v>11</v>
      </c>
      <c r="I175" s="66" t="n">
        <v>21</v>
      </c>
      <c r="J175" s="66" t="n">
        <v>23</v>
      </c>
      <c r="K175" s="66" t="n">
        <v>33</v>
      </c>
      <c r="L175" s="66" t="n">
        <v>65</v>
      </c>
      <c r="M175" s="66" t="n">
        <v>20</v>
      </c>
      <c r="N175" s="66" t="n">
        <v>26</v>
      </c>
      <c r="O175" s="66" t="n">
        <v>11</v>
      </c>
      <c r="P175" s="66" t="n">
        <v>15</v>
      </c>
    </row>
    <row r="176" ht="15.75" customHeight="1" s="45">
      <c r="A176" s="61" t="n">
        <v>46187</v>
      </c>
      <c r="B176" s="82" t="inlineStr">
        <is>
          <t>Pós-Projeto</t>
        </is>
      </c>
      <c r="C176" s="83" t="inlineStr">
        <is>
          <t>Atend. Médico em UPA</t>
        </is>
      </c>
      <c r="D176" s="64" t="n">
        <v>76</v>
      </c>
      <c r="E176" s="64" t="n">
        <v>54</v>
      </c>
      <c r="F176" s="64" t="n">
        <v>90</v>
      </c>
      <c r="G176" s="64" t="n">
        <v>25</v>
      </c>
      <c r="H176" s="64" t="n">
        <v>91</v>
      </c>
      <c r="I176" s="64" t="n">
        <v>142</v>
      </c>
      <c r="J176" s="64" t="n">
        <v>86</v>
      </c>
      <c r="K176" s="64" t="n">
        <v>182</v>
      </c>
      <c r="L176" s="64" t="n">
        <v>105</v>
      </c>
      <c r="M176" s="64" t="n">
        <v>131</v>
      </c>
      <c r="N176" s="64" t="n">
        <v>95</v>
      </c>
      <c r="O176" s="64" t="n">
        <v>148</v>
      </c>
      <c r="P176" s="64" t="n">
        <v>130</v>
      </c>
    </row>
    <row r="177" ht="15.75" customHeight="1" s="45">
      <c r="A177" s="61" t="n">
        <v>46187</v>
      </c>
      <c r="B177" s="82" t="inlineStr">
        <is>
          <t>Pós-Projeto</t>
        </is>
      </c>
      <c r="C177" s="84" t="inlineStr">
        <is>
          <t>Exames Laboratoriais</t>
        </is>
      </c>
      <c r="D177" s="66" t="n">
        <v>366</v>
      </c>
      <c r="E177" s="66" t="n">
        <v>125</v>
      </c>
      <c r="F177" s="66" t="n">
        <v>584</v>
      </c>
      <c r="G177" s="66" t="n">
        <v>340</v>
      </c>
      <c r="H177" s="66" t="n">
        <v>335</v>
      </c>
      <c r="I177" s="66" t="n">
        <v>704</v>
      </c>
      <c r="J177" s="66" t="n">
        <v>264</v>
      </c>
      <c r="K177" s="66" t="n">
        <v>655</v>
      </c>
      <c r="L177" s="66" t="n">
        <v>545</v>
      </c>
      <c r="M177" s="66" t="n">
        <v>543</v>
      </c>
      <c r="N177" s="66" t="n">
        <v>616</v>
      </c>
      <c r="O177" s="66" t="n">
        <v>330</v>
      </c>
      <c r="P177" s="66" t="n">
        <v>698</v>
      </c>
    </row>
    <row r="178" ht="15.75" customHeight="1" s="45">
      <c r="A178" s="61" t="n">
        <v>46187</v>
      </c>
      <c r="B178" s="82" t="inlineStr">
        <is>
          <t>Pós-Projeto</t>
        </is>
      </c>
      <c r="C178" s="83" t="inlineStr">
        <is>
          <t>Radiografias</t>
        </is>
      </c>
      <c r="D178" s="64" t="n">
        <v>23</v>
      </c>
      <c r="E178" s="64" t="n">
        <v>6</v>
      </c>
      <c r="F178" s="64" t="n">
        <v>27</v>
      </c>
      <c r="G178" s="64" t="n">
        <v>10</v>
      </c>
      <c r="H178" s="64" t="n">
        <v>21</v>
      </c>
      <c r="I178" s="64" t="n">
        <v>13</v>
      </c>
      <c r="J178" s="64" t="n">
        <v>8</v>
      </c>
      <c r="K178" s="64" t="n">
        <v>55</v>
      </c>
      <c r="L178" s="64" t="n">
        <v>19</v>
      </c>
      <c r="M178" s="64" t="n">
        <v>47</v>
      </c>
      <c r="N178" s="64" t="n">
        <v>13</v>
      </c>
      <c r="O178" s="64" t="n">
        <v>51</v>
      </c>
      <c r="P178" s="64" t="n">
        <v>48</v>
      </c>
    </row>
    <row r="179" ht="15.75" customHeight="1" s="45">
      <c r="A179" s="61" t="n">
        <v>46187</v>
      </c>
      <c r="B179" s="82" t="inlineStr">
        <is>
          <t>Pós-Projeto</t>
        </is>
      </c>
      <c r="C179" s="84" t="inlineStr">
        <is>
          <t>Eletrocardiogramas</t>
        </is>
      </c>
      <c r="D179" s="66" t="n">
        <v>10</v>
      </c>
      <c r="E179" s="66" t="n">
        <v>2</v>
      </c>
      <c r="F179" s="66" t="n">
        <v>13</v>
      </c>
      <c r="G179" s="66" t="n">
        <v>4</v>
      </c>
      <c r="H179" s="66" t="n">
        <v>4</v>
      </c>
      <c r="I179" s="66" t="n">
        <v>13</v>
      </c>
      <c r="J179" s="67" t="n">
        <v>0</v>
      </c>
      <c r="K179" s="66" t="n">
        <v>4</v>
      </c>
      <c r="L179" s="66" t="n">
        <v>11</v>
      </c>
      <c r="M179" s="67" t="n">
        <v>0</v>
      </c>
      <c r="N179" s="66" t="n">
        <v>10</v>
      </c>
      <c r="O179" s="67" t="n">
        <v>0</v>
      </c>
      <c r="P179" s="66" t="n">
        <v>5</v>
      </c>
    </row>
    <row r="180" ht="15.75" customHeight="1" s="45">
      <c r="A180" s="61" t="n">
        <v>46187</v>
      </c>
      <c r="B180" s="82" t="inlineStr">
        <is>
          <t>Pós-Projeto</t>
        </is>
      </c>
      <c r="C180" s="85" t="inlineStr">
        <is>
          <t>GAEs Abertas</t>
        </is>
      </c>
      <c r="D180" s="69" t="n">
        <v>196</v>
      </c>
      <c r="E180" s="69" t="n">
        <v>125</v>
      </c>
      <c r="F180" s="69" t="n">
        <v>161</v>
      </c>
      <c r="G180" s="69" t="n">
        <v>87</v>
      </c>
      <c r="H180" s="69" t="n">
        <v>134</v>
      </c>
      <c r="I180" s="69" t="n">
        <v>187</v>
      </c>
      <c r="J180" s="69" t="n">
        <v>103</v>
      </c>
      <c r="K180" s="69" t="n">
        <v>295</v>
      </c>
      <c r="L180" s="69" t="n">
        <v>131</v>
      </c>
      <c r="M180" s="69" t="n">
        <v>235</v>
      </c>
      <c r="N180" s="69" t="n">
        <v>174</v>
      </c>
      <c r="O180" s="69" t="n">
        <v>242</v>
      </c>
      <c r="P180" s="69" t="n">
        <v>241</v>
      </c>
    </row>
    <row r="181" ht="15.75" customHeight="1" s="45">
      <c r="A181" s="61" t="n">
        <v>46187</v>
      </c>
      <c r="B181" s="82" t="inlineStr">
        <is>
          <t>Pós-Projeto</t>
        </is>
      </c>
      <c r="C181" s="85" t="inlineStr">
        <is>
          <t>GAEs Classificadas</t>
        </is>
      </c>
      <c r="D181" s="69" t="n">
        <v>184</v>
      </c>
      <c r="E181" s="69" t="n">
        <v>120</v>
      </c>
      <c r="F181" s="69" t="n">
        <v>155</v>
      </c>
      <c r="G181" s="69" t="n">
        <v>84</v>
      </c>
      <c r="H181" s="69" t="n">
        <v>129</v>
      </c>
      <c r="I181" s="69" t="n">
        <v>173</v>
      </c>
      <c r="J181" s="69" t="n">
        <v>96</v>
      </c>
      <c r="K181" s="69" t="n">
        <v>268</v>
      </c>
      <c r="L181" s="69" t="n">
        <v>125</v>
      </c>
      <c r="M181" s="69" t="n">
        <v>203</v>
      </c>
      <c r="N181" s="69" t="n">
        <v>164</v>
      </c>
      <c r="O181" s="69" t="n">
        <v>225</v>
      </c>
      <c r="P181" s="69" t="n">
        <v>232</v>
      </c>
    </row>
    <row r="182" ht="15.75" customHeight="1" s="45">
      <c r="A182" s="61" t="n">
        <v>46187</v>
      </c>
      <c r="B182" s="82" t="inlineStr">
        <is>
          <t>Pós-Projeto</t>
        </is>
      </c>
      <c r="C182" s="86" t="inlineStr">
        <is>
          <t>Percentual de GAEs abertas classificadas</t>
        </is>
      </c>
      <c r="D182" s="71">
        <f>IFERROR(D181/D180,"-")</f>
        <v/>
      </c>
      <c r="E182" s="71">
        <f>IFERROR(E181/E180,"-")</f>
        <v/>
      </c>
      <c r="F182" s="71">
        <f>IFERROR(F181/F180,"-")</f>
        <v/>
      </c>
      <c r="G182" s="71">
        <f>IFERROR(G181/G180,"-")</f>
        <v/>
      </c>
      <c r="H182" s="71">
        <f>IFERROR(H181/H180,"-")</f>
        <v/>
      </c>
      <c r="I182" s="71">
        <f>IFERROR(I181/I180,"-")</f>
        <v/>
      </c>
      <c r="J182" s="71">
        <f>IFERROR(J181/J180,"-")</f>
        <v/>
      </c>
      <c r="K182" s="71">
        <f>IFERROR(K181/K180,"-")</f>
        <v/>
      </c>
      <c r="L182" s="71">
        <f>IFERROR(L181/L180,"-")</f>
        <v/>
      </c>
      <c r="M182" s="71">
        <f>IFERROR(M181/M180,"-")</f>
        <v/>
      </c>
      <c r="N182" s="71">
        <f>IFERROR(N181/N180,"-")</f>
        <v/>
      </c>
      <c r="O182" s="71">
        <f>IFERROR(O181/O180,"-")</f>
        <v/>
      </c>
      <c r="P182" s="71">
        <f>IFERROR(P181/P180,"-")</f>
        <v/>
      </c>
    </row>
    <row r="183" ht="15.75" customHeight="1" s="45">
      <c r="A183" s="61" t="n">
        <v>46187</v>
      </c>
      <c r="B183" s="82" t="inlineStr">
        <is>
          <t>Pós-Projeto</t>
        </is>
      </c>
      <c r="C183" s="87" t="inlineStr">
        <is>
          <t>Tempo Médio — 🟡 Amarelo (hh:mm)</t>
        </is>
      </c>
      <c r="D183" s="73" t="n">
        <v>0.0775</v>
      </c>
      <c r="E183" s="73" t="n">
        <v>0.08206018518518518</v>
      </c>
      <c r="F183" s="73" t="n">
        <v>0.07024305555555556</v>
      </c>
      <c r="G183" s="73" t="n">
        <v>0.05373842592592593</v>
      </c>
      <c r="H183" s="73" t="n">
        <v>0.05336805555555556</v>
      </c>
      <c r="I183" s="73" t="n">
        <v>0.03178240740740741</v>
      </c>
      <c r="J183" s="73" t="n">
        <v>0.06719907407407408</v>
      </c>
      <c r="K183" s="73" t="n">
        <v>0.06343749999999999</v>
      </c>
      <c r="L183" s="73" t="n">
        <v>0.07045138888888888</v>
      </c>
      <c r="M183" s="73" t="n">
        <v>0.07842592592592593</v>
      </c>
      <c r="N183" s="73" t="n">
        <v>0.09673611111111111</v>
      </c>
      <c r="O183" s="73" t="n">
        <v>0.04849537037037037</v>
      </c>
      <c r="P183" s="73" t="n">
        <v>0.05385416666666667</v>
      </c>
    </row>
    <row r="184" ht="15.75" customHeight="1" s="45">
      <c r="A184" s="61" t="n">
        <v>46187</v>
      </c>
      <c r="B184" s="82" t="inlineStr">
        <is>
          <t>Pós-Projeto</t>
        </is>
      </c>
      <c r="C184" s="88" t="inlineStr">
        <is>
          <t>Tempo Médio — 🟠 Laranja (hh:mm)</t>
        </is>
      </c>
      <c r="D184" s="75" t="n">
        <v>0.0121875</v>
      </c>
      <c r="E184" s="75" t="n">
        <v>0.01451388888888889</v>
      </c>
      <c r="F184" s="75" t="n">
        <v>0.005081018518518519</v>
      </c>
      <c r="G184" s="75" t="n">
        <v>0.007442129629629629</v>
      </c>
      <c r="H184" s="75" t="n">
        <v>0.00931712962962963</v>
      </c>
      <c r="I184" s="75" t="n">
        <v>0.00537037037037037</v>
      </c>
      <c r="J184" s="75" t="n">
        <v>0.006585648148148148</v>
      </c>
      <c r="K184" s="75" t="n">
        <v>0.01331018518518519</v>
      </c>
      <c r="L184" s="75" t="n">
        <v>0.01241898148148148</v>
      </c>
      <c r="M184" s="75" t="n">
        <v>0.0134837962962963</v>
      </c>
      <c r="N184" s="75" t="n">
        <v>0.02078703703703704</v>
      </c>
      <c r="O184" s="75" t="n">
        <v>0.01415509259259259</v>
      </c>
      <c r="P184" s="75" t="n">
        <v>0.01229166666666667</v>
      </c>
    </row>
    <row r="185" ht="15.75" customHeight="1" s="45">
      <c r="A185" s="76" t="n">
        <v>46187</v>
      </c>
      <c r="B185" s="82" t="inlineStr">
        <is>
          <t>Pós-Projeto</t>
        </is>
      </c>
      <c r="C185" s="91" t="inlineStr">
        <is>
          <t>Tempo Médio — 🟢 Verde   (hh:mm)</t>
        </is>
      </c>
      <c r="D185" s="79" t="n">
        <v>0.1403472222222222</v>
      </c>
      <c r="E185" s="79" t="n">
        <v>0.1929861111111111</v>
      </c>
      <c r="F185" s="79" t="n">
        <v>0.1507986111111111</v>
      </c>
      <c r="G185" s="79" t="n">
        <v>0.08581018518518518</v>
      </c>
      <c r="H185" s="79" t="n">
        <v>0.1466087962962963</v>
      </c>
      <c r="I185" s="79" t="n">
        <v>0.1182986111111111</v>
      </c>
      <c r="J185" s="79" t="n">
        <v>0.1352662037037037</v>
      </c>
      <c r="K185" s="79" t="n">
        <v>0.1131944444444444</v>
      </c>
      <c r="L185" s="79" t="n">
        <v>0.1739699074074074</v>
      </c>
      <c r="M185" s="79" t="n">
        <v>0.117962962962963</v>
      </c>
      <c r="N185" s="79" t="n">
        <v>0.1689583333333333</v>
      </c>
      <c r="O185" s="79" t="n">
        <v>0.1170717592592593</v>
      </c>
      <c r="P185" s="79" t="n">
        <v>0.1304166666666667</v>
      </c>
    </row>
    <row r="186" ht="15.75" customHeight="1" s="45">
      <c r="A186" s="57" t="n">
        <v>46188</v>
      </c>
      <c r="B186" s="81" t="inlineStr">
        <is>
          <t>Pós-Projeto</t>
        </is>
      </c>
      <c r="C186" s="59" t="inlineStr">
        <is>
          <t>Acolhim. + Atend. Urgência + Atend. UPA</t>
        </is>
      </c>
      <c r="D186" s="60">
        <f>SUM(D187:D189)</f>
        <v/>
      </c>
      <c r="E186" s="60">
        <f>SUM(E187:E189)</f>
        <v/>
      </c>
      <c r="F186" s="60">
        <f>SUM(F187:F189)</f>
        <v/>
      </c>
      <c r="G186" s="60">
        <f>SUM(G187:G189)</f>
        <v/>
      </c>
      <c r="H186" s="60">
        <f>SUM(H187:H189)</f>
        <v/>
      </c>
      <c r="I186" s="60">
        <f>SUM(I187:I189)</f>
        <v/>
      </c>
      <c r="J186" s="60">
        <f>SUM(J187:J189)</f>
        <v/>
      </c>
      <c r="K186" s="60">
        <f>SUM(K187:K189)</f>
        <v/>
      </c>
      <c r="L186" s="60">
        <f>SUM(L187:L189)</f>
        <v/>
      </c>
      <c r="M186" s="60">
        <f>SUM(M187:M189)</f>
        <v/>
      </c>
      <c r="N186" s="60">
        <f>SUM(N187:N189)</f>
        <v/>
      </c>
      <c r="O186" s="60">
        <f>SUM(O187:O189)</f>
        <v/>
      </c>
      <c r="P186" s="60">
        <f>SUM(P187:P189)</f>
        <v/>
      </c>
    </row>
    <row r="187" ht="15.75" customHeight="1" s="45">
      <c r="A187" s="61" t="n">
        <v>46188</v>
      </c>
      <c r="B187" s="82" t="inlineStr">
        <is>
          <t>Pós-Projeto</t>
        </is>
      </c>
      <c r="C187" s="83" t="inlineStr">
        <is>
          <t>Acolhimento c/ Classif. de Risco</t>
        </is>
      </c>
      <c r="D187" s="64" t="n">
        <v>184</v>
      </c>
      <c r="E187" s="64" t="n">
        <v>166</v>
      </c>
      <c r="F187" s="64" t="n">
        <v>135</v>
      </c>
      <c r="G187" s="64" t="n">
        <v>182</v>
      </c>
      <c r="H187" s="64" t="n">
        <v>175</v>
      </c>
      <c r="I187" s="64" t="n">
        <v>181</v>
      </c>
      <c r="J187" s="64" t="n">
        <v>110</v>
      </c>
      <c r="K187" s="64" t="n">
        <v>265</v>
      </c>
      <c r="L187" s="64" t="n">
        <v>134</v>
      </c>
      <c r="M187" s="64" t="n">
        <v>209</v>
      </c>
      <c r="N187" s="64" t="n">
        <v>183</v>
      </c>
      <c r="O187" s="64" t="n">
        <v>224</v>
      </c>
      <c r="P187" s="64" t="n">
        <v>225</v>
      </c>
    </row>
    <row r="188" ht="15.75" customHeight="1" s="45">
      <c r="A188" s="61" t="n">
        <v>46188</v>
      </c>
      <c r="B188" s="82" t="inlineStr">
        <is>
          <t>Pós-Projeto</t>
        </is>
      </c>
      <c r="C188" s="84" t="inlineStr">
        <is>
          <t>Atend. Urgência Obs. ≤ 24h</t>
        </is>
      </c>
      <c r="D188" s="66" t="n">
        <v>44</v>
      </c>
      <c r="E188" s="66" t="n">
        <v>9</v>
      </c>
      <c r="F188" s="66" t="n">
        <v>20</v>
      </c>
      <c r="G188" s="66" t="n">
        <v>18</v>
      </c>
      <c r="H188" s="66" t="n">
        <v>10</v>
      </c>
      <c r="I188" s="66" t="n">
        <v>14</v>
      </c>
      <c r="J188" s="66" t="n">
        <v>16</v>
      </c>
      <c r="K188" s="66" t="n">
        <v>50</v>
      </c>
      <c r="L188" s="66" t="n">
        <v>52</v>
      </c>
      <c r="M188" s="66" t="n">
        <v>25</v>
      </c>
      <c r="N188" s="66" t="n">
        <v>16</v>
      </c>
      <c r="O188" s="66" t="n">
        <v>16</v>
      </c>
      <c r="P188" s="66" t="n">
        <v>20</v>
      </c>
    </row>
    <row r="189" ht="15.75" customHeight="1" s="45">
      <c r="A189" s="61" t="n">
        <v>46188</v>
      </c>
      <c r="B189" s="82" t="inlineStr">
        <is>
          <t>Pós-Projeto</t>
        </is>
      </c>
      <c r="C189" s="83" t="inlineStr">
        <is>
          <t>Atend. Médico em UPA</t>
        </is>
      </c>
      <c r="D189" s="64" t="n">
        <v>161</v>
      </c>
      <c r="E189" s="64" t="n">
        <v>73</v>
      </c>
      <c r="F189" s="64" t="n">
        <v>86</v>
      </c>
      <c r="G189" s="64" t="n">
        <v>105</v>
      </c>
      <c r="H189" s="64" t="n">
        <v>75</v>
      </c>
      <c r="I189" s="64" t="n">
        <v>103</v>
      </c>
      <c r="J189" s="64" t="n">
        <v>70</v>
      </c>
      <c r="K189" s="64" t="n">
        <v>151</v>
      </c>
      <c r="L189" s="64" t="n">
        <v>110</v>
      </c>
      <c r="M189" s="64" t="n">
        <v>141</v>
      </c>
      <c r="N189" s="64" t="n">
        <v>105</v>
      </c>
      <c r="O189" s="64" t="n">
        <v>106</v>
      </c>
      <c r="P189" s="64" t="n">
        <v>133</v>
      </c>
    </row>
    <row r="190" ht="15.75" customHeight="1" s="45">
      <c r="A190" s="61" t="n">
        <v>46188</v>
      </c>
      <c r="B190" s="82" t="inlineStr">
        <is>
          <t>Pós-Projeto</t>
        </is>
      </c>
      <c r="C190" s="84" t="inlineStr">
        <is>
          <t>Exames Laboratoriais</t>
        </is>
      </c>
      <c r="D190" s="66" t="n">
        <v>603</v>
      </c>
      <c r="E190" s="66" t="n">
        <v>188</v>
      </c>
      <c r="F190" s="66" t="n">
        <v>478</v>
      </c>
      <c r="G190" s="66" t="n">
        <v>412</v>
      </c>
      <c r="H190" s="66" t="n">
        <v>336</v>
      </c>
      <c r="I190" s="66" t="n">
        <v>528</v>
      </c>
      <c r="J190" s="66" t="n">
        <v>288</v>
      </c>
      <c r="K190" s="66" t="n">
        <v>760</v>
      </c>
      <c r="L190" s="66" t="n">
        <v>553</v>
      </c>
      <c r="M190" s="66" t="n">
        <v>386</v>
      </c>
      <c r="N190" s="66" t="n">
        <v>500</v>
      </c>
      <c r="O190" s="66" t="n">
        <v>295</v>
      </c>
      <c r="P190" s="66" t="n">
        <v>814</v>
      </c>
    </row>
    <row r="191" ht="15.75" customHeight="1" s="45">
      <c r="A191" s="61" t="n">
        <v>46188</v>
      </c>
      <c r="B191" s="82" t="inlineStr">
        <is>
          <t>Pós-Projeto</t>
        </is>
      </c>
      <c r="C191" s="83" t="inlineStr">
        <is>
          <t>Radiografias</t>
        </is>
      </c>
      <c r="D191" s="64" t="n">
        <v>37</v>
      </c>
      <c r="E191" s="64" t="n">
        <v>15</v>
      </c>
      <c r="F191" s="64" t="n">
        <v>23</v>
      </c>
      <c r="G191" s="64" t="n">
        <v>25</v>
      </c>
      <c r="H191" s="64" t="n">
        <v>24</v>
      </c>
      <c r="I191" s="64" t="n">
        <v>14</v>
      </c>
      <c r="J191" s="64" t="n">
        <v>17</v>
      </c>
      <c r="K191" s="64" t="n">
        <v>47</v>
      </c>
      <c r="L191" s="64" t="n">
        <v>6</v>
      </c>
      <c r="M191" s="64" t="n">
        <v>28</v>
      </c>
      <c r="N191" s="64" t="n">
        <v>25</v>
      </c>
      <c r="O191" s="64" t="n">
        <v>20</v>
      </c>
      <c r="P191" s="64" t="n">
        <v>46</v>
      </c>
    </row>
    <row r="192" ht="15.75" customHeight="1" s="45">
      <c r="A192" s="61" t="n">
        <v>46188</v>
      </c>
      <c r="B192" s="82" t="inlineStr">
        <is>
          <t>Pós-Projeto</t>
        </is>
      </c>
      <c r="C192" s="84" t="inlineStr">
        <is>
          <t>Eletrocardiogramas</t>
        </is>
      </c>
      <c r="D192" s="66" t="n">
        <v>2</v>
      </c>
      <c r="E192" s="66" t="n">
        <v>5</v>
      </c>
      <c r="F192" s="66" t="n">
        <v>2</v>
      </c>
      <c r="G192" s="66" t="n">
        <v>5</v>
      </c>
      <c r="H192" s="66" t="n">
        <v>9</v>
      </c>
      <c r="I192" s="66" t="n">
        <v>21</v>
      </c>
      <c r="J192" s="67" t="n">
        <v>0</v>
      </c>
      <c r="K192" s="66" t="n">
        <v>1</v>
      </c>
      <c r="L192" s="67" t="n">
        <v>0</v>
      </c>
      <c r="M192" s="67" t="n">
        <v>0</v>
      </c>
      <c r="N192" s="66" t="n">
        <v>4</v>
      </c>
      <c r="O192" s="67" t="n">
        <v>0</v>
      </c>
      <c r="P192" s="66" t="n">
        <v>3</v>
      </c>
    </row>
    <row r="193" ht="15.75" customHeight="1" s="45">
      <c r="A193" s="61" t="n">
        <v>46188</v>
      </c>
      <c r="B193" s="82" t="inlineStr">
        <is>
          <t>Pós-Projeto</t>
        </is>
      </c>
      <c r="C193" s="85" t="inlineStr">
        <is>
          <t>GAEs Abertas</t>
        </is>
      </c>
      <c r="D193" s="69" t="n">
        <v>223</v>
      </c>
      <c r="E193" s="69" t="n">
        <v>175</v>
      </c>
      <c r="F193" s="69" t="n">
        <v>139</v>
      </c>
      <c r="G193" s="69" t="n">
        <v>186</v>
      </c>
      <c r="H193" s="69" t="n">
        <v>175</v>
      </c>
      <c r="I193" s="69" t="n">
        <v>218</v>
      </c>
      <c r="J193" s="69" t="n">
        <v>141</v>
      </c>
      <c r="K193" s="69" t="n">
        <v>341</v>
      </c>
      <c r="L193" s="69" t="n">
        <v>144</v>
      </c>
      <c r="M193" s="69" t="n">
        <v>256</v>
      </c>
      <c r="N193" s="69" t="n">
        <v>215</v>
      </c>
      <c r="O193" s="69" t="n">
        <v>246</v>
      </c>
      <c r="P193" s="69" t="n">
        <v>261</v>
      </c>
    </row>
    <row r="194" ht="15.75" customHeight="1" s="45">
      <c r="A194" s="61" t="n">
        <v>46188</v>
      </c>
      <c r="B194" s="82" t="inlineStr">
        <is>
          <t>Pós-Projeto</t>
        </is>
      </c>
      <c r="C194" s="85" t="inlineStr">
        <is>
          <t>GAEs Classificadas</t>
        </is>
      </c>
      <c r="D194" s="69" t="n">
        <v>183</v>
      </c>
      <c r="E194" s="69" t="n">
        <v>166</v>
      </c>
      <c r="F194" s="69" t="n">
        <v>136</v>
      </c>
      <c r="G194" s="69" t="n">
        <v>181</v>
      </c>
      <c r="H194" s="69" t="n">
        <v>174</v>
      </c>
      <c r="I194" s="69" t="n">
        <v>183</v>
      </c>
      <c r="J194" s="69" t="n">
        <v>130</v>
      </c>
      <c r="K194" s="69" t="n">
        <v>265</v>
      </c>
      <c r="L194" s="69" t="n">
        <v>135</v>
      </c>
      <c r="M194" s="69" t="n">
        <v>210</v>
      </c>
      <c r="N194" s="69" t="n">
        <v>203</v>
      </c>
      <c r="O194" s="69" t="n">
        <v>230</v>
      </c>
      <c r="P194" s="69" t="n">
        <v>227</v>
      </c>
    </row>
    <row r="195" ht="15.75" customHeight="1" s="45">
      <c r="A195" s="61" t="n">
        <v>46188</v>
      </c>
      <c r="B195" s="82" t="inlineStr">
        <is>
          <t>Pós-Projeto</t>
        </is>
      </c>
      <c r="C195" s="86" t="inlineStr">
        <is>
          <t>Percentual de GAEs abertas classificadas</t>
        </is>
      </c>
      <c r="D195" s="71">
        <f>IFERROR(D194/D193,"-")</f>
        <v/>
      </c>
      <c r="E195" s="71">
        <f>IFERROR(E194/E193,"-")</f>
        <v/>
      </c>
      <c r="F195" s="71">
        <f>IFERROR(F194/F193,"-")</f>
        <v/>
      </c>
      <c r="G195" s="71">
        <f>IFERROR(G194/G193,"-")</f>
        <v/>
      </c>
      <c r="H195" s="71">
        <f>IFERROR(H194/H193,"-")</f>
        <v/>
      </c>
      <c r="I195" s="71">
        <f>IFERROR(I194/I193,"-")</f>
        <v/>
      </c>
      <c r="J195" s="71">
        <f>IFERROR(J194/J193,"-")</f>
        <v/>
      </c>
      <c r="K195" s="71">
        <f>IFERROR(K194/K193,"-")</f>
        <v/>
      </c>
      <c r="L195" s="71">
        <f>IFERROR(L194/L193,"-")</f>
        <v/>
      </c>
      <c r="M195" s="71">
        <f>IFERROR(M194/M193,"-")</f>
        <v/>
      </c>
      <c r="N195" s="71">
        <f>IFERROR(N194/N193,"-")</f>
        <v/>
      </c>
      <c r="O195" s="71">
        <f>IFERROR(O194/O193,"-")</f>
        <v/>
      </c>
      <c r="P195" s="71">
        <f>IFERROR(P194/P193,"-")</f>
        <v/>
      </c>
    </row>
    <row r="196" ht="15.75" customHeight="1" s="45">
      <c r="A196" s="61" t="n">
        <v>46188</v>
      </c>
      <c r="B196" s="82" t="inlineStr">
        <is>
          <t>Pós-Projeto</t>
        </is>
      </c>
      <c r="C196" s="87" t="inlineStr">
        <is>
          <t>Tempo Médio — 🟡 Amarelo (hh:mm)</t>
        </is>
      </c>
      <c r="D196" s="73" t="n">
        <v>0.09659722222222222</v>
      </c>
      <c r="E196" s="73" t="n">
        <v>0.050625</v>
      </c>
      <c r="F196" s="73" t="n">
        <v>0.08712962962962963</v>
      </c>
      <c r="G196" s="73" t="n">
        <v>0.04038194444444444</v>
      </c>
      <c r="H196" s="73" t="n">
        <v>0.09644675925925926</v>
      </c>
      <c r="I196" s="73" t="n">
        <v>0.09020833333333333</v>
      </c>
      <c r="J196" s="73" t="n">
        <v>0.1411458333333333</v>
      </c>
      <c r="K196" s="73" t="n">
        <v>0.114212962962963</v>
      </c>
      <c r="L196" s="73" t="n">
        <v>0.0725</v>
      </c>
      <c r="M196" s="73" t="n">
        <v>0.04365740740740741</v>
      </c>
      <c r="N196" s="73" t="n">
        <v>0.07216435185185185</v>
      </c>
      <c r="O196" s="73" t="n">
        <v>0.06502314814814815</v>
      </c>
      <c r="P196" s="73" t="n">
        <v>0.09277777777777778</v>
      </c>
    </row>
    <row r="197" ht="15.75" customHeight="1" s="45">
      <c r="A197" s="61" t="n">
        <v>46188</v>
      </c>
      <c r="B197" s="82" t="inlineStr">
        <is>
          <t>Pós-Projeto</t>
        </is>
      </c>
      <c r="C197" s="88" t="inlineStr">
        <is>
          <t>Tempo Médio — 🟠 Laranja (hh:mm)</t>
        </is>
      </c>
      <c r="D197" s="75" t="n">
        <v>0.01336805555555555</v>
      </c>
      <c r="E197" s="75" t="n">
        <v>0.00306712962962963</v>
      </c>
      <c r="F197" s="75" t="n">
        <v>0.01921296296296296</v>
      </c>
      <c r="G197" s="75" t="n">
        <v>0.006284722222222222</v>
      </c>
      <c r="H197" s="75" t="n">
        <v>0.006631944444444445</v>
      </c>
      <c r="I197" s="75" t="n">
        <v>0.01876157407407407</v>
      </c>
      <c r="J197" s="75" t="n">
        <v>0.01104166666666667</v>
      </c>
      <c r="K197" s="75" t="n">
        <v>0.02060185185185185</v>
      </c>
      <c r="L197" s="75" t="n">
        <v>0.007800925925925926</v>
      </c>
      <c r="M197" s="75" t="n">
        <v>0.04403935185185185</v>
      </c>
      <c r="N197" s="75" t="n">
        <v>0.01195601851851852</v>
      </c>
      <c r="O197" s="75" t="n">
        <v>0.02543981481481481</v>
      </c>
      <c r="P197" s="75" t="n">
        <v>0.015</v>
      </c>
    </row>
    <row r="198" ht="15.75" customHeight="1" s="45">
      <c r="A198" s="76" t="n">
        <v>46188</v>
      </c>
      <c r="B198" s="82" t="inlineStr">
        <is>
          <t>Pós-Projeto</t>
        </is>
      </c>
      <c r="C198" s="91" t="inlineStr">
        <is>
          <t>Tempo Médio — 🟢 Verde   (hh:mm)</t>
        </is>
      </c>
      <c r="D198" s="79" t="n">
        <v>0.07357638888888889</v>
      </c>
      <c r="E198" s="79" t="n">
        <v>0.1490509259259259</v>
      </c>
      <c r="F198" s="79" t="n">
        <v>0.07821759259259259</v>
      </c>
      <c r="G198" s="79" t="n">
        <v>0.09913194444444444</v>
      </c>
      <c r="H198" s="79" t="n">
        <v>0.100474537037037</v>
      </c>
      <c r="I198" s="79" t="n">
        <v>0.2911689814814815</v>
      </c>
      <c r="J198" s="79" t="n">
        <v>0.1438194444444444</v>
      </c>
      <c r="K198" s="79" t="n">
        <v>0.1824421296296296</v>
      </c>
      <c r="L198" s="79" t="n">
        <v>0.110150462962963</v>
      </c>
      <c r="M198" s="79" t="n">
        <v>0.09159722222222222</v>
      </c>
      <c r="N198" s="79" t="n">
        <v>0.1181018518518518</v>
      </c>
      <c r="O198" s="79" t="n">
        <v>0.1596064814814815</v>
      </c>
      <c r="P198" s="79" t="n">
        <v>0.1844328703703704</v>
      </c>
    </row>
    <row r="199" ht="15.75" customHeight="1" s="45">
      <c r="A199" s="57" t="n">
        <v>46189</v>
      </c>
      <c r="B199" s="81" t="inlineStr">
        <is>
          <t>Pós-Projeto</t>
        </is>
      </c>
      <c r="C199" s="59" t="inlineStr">
        <is>
          <t>Acolhim. + Atend. Urgência + Atend. UPA</t>
        </is>
      </c>
      <c r="D199" s="60">
        <f>SUM(D200:D202)</f>
        <v/>
      </c>
      <c r="E199" s="60">
        <f>SUM(E200:E202)</f>
        <v/>
      </c>
      <c r="F199" s="60">
        <f>SUM(F200:F202)</f>
        <v/>
      </c>
      <c r="G199" s="60">
        <f>SUM(G200:G202)</f>
        <v/>
      </c>
      <c r="H199" s="60">
        <f>SUM(H200:H202)</f>
        <v/>
      </c>
      <c r="I199" s="60">
        <f>SUM(I200:I202)</f>
        <v/>
      </c>
      <c r="J199" s="60">
        <f>SUM(J200:J202)</f>
        <v/>
      </c>
      <c r="K199" s="60">
        <f>SUM(K200:K202)</f>
        <v/>
      </c>
      <c r="L199" s="60">
        <f>SUM(L200:L202)</f>
        <v/>
      </c>
      <c r="M199" s="60">
        <f>SUM(M200:M202)</f>
        <v/>
      </c>
      <c r="N199" s="60">
        <f>SUM(N200:N202)</f>
        <v/>
      </c>
      <c r="O199" s="60">
        <f>SUM(O200:O202)</f>
        <v/>
      </c>
      <c r="P199" s="60">
        <f>SUM(P200:P202)</f>
        <v/>
      </c>
    </row>
    <row r="200" ht="15.75" customHeight="1" s="45">
      <c r="A200" s="61" t="n">
        <v>46189</v>
      </c>
      <c r="B200" s="82" t="inlineStr">
        <is>
          <t>Pós-Projeto</t>
        </is>
      </c>
      <c r="C200" s="83" t="inlineStr">
        <is>
          <t>Acolhimento c/ Classif. de Risco</t>
        </is>
      </c>
      <c r="D200" s="64" t="n">
        <v>275</v>
      </c>
      <c r="E200" s="64" t="n">
        <v>165</v>
      </c>
      <c r="F200" s="64" t="n">
        <v>180</v>
      </c>
      <c r="G200" s="64" t="n">
        <v>149</v>
      </c>
      <c r="H200" s="64" t="n">
        <v>126</v>
      </c>
      <c r="I200" s="64" t="n">
        <v>262</v>
      </c>
      <c r="J200" s="64" t="n">
        <v>133</v>
      </c>
      <c r="K200" s="64" t="n">
        <v>332</v>
      </c>
      <c r="L200" s="64" t="n">
        <v>176</v>
      </c>
      <c r="M200" s="64" t="n">
        <v>268</v>
      </c>
      <c r="N200" s="64" t="n">
        <v>278</v>
      </c>
      <c r="O200" s="64" t="n">
        <v>326</v>
      </c>
      <c r="P200" s="64" t="n">
        <v>260</v>
      </c>
    </row>
    <row r="201" ht="15.75" customHeight="1" s="45">
      <c r="A201" s="61" t="n">
        <v>46189</v>
      </c>
      <c r="B201" s="82" t="inlineStr">
        <is>
          <t>Pós-Projeto</t>
        </is>
      </c>
      <c r="C201" s="84" t="inlineStr">
        <is>
          <t>Atend. Urgência Obs. ≤ 24h</t>
        </is>
      </c>
      <c r="D201" s="66" t="n">
        <v>18</v>
      </c>
      <c r="E201" s="66" t="n">
        <v>19</v>
      </c>
      <c r="F201" s="66" t="n">
        <v>27</v>
      </c>
      <c r="G201" s="66" t="n">
        <v>8</v>
      </c>
      <c r="H201" s="66" t="n">
        <v>1</v>
      </c>
      <c r="I201" s="66" t="n">
        <v>52</v>
      </c>
      <c r="J201" s="66" t="n">
        <v>5</v>
      </c>
      <c r="K201" s="66" t="n">
        <v>46</v>
      </c>
      <c r="L201" s="66" t="n">
        <v>31</v>
      </c>
      <c r="M201" s="66" t="n">
        <v>16</v>
      </c>
      <c r="N201" s="66" t="n">
        <v>25</v>
      </c>
      <c r="O201" s="66" t="n">
        <v>28</v>
      </c>
      <c r="P201" s="66" t="n">
        <v>30</v>
      </c>
    </row>
    <row r="202" ht="15.75" customHeight="1" s="45">
      <c r="A202" s="61" t="n">
        <v>46189</v>
      </c>
      <c r="B202" s="82" t="inlineStr">
        <is>
          <t>Pós-Projeto</t>
        </is>
      </c>
      <c r="C202" s="83" t="inlineStr">
        <is>
          <t>Atend. Médico em UPA</t>
        </is>
      </c>
      <c r="D202" s="64" t="n">
        <v>214</v>
      </c>
      <c r="E202" s="64" t="n">
        <v>126</v>
      </c>
      <c r="F202" s="64" t="n">
        <v>102</v>
      </c>
      <c r="G202" s="64" t="n">
        <v>91</v>
      </c>
      <c r="H202" s="64" t="n">
        <v>92</v>
      </c>
      <c r="I202" s="64" t="n">
        <v>218</v>
      </c>
      <c r="J202" s="64" t="n">
        <v>102</v>
      </c>
      <c r="K202" s="64" t="n">
        <v>224</v>
      </c>
      <c r="L202" s="64" t="n">
        <v>90</v>
      </c>
      <c r="M202" s="64" t="n">
        <v>135</v>
      </c>
      <c r="N202" s="64" t="n">
        <v>183</v>
      </c>
      <c r="O202" s="64" t="n">
        <v>191</v>
      </c>
      <c r="P202" s="64" t="n">
        <v>155</v>
      </c>
    </row>
    <row r="203" ht="15.75" customHeight="1" s="45">
      <c r="A203" s="61" t="n">
        <v>46189</v>
      </c>
      <c r="B203" s="82" t="inlineStr">
        <is>
          <t>Pós-Projeto</t>
        </is>
      </c>
      <c r="C203" s="84" t="inlineStr">
        <is>
          <t>Exames Laboratoriais</t>
        </is>
      </c>
      <c r="D203" s="66" t="n">
        <v>941</v>
      </c>
      <c r="E203" s="66" t="n">
        <v>324</v>
      </c>
      <c r="F203" s="66" t="n">
        <v>317</v>
      </c>
      <c r="G203" s="66" t="n">
        <v>461</v>
      </c>
      <c r="H203" s="66" t="n">
        <v>467</v>
      </c>
      <c r="I203" s="66" t="n">
        <v>768</v>
      </c>
      <c r="J203" s="66" t="n">
        <v>395</v>
      </c>
      <c r="K203" s="66" t="n">
        <v>1091</v>
      </c>
      <c r="L203" s="66" t="n">
        <v>1067</v>
      </c>
      <c r="M203" s="66" t="n">
        <v>905</v>
      </c>
      <c r="N203" s="66" t="n">
        <v>992</v>
      </c>
      <c r="O203" s="66" t="n">
        <v>556</v>
      </c>
      <c r="P203" s="66" t="n">
        <v>462</v>
      </c>
    </row>
    <row r="204" ht="15.75" customHeight="1" s="45">
      <c r="A204" s="61" t="n">
        <v>46189</v>
      </c>
      <c r="B204" s="82" t="inlineStr">
        <is>
          <t>Pós-Projeto</t>
        </is>
      </c>
      <c r="C204" s="83" t="inlineStr">
        <is>
          <t>Radiografias</t>
        </is>
      </c>
      <c r="D204" s="64" t="n">
        <v>46</v>
      </c>
      <c r="E204" s="64" t="n">
        <v>46</v>
      </c>
      <c r="F204" s="64" t="n">
        <v>34</v>
      </c>
      <c r="G204" s="64" t="n">
        <v>33</v>
      </c>
      <c r="H204" s="64" t="n">
        <v>17</v>
      </c>
      <c r="I204" s="64" t="n">
        <v>29</v>
      </c>
      <c r="J204" s="64" t="n">
        <v>26</v>
      </c>
      <c r="K204" s="64" t="n">
        <v>39</v>
      </c>
      <c r="L204" s="64" t="n">
        <v>34</v>
      </c>
      <c r="M204" s="64" t="n">
        <v>53</v>
      </c>
      <c r="N204" s="64" t="n">
        <v>44</v>
      </c>
      <c r="O204" s="64" t="n">
        <v>49</v>
      </c>
      <c r="P204" s="64" t="n">
        <v>61</v>
      </c>
    </row>
    <row r="205" ht="15.75" customHeight="1" s="45">
      <c r="A205" s="61" t="n">
        <v>46189</v>
      </c>
      <c r="B205" s="82" t="inlineStr">
        <is>
          <t>Pós-Projeto</t>
        </is>
      </c>
      <c r="C205" s="84" t="inlineStr">
        <is>
          <t>Eletrocardiogramas</t>
        </is>
      </c>
      <c r="D205" s="67" t="n">
        <v>0</v>
      </c>
      <c r="E205" s="66" t="n">
        <v>2</v>
      </c>
      <c r="F205" s="66" t="n">
        <v>19</v>
      </c>
      <c r="G205" s="66" t="n">
        <v>3</v>
      </c>
      <c r="H205" s="66" t="n">
        <v>9</v>
      </c>
      <c r="I205" s="66" t="n">
        <v>14</v>
      </c>
      <c r="J205" s="67" t="n">
        <v>0</v>
      </c>
      <c r="K205" s="66" t="n">
        <v>4</v>
      </c>
      <c r="L205" s="66" t="n">
        <v>13</v>
      </c>
      <c r="M205" s="66" t="n">
        <v>1</v>
      </c>
      <c r="N205" s="66" t="n">
        <v>22</v>
      </c>
      <c r="O205" s="67" t="n">
        <v>0</v>
      </c>
      <c r="P205" s="66" t="n">
        <v>18</v>
      </c>
    </row>
    <row r="206" ht="15.75" customHeight="1" s="45">
      <c r="A206" s="61" t="n">
        <v>46189</v>
      </c>
      <c r="B206" s="82" t="inlineStr">
        <is>
          <t>Pós-Projeto</t>
        </is>
      </c>
      <c r="C206" s="85" t="inlineStr">
        <is>
          <t>GAEs Abertas</t>
        </is>
      </c>
      <c r="D206" s="69" t="n">
        <v>292</v>
      </c>
      <c r="E206" s="69" t="n">
        <v>176</v>
      </c>
      <c r="F206" s="69" t="n">
        <v>183</v>
      </c>
      <c r="G206" s="69" t="n">
        <v>150</v>
      </c>
      <c r="H206" s="69" t="n">
        <v>140</v>
      </c>
      <c r="I206" s="69" t="n">
        <v>286</v>
      </c>
      <c r="J206" s="69" t="n">
        <v>120</v>
      </c>
      <c r="K206" s="69" t="n">
        <v>369</v>
      </c>
      <c r="L206" s="69" t="n">
        <v>182</v>
      </c>
      <c r="M206" s="69" t="n">
        <v>294</v>
      </c>
      <c r="N206" s="69" t="n">
        <v>270</v>
      </c>
      <c r="O206" s="69" t="n">
        <v>335</v>
      </c>
      <c r="P206" s="69" t="n">
        <v>288</v>
      </c>
    </row>
    <row r="207" ht="15.75" customHeight="1" s="45">
      <c r="A207" s="61" t="n">
        <v>46189</v>
      </c>
      <c r="B207" s="82" t="inlineStr">
        <is>
          <t>Pós-Projeto</t>
        </is>
      </c>
      <c r="C207" s="85" t="inlineStr">
        <is>
          <t>GAEs Classificadas</t>
        </is>
      </c>
      <c r="D207" s="69" t="n">
        <v>276</v>
      </c>
      <c r="E207" s="69" t="n">
        <v>166</v>
      </c>
      <c r="F207" s="69" t="n">
        <v>179</v>
      </c>
      <c r="G207" s="69" t="n">
        <v>149</v>
      </c>
      <c r="H207" s="69" t="n">
        <v>121</v>
      </c>
      <c r="I207" s="69" t="n">
        <v>265</v>
      </c>
      <c r="J207" s="69" t="n">
        <v>114</v>
      </c>
      <c r="K207" s="69" t="n">
        <v>337</v>
      </c>
      <c r="L207" s="69" t="n">
        <v>176</v>
      </c>
      <c r="M207" s="69" t="n">
        <v>265</v>
      </c>
      <c r="N207" s="69" t="n">
        <v>258</v>
      </c>
      <c r="O207" s="69" t="n">
        <v>322</v>
      </c>
      <c r="P207" s="69" t="n">
        <v>259</v>
      </c>
    </row>
    <row r="208" ht="15.75" customHeight="1" s="45">
      <c r="A208" s="61" t="n">
        <v>46189</v>
      </c>
      <c r="B208" s="82" t="inlineStr">
        <is>
          <t>Pós-Projeto</t>
        </is>
      </c>
      <c r="C208" s="86" t="inlineStr">
        <is>
          <t>Percentual de GAEs abertas classificadas</t>
        </is>
      </c>
      <c r="D208" s="71">
        <f>IFERROR(D207/D206,"-")</f>
        <v/>
      </c>
      <c r="E208" s="71">
        <f>IFERROR(E207/E206,"-")</f>
        <v/>
      </c>
      <c r="F208" s="71">
        <f>IFERROR(F207/F206,"-")</f>
        <v/>
      </c>
      <c r="G208" s="71">
        <f>IFERROR(G207/G206,"-")</f>
        <v/>
      </c>
      <c r="H208" s="71">
        <f>IFERROR(H207/H206,"-")</f>
        <v/>
      </c>
      <c r="I208" s="71">
        <f>IFERROR(I207/I206,"-")</f>
        <v/>
      </c>
      <c r="J208" s="71">
        <f>IFERROR(J207/J206,"-")</f>
        <v/>
      </c>
      <c r="K208" s="71">
        <f>IFERROR(K207/K206,"-")</f>
        <v/>
      </c>
      <c r="L208" s="71">
        <f>IFERROR(L207/L206,"-")</f>
        <v/>
      </c>
      <c r="M208" s="71">
        <f>IFERROR(M207/M206,"-")</f>
        <v/>
      </c>
      <c r="N208" s="71">
        <f>IFERROR(N207/N206,"-")</f>
        <v/>
      </c>
      <c r="O208" s="71">
        <f>IFERROR(O207/O206,"-")</f>
        <v/>
      </c>
      <c r="P208" s="71">
        <f>IFERROR(P207/P206,"-")</f>
        <v/>
      </c>
    </row>
    <row r="209" ht="15.75" customHeight="1" s="45">
      <c r="A209" s="61" t="n">
        <v>46189</v>
      </c>
      <c r="B209" s="82" t="inlineStr">
        <is>
          <t>Pós-Projeto</t>
        </is>
      </c>
      <c r="C209" s="87" t="inlineStr">
        <is>
          <t>Tempo Médio — 🟡 Amarelo (hh:mm)</t>
        </is>
      </c>
      <c r="D209" s="73" t="n">
        <v>0.04771990740740741</v>
      </c>
      <c r="E209" s="73" t="n">
        <v>0.04114583333333333</v>
      </c>
      <c r="F209" s="73" t="n">
        <v>0.06030092592592592</v>
      </c>
      <c r="G209" s="73" t="n">
        <v>0.028125</v>
      </c>
      <c r="H209" s="73" t="n">
        <v>0.04572916666666667</v>
      </c>
      <c r="I209" s="73" t="n">
        <v>0.02130787037037037</v>
      </c>
      <c r="J209" s="73" t="n">
        <v>0.04369212962962963</v>
      </c>
      <c r="K209" s="73" t="n">
        <v>0.07765046296296296</v>
      </c>
      <c r="L209" s="73" t="n">
        <v>0.1875231481481482</v>
      </c>
      <c r="M209" s="73" t="n">
        <v>0.08672453703703703</v>
      </c>
      <c r="N209" s="73" t="n">
        <v>0.09768518518518518</v>
      </c>
      <c r="O209" s="73" t="n">
        <v>0.04631944444444445</v>
      </c>
      <c r="P209" s="73" t="n">
        <v>0.1272569444444444</v>
      </c>
    </row>
    <row r="210" ht="15.75" customHeight="1" s="45">
      <c r="A210" s="61" t="n">
        <v>46189</v>
      </c>
      <c r="B210" s="82" t="inlineStr">
        <is>
          <t>Pós-Projeto</t>
        </is>
      </c>
      <c r="C210" s="88" t="inlineStr">
        <is>
          <t>Tempo Médio — 🟠 Laranja (hh:mm)</t>
        </is>
      </c>
      <c r="D210" s="75" t="n">
        <v>0.008460648148148148</v>
      </c>
      <c r="E210" s="75" t="n">
        <v>0.01577546296296296</v>
      </c>
      <c r="F210" s="75" t="n">
        <v>0.007962962962962963</v>
      </c>
      <c r="G210" s="75" t="n">
        <v>0.007685185185185186</v>
      </c>
      <c r="H210" s="75" t="n">
        <v>0.005636574074074074</v>
      </c>
      <c r="I210" s="75" t="n">
        <v>0.002997685185185185</v>
      </c>
      <c r="J210" s="75" t="n">
        <v>0.007013888888888889</v>
      </c>
      <c r="K210" s="75" t="n">
        <v>0.01255787037037037</v>
      </c>
      <c r="L210" s="75" t="n">
        <v>0.0219212962962963</v>
      </c>
      <c r="M210" s="75" t="n">
        <v>0.01592592592592593</v>
      </c>
      <c r="N210" s="75" t="n">
        <v>0.00849537037037037</v>
      </c>
      <c r="O210" s="75" t="n">
        <v>0.0125</v>
      </c>
      <c r="P210" s="75" t="n">
        <v>0.01923611111111111</v>
      </c>
    </row>
    <row r="211" ht="15.75" customHeight="1" s="45">
      <c r="A211" s="76" t="n">
        <v>46189</v>
      </c>
      <c r="B211" s="82" t="inlineStr">
        <is>
          <t>Pós-Projeto</t>
        </is>
      </c>
      <c r="C211" s="91" t="inlineStr">
        <is>
          <t>Tempo Médio — 🟢 Verde   (hh:mm)</t>
        </is>
      </c>
      <c r="D211" s="79" t="n">
        <v>0.1130671296296296</v>
      </c>
      <c r="E211" s="79" t="n">
        <v>0.1517708333333333</v>
      </c>
      <c r="F211" s="79" t="n">
        <v>0.1071527777777778</v>
      </c>
      <c r="G211" s="79" t="n">
        <v>0.07739583333333333</v>
      </c>
      <c r="H211" s="79" t="n">
        <v>0.1072916666666667</v>
      </c>
      <c r="I211" s="79" t="n">
        <v>0.08203703703703703</v>
      </c>
      <c r="J211" s="79" t="n">
        <v>0.06777777777777778</v>
      </c>
      <c r="K211" s="79" t="n">
        <v>0.1037731481481481</v>
      </c>
      <c r="L211" s="79" t="n">
        <v>0.1363310185185185</v>
      </c>
      <c r="M211" s="79" t="n">
        <v>0.1632175925925926</v>
      </c>
      <c r="N211" s="79" t="n">
        <v>0.09506944444444444</v>
      </c>
      <c r="O211" s="79" t="n">
        <v>0.1219444444444444</v>
      </c>
      <c r="P211" s="79" t="n">
        <v>0.08222222222222222</v>
      </c>
    </row>
    <row r="212" ht="15.75" customHeight="1" s="45">
      <c r="A212" s="57" t="n">
        <v>46190</v>
      </c>
      <c r="B212" s="81" t="inlineStr">
        <is>
          <t>Pós-Projeto</t>
        </is>
      </c>
      <c r="C212" s="59" t="inlineStr">
        <is>
          <t>Acolhim. + Atend. Urgência + Atend. UPA</t>
        </is>
      </c>
      <c r="D212" s="60">
        <f>SUM(D213:D215)</f>
        <v/>
      </c>
      <c r="E212" s="60">
        <f>SUM(E213:E215)</f>
        <v/>
      </c>
      <c r="F212" s="60">
        <f>SUM(F213:F215)</f>
        <v/>
      </c>
      <c r="G212" s="60">
        <f>SUM(G213:G215)</f>
        <v/>
      </c>
      <c r="H212" s="60">
        <f>SUM(H213:H215)</f>
        <v/>
      </c>
      <c r="I212" s="60">
        <f>SUM(I213:I215)</f>
        <v/>
      </c>
      <c r="J212" s="60">
        <f>SUM(J213:J215)</f>
        <v/>
      </c>
      <c r="K212" s="60">
        <f>SUM(K213:K215)</f>
        <v/>
      </c>
      <c r="L212" s="60">
        <f>SUM(L213:L215)</f>
        <v/>
      </c>
      <c r="M212" s="60">
        <f>SUM(M213:M215)</f>
        <v/>
      </c>
      <c r="N212" s="60">
        <f>SUM(N213:N215)</f>
        <v/>
      </c>
      <c r="O212" s="60">
        <f>SUM(O213:O215)</f>
        <v/>
      </c>
      <c r="P212" s="60">
        <f>SUM(P213:P215)</f>
        <v/>
      </c>
    </row>
    <row r="213" ht="15.75" customHeight="1" s="45">
      <c r="A213" s="61" t="n">
        <v>46190</v>
      </c>
      <c r="B213" s="82" t="inlineStr">
        <is>
          <t>Pós-Projeto</t>
        </is>
      </c>
      <c r="C213" s="83" t="inlineStr">
        <is>
          <t>Acolhimento c/ Classif. de Risco</t>
        </is>
      </c>
      <c r="D213" s="64" t="n">
        <v>222</v>
      </c>
      <c r="E213" s="64" t="n">
        <v>184</v>
      </c>
      <c r="F213" s="64" t="n">
        <v>164</v>
      </c>
      <c r="G213" s="64" t="n">
        <v>123</v>
      </c>
      <c r="H213" s="64" t="n">
        <v>144</v>
      </c>
      <c r="I213" s="64" t="n">
        <v>217</v>
      </c>
      <c r="J213" s="64" t="n">
        <v>136</v>
      </c>
      <c r="K213" s="64" t="n">
        <v>321</v>
      </c>
      <c r="L213" s="64" t="n">
        <v>157</v>
      </c>
      <c r="M213" s="64" t="n">
        <v>261</v>
      </c>
      <c r="N213" s="64" t="n">
        <v>208</v>
      </c>
      <c r="O213" s="64" t="n">
        <v>289</v>
      </c>
      <c r="P213" s="64" t="n">
        <v>265</v>
      </c>
    </row>
    <row r="214" ht="15.75" customHeight="1" s="45">
      <c r="A214" s="61" t="n">
        <v>46190</v>
      </c>
      <c r="B214" s="82" t="inlineStr">
        <is>
          <t>Pós-Projeto</t>
        </is>
      </c>
      <c r="C214" s="84" t="inlineStr">
        <is>
          <t>Atend. Urgência Obs. ≤ 24h</t>
        </is>
      </c>
      <c r="D214" s="66" t="n">
        <v>14</v>
      </c>
      <c r="E214" s="66" t="n">
        <v>28</v>
      </c>
      <c r="F214" s="66" t="n">
        <v>29</v>
      </c>
      <c r="G214" s="66" t="n">
        <v>17</v>
      </c>
      <c r="H214" s="66" t="n">
        <v>9</v>
      </c>
      <c r="I214" s="66" t="n">
        <v>18</v>
      </c>
      <c r="J214" s="66" t="n">
        <v>20</v>
      </c>
      <c r="K214" s="66" t="n">
        <v>64</v>
      </c>
      <c r="L214" s="66" t="n">
        <v>43</v>
      </c>
      <c r="M214" s="66" t="n">
        <v>20</v>
      </c>
      <c r="N214" s="66" t="n">
        <v>23</v>
      </c>
      <c r="O214" s="66" t="n">
        <v>32</v>
      </c>
      <c r="P214" s="66" t="n">
        <v>16</v>
      </c>
    </row>
    <row r="215" ht="15.75" customHeight="1" s="45">
      <c r="A215" s="61" t="n">
        <v>46190</v>
      </c>
      <c r="B215" s="82" t="inlineStr">
        <is>
          <t>Pós-Projeto</t>
        </is>
      </c>
      <c r="C215" s="83" t="inlineStr">
        <is>
          <t>Atend. Médico em UPA</t>
        </is>
      </c>
      <c r="D215" s="64" t="n">
        <v>199</v>
      </c>
      <c r="E215" s="64" t="n">
        <v>132</v>
      </c>
      <c r="F215" s="64" t="n">
        <v>129</v>
      </c>
      <c r="G215" s="64" t="n">
        <v>97</v>
      </c>
      <c r="H215" s="64" t="n">
        <v>90</v>
      </c>
      <c r="I215" s="64" t="n">
        <v>169</v>
      </c>
      <c r="J215" s="64" t="n">
        <v>114</v>
      </c>
      <c r="K215" s="64" t="n">
        <v>276</v>
      </c>
      <c r="L215" s="64" t="n">
        <v>137</v>
      </c>
      <c r="M215" s="64" t="n">
        <v>119</v>
      </c>
      <c r="N215" s="64" t="n">
        <v>167</v>
      </c>
      <c r="O215" s="64" t="n">
        <v>239</v>
      </c>
      <c r="P215" s="64" t="n">
        <v>143</v>
      </c>
    </row>
    <row r="216" ht="15.75" customHeight="1" s="45">
      <c r="A216" s="61" t="n">
        <v>46190</v>
      </c>
      <c r="B216" s="82" t="inlineStr">
        <is>
          <t>Pós-Projeto</t>
        </is>
      </c>
      <c r="C216" s="84" t="inlineStr">
        <is>
          <t>Exames Laboratoriais</t>
        </is>
      </c>
      <c r="D216" s="66" t="n">
        <v>1009</v>
      </c>
      <c r="E216" s="66" t="n">
        <v>628</v>
      </c>
      <c r="F216" s="66" t="n">
        <v>776</v>
      </c>
      <c r="G216" s="66" t="n">
        <v>439</v>
      </c>
      <c r="H216" s="66" t="n">
        <v>409</v>
      </c>
      <c r="I216" s="66" t="n">
        <v>608</v>
      </c>
      <c r="J216" s="66" t="n">
        <v>499</v>
      </c>
      <c r="K216" s="66" t="n">
        <v>1216</v>
      </c>
      <c r="L216" s="66" t="n">
        <v>807</v>
      </c>
      <c r="M216" s="66" t="n">
        <v>776</v>
      </c>
      <c r="N216" s="66" t="n">
        <v>804</v>
      </c>
      <c r="O216" s="66" t="n">
        <v>830</v>
      </c>
      <c r="P216" s="66" t="n">
        <v>860</v>
      </c>
    </row>
    <row r="217" ht="15.75" customHeight="1" s="45">
      <c r="A217" s="61" t="n">
        <v>46190</v>
      </c>
      <c r="B217" s="82" t="inlineStr">
        <is>
          <t>Pós-Projeto</t>
        </is>
      </c>
      <c r="C217" s="83" t="inlineStr">
        <is>
          <t>Radiografias</t>
        </is>
      </c>
      <c r="D217" s="64" t="n">
        <v>51</v>
      </c>
      <c r="E217" s="64" t="n">
        <v>8</v>
      </c>
      <c r="F217" s="64" t="n">
        <v>41</v>
      </c>
      <c r="G217" s="64" t="n">
        <v>37</v>
      </c>
      <c r="H217" s="64" t="n">
        <v>20</v>
      </c>
      <c r="I217" s="64" t="n">
        <v>30</v>
      </c>
      <c r="J217" s="64" t="n">
        <v>25</v>
      </c>
      <c r="K217" s="64" t="n">
        <v>54</v>
      </c>
      <c r="L217" s="64" t="n">
        <v>17</v>
      </c>
      <c r="M217" s="64" t="n">
        <v>50</v>
      </c>
      <c r="N217" s="64" t="n">
        <v>33</v>
      </c>
      <c r="O217" s="64" t="n">
        <v>80</v>
      </c>
      <c r="P217" s="64" t="n">
        <v>70</v>
      </c>
    </row>
    <row r="218" ht="15.75" customHeight="1" s="45">
      <c r="A218" s="61" t="n">
        <v>46190</v>
      </c>
      <c r="B218" s="82" t="inlineStr">
        <is>
          <t>Pós-Projeto</t>
        </is>
      </c>
      <c r="C218" s="84" t="inlineStr">
        <is>
          <t>Eletrocardiogramas</t>
        </is>
      </c>
      <c r="D218" s="67" t="n">
        <v>0</v>
      </c>
      <c r="E218" s="67" t="n">
        <v>0</v>
      </c>
      <c r="F218" s="66" t="n">
        <v>5</v>
      </c>
      <c r="G218" s="66" t="n">
        <v>1</v>
      </c>
      <c r="H218" s="66" t="n">
        <v>2</v>
      </c>
      <c r="I218" s="66" t="n">
        <v>18</v>
      </c>
      <c r="J218" s="67" t="n">
        <v>0</v>
      </c>
      <c r="K218" s="66" t="n">
        <v>4</v>
      </c>
      <c r="L218" s="66" t="n">
        <v>3</v>
      </c>
      <c r="M218" s="66" t="n">
        <v>1</v>
      </c>
      <c r="N218" s="66" t="n">
        <v>12</v>
      </c>
      <c r="O218" s="67" t="n">
        <v>0</v>
      </c>
      <c r="P218" s="66" t="n">
        <v>21</v>
      </c>
    </row>
    <row r="219" ht="15.75" customHeight="1" s="45">
      <c r="A219" s="61" t="n">
        <v>46190</v>
      </c>
      <c r="B219" s="82" t="inlineStr">
        <is>
          <t>Pós-Projeto</t>
        </is>
      </c>
      <c r="C219" s="85" t="inlineStr">
        <is>
          <t>GAEs Abertas</t>
        </is>
      </c>
      <c r="D219" s="69" t="n">
        <v>239</v>
      </c>
      <c r="E219" s="69" t="n">
        <v>189</v>
      </c>
      <c r="F219" s="69" t="n">
        <v>169</v>
      </c>
      <c r="G219" s="69" t="n">
        <v>129</v>
      </c>
      <c r="H219" s="69" t="n">
        <v>151</v>
      </c>
      <c r="I219" s="69" t="n">
        <v>235</v>
      </c>
      <c r="J219" s="69" t="n">
        <v>142</v>
      </c>
      <c r="K219" s="69" t="n">
        <v>359</v>
      </c>
      <c r="L219" s="69" t="n">
        <v>169</v>
      </c>
      <c r="M219" s="69" t="n">
        <v>288</v>
      </c>
      <c r="N219" s="69" t="n">
        <v>216</v>
      </c>
      <c r="O219" s="69" t="n">
        <v>291</v>
      </c>
      <c r="P219" s="69" t="n">
        <v>265</v>
      </c>
    </row>
    <row r="220" ht="15.75" customHeight="1" s="45">
      <c r="A220" s="61" t="n">
        <v>46190</v>
      </c>
      <c r="B220" s="82" t="inlineStr">
        <is>
          <t>Pós-Projeto</t>
        </is>
      </c>
      <c r="C220" s="85" t="inlineStr">
        <is>
          <t>GAEs Classificadas</t>
        </is>
      </c>
      <c r="D220" s="69" t="n">
        <v>221</v>
      </c>
      <c r="E220" s="69" t="n">
        <v>185</v>
      </c>
      <c r="F220" s="69" t="n">
        <v>164</v>
      </c>
      <c r="G220" s="69" t="n">
        <v>125</v>
      </c>
      <c r="H220" s="69" t="n">
        <v>144</v>
      </c>
      <c r="I220" s="69" t="n">
        <v>213</v>
      </c>
      <c r="J220" s="69" t="n">
        <v>136</v>
      </c>
      <c r="K220" s="69" t="n">
        <v>314</v>
      </c>
      <c r="L220" s="69" t="n">
        <v>161</v>
      </c>
      <c r="M220" s="69" t="n">
        <v>257</v>
      </c>
      <c r="N220" s="69" t="n">
        <v>206</v>
      </c>
      <c r="O220" s="69" t="n">
        <v>287</v>
      </c>
      <c r="P220" s="69" t="n">
        <v>263</v>
      </c>
    </row>
    <row r="221" ht="15.75" customHeight="1" s="45">
      <c r="A221" s="61" t="n">
        <v>46190</v>
      </c>
      <c r="B221" s="82" t="inlineStr">
        <is>
          <t>Pós-Projeto</t>
        </is>
      </c>
      <c r="C221" s="86" t="inlineStr">
        <is>
          <t>Percentual de GAEs abertas classificadas</t>
        </is>
      </c>
      <c r="D221" s="71">
        <f>IFERROR(D220/D219,"-")</f>
        <v/>
      </c>
      <c r="E221" s="71">
        <f>IFERROR(E220/E219,"-")</f>
        <v/>
      </c>
      <c r="F221" s="71">
        <f>IFERROR(F220/F219,"-")</f>
        <v/>
      </c>
      <c r="G221" s="71">
        <f>IFERROR(G220/G219,"-")</f>
        <v/>
      </c>
      <c r="H221" s="71">
        <f>IFERROR(H220/H219,"-")</f>
        <v/>
      </c>
      <c r="I221" s="71">
        <f>IFERROR(I220/I219,"-")</f>
        <v/>
      </c>
      <c r="J221" s="71">
        <f>IFERROR(J220/J219,"-")</f>
        <v/>
      </c>
      <c r="K221" s="71">
        <f>IFERROR(K220/K219,"-")</f>
        <v/>
      </c>
      <c r="L221" s="71">
        <f>IFERROR(L220/L219,"-")</f>
        <v/>
      </c>
      <c r="M221" s="71">
        <f>IFERROR(M220/M219,"-")</f>
        <v/>
      </c>
      <c r="N221" s="71">
        <f>IFERROR(N220/N219,"-")</f>
        <v/>
      </c>
      <c r="O221" s="71">
        <f>IFERROR(O220/O219,"-")</f>
        <v/>
      </c>
      <c r="P221" s="71">
        <f>IFERROR(P220/P219,"-")</f>
        <v/>
      </c>
    </row>
    <row r="222" ht="15.75" customHeight="1" s="45">
      <c r="A222" s="61" t="n">
        <v>46190</v>
      </c>
      <c r="B222" s="82" t="inlineStr">
        <is>
          <t>Pós-Projeto</t>
        </is>
      </c>
      <c r="C222" s="87" t="inlineStr">
        <is>
          <t>Tempo Médio — 🟡 Amarelo (hh:mm)</t>
        </is>
      </c>
      <c r="D222" s="73" t="n">
        <v>0.08457175925925926</v>
      </c>
      <c r="E222" s="73" t="n">
        <v>0.04011574074074074</v>
      </c>
      <c r="F222" s="73" t="n">
        <v>0.03314814814814815</v>
      </c>
      <c r="G222" s="73" t="n">
        <v>0.02731481481481482</v>
      </c>
      <c r="H222" s="73" t="n">
        <v>0.04388888888888889</v>
      </c>
      <c r="I222" s="73" t="n">
        <v>0.04368055555555556</v>
      </c>
      <c r="J222" s="73" t="n">
        <v>0.03447916666666666</v>
      </c>
      <c r="K222" s="73" t="n">
        <v>0.07261574074074074</v>
      </c>
      <c r="L222" s="73" t="n">
        <v>0.09159722222222222</v>
      </c>
      <c r="M222" s="73" t="n">
        <v>0.06484953703703704</v>
      </c>
      <c r="N222" s="73" t="n">
        <v>0.102037037037037</v>
      </c>
      <c r="O222" s="73" t="n">
        <v>0.07145833333333333</v>
      </c>
      <c r="P222" s="73" t="n">
        <v>0.1379861111111111</v>
      </c>
    </row>
    <row r="223" ht="15.75" customHeight="1" s="45">
      <c r="A223" s="61" t="n">
        <v>46190</v>
      </c>
      <c r="B223" s="82" t="inlineStr">
        <is>
          <t>Pós-Projeto</t>
        </is>
      </c>
      <c r="C223" s="88" t="inlineStr">
        <is>
          <t>Tempo Médio — 🟠 Laranja (hh:mm)</t>
        </is>
      </c>
      <c r="D223" s="75" t="n">
        <v>0.01233796296296296</v>
      </c>
      <c r="E223" s="75" t="n">
        <v>0.009398148148148149</v>
      </c>
      <c r="F223" s="75" t="n">
        <v>0.002847222222222222</v>
      </c>
      <c r="G223" s="75" t="n">
        <v>0.003761574074074074</v>
      </c>
      <c r="H223" s="75" t="n">
        <v>0.009444444444444445</v>
      </c>
      <c r="I223" s="75" t="n">
        <v>0.005416666666666667</v>
      </c>
      <c r="J223" s="75" t="n">
        <v>0.009085648148148148</v>
      </c>
      <c r="K223" s="75" t="n">
        <v>0.01140046296296296</v>
      </c>
      <c r="L223" s="75" t="n">
        <v>0.01765046296296296</v>
      </c>
      <c r="M223" s="75" t="n">
        <v>0.0153125</v>
      </c>
      <c r="N223" s="75" t="n">
        <v>0.01640046296296296</v>
      </c>
      <c r="O223" s="75" t="n">
        <v>0.01122685185185185</v>
      </c>
      <c r="P223" s="75" t="n">
        <v>0.01980324074074074</v>
      </c>
    </row>
    <row r="224" ht="15.75" customHeight="1" s="45">
      <c r="A224" s="76" t="n">
        <v>46190</v>
      </c>
      <c r="B224" s="82" t="inlineStr">
        <is>
          <t>Pós-Projeto</t>
        </is>
      </c>
      <c r="C224" s="91" t="inlineStr">
        <is>
          <t>Tempo Médio — 🟢 Verde   (hh:mm)</t>
        </is>
      </c>
      <c r="D224" s="79" t="n">
        <v>0.0583912037037037</v>
      </c>
      <c r="E224" s="79" t="n">
        <v>0.05795138888888889</v>
      </c>
      <c r="F224" s="79" t="n">
        <v>0.1046759259259259</v>
      </c>
      <c r="G224" s="79" t="n">
        <v>0.06408564814814814</v>
      </c>
      <c r="H224" s="79" t="n">
        <v>0.03872685185185185</v>
      </c>
      <c r="I224" s="79" t="n">
        <v>0.1184375</v>
      </c>
      <c r="J224" s="79" t="n">
        <v>0.08642361111111112</v>
      </c>
      <c r="K224" s="79" t="n">
        <v>0.1177083333333333</v>
      </c>
      <c r="L224" s="79" t="n">
        <v>0.1207175925925926</v>
      </c>
      <c r="M224" s="79" t="n">
        <v>0.1131365740740741</v>
      </c>
      <c r="N224" s="79" t="n">
        <v>0.0762037037037037</v>
      </c>
      <c r="O224" s="79" t="n">
        <v>0.09741898148148148</v>
      </c>
      <c r="P224" s="79" t="n">
        <v>0.1078819444444444</v>
      </c>
    </row>
    <row r="225" ht="15.75" customHeight="1" s="45">
      <c r="A225" s="57" t="n">
        <v>46191</v>
      </c>
      <c r="B225" s="81" t="inlineStr">
        <is>
          <t>Pós-Projeto</t>
        </is>
      </c>
      <c r="C225" s="59" t="inlineStr">
        <is>
          <t>Acolhim. + Atend. Urgência + Atend. UPA</t>
        </is>
      </c>
      <c r="D225" s="60">
        <f>SUM(D226:D228)</f>
        <v/>
      </c>
      <c r="E225" s="60">
        <f>SUM(E226:E228)</f>
        <v/>
      </c>
      <c r="F225" s="60">
        <f>SUM(F226:F228)</f>
        <v/>
      </c>
      <c r="G225" s="60">
        <f>SUM(G226:G228)</f>
        <v/>
      </c>
      <c r="H225" s="60">
        <f>SUM(H226:H228)</f>
        <v/>
      </c>
      <c r="I225" s="60">
        <f>SUM(I226:I228)</f>
        <v/>
      </c>
      <c r="J225" s="60">
        <f>SUM(J226:J228)</f>
        <v/>
      </c>
      <c r="K225" s="60">
        <f>SUM(K226:K228)</f>
        <v/>
      </c>
      <c r="L225" s="60">
        <f>SUM(L226:L228)</f>
        <v/>
      </c>
      <c r="M225" s="60">
        <f>SUM(M226:M228)</f>
        <v/>
      </c>
      <c r="N225" s="60">
        <f>SUM(N226:N228)</f>
        <v/>
      </c>
      <c r="O225" s="60">
        <f>SUM(O226:O228)</f>
        <v/>
      </c>
      <c r="P225" s="60">
        <f>SUM(P226:P228)</f>
        <v/>
      </c>
    </row>
    <row r="226" ht="15.75" customHeight="1" s="45">
      <c r="A226" s="61" t="n">
        <v>46191</v>
      </c>
      <c r="B226" s="82" t="inlineStr">
        <is>
          <t>Pós-Projeto</t>
        </is>
      </c>
      <c r="C226" s="83" t="inlineStr">
        <is>
          <t>Acolhimento c/ Classif. de Risco</t>
        </is>
      </c>
      <c r="D226" s="64" t="n">
        <v>238</v>
      </c>
      <c r="E226" s="64" t="n">
        <v>173</v>
      </c>
      <c r="F226" s="64" t="n">
        <v>173</v>
      </c>
      <c r="G226" s="64" t="n">
        <v>132</v>
      </c>
      <c r="H226" s="64" t="n">
        <v>123</v>
      </c>
      <c r="I226" s="64" t="n">
        <v>257</v>
      </c>
      <c r="J226" s="64" t="n">
        <v>136</v>
      </c>
      <c r="K226" s="64" t="n">
        <v>310</v>
      </c>
      <c r="L226" s="64" t="n">
        <v>149</v>
      </c>
      <c r="M226" s="64" t="n">
        <v>278</v>
      </c>
      <c r="N226" s="64" t="n">
        <v>195</v>
      </c>
      <c r="O226" s="64" t="n">
        <v>274</v>
      </c>
      <c r="P226" s="64" t="n">
        <v>274</v>
      </c>
    </row>
    <row r="227" ht="15.75" customHeight="1" s="45">
      <c r="A227" s="61" t="n">
        <v>46191</v>
      </c>
      <c r="B227" s="82" t="inlineStr">
        <is>
          <t>Pós-Projeto</t>
        </is>
      </c>
      <c r="C227" s="84" t="inlineStr">
        <is>
          <t>Atend. Urgência Obs. ≤ 24h</t>
        </is>
      </c>
      <c r="D227" s="66" t="n">
        <v>10</v>
      </c>
      <c r="E227" s="66" t="n">
        <v>23</v>
      </c>
      <c r="F227" s="66" t="n">
        <v>27</v>
      </c>
      <c r="G227" s="66" t="n">
        <v>18</v>
      </c>
      <c r="H227" s="66" t="n">
        <v>4</v>
      </c>
      <c r="I227" s="66" t="n">
        <v>19</v>
      </c>
      <c r="J227" s="66" t="n">
        <v>47</v>
      </c>
      <c r="K227" s="66" t="n">
        <v>38</v>
      </c>
      <c r="L227" s="66" t="n">
        <v>54</v>
      </c>
      <c r="M227" s="66" t="n">
        <v>29</v>
      </c>
      <c r="N227" s="66" t="n">
        <v>45</v>
      </c>
      <c r="O227" s="66" t="n">
        <v>8</v>
      </c>
      <c r="P227" s="66" t="n">
        <v>21</v>
      </c>
    </row>
    <row r="228" ht="15.75" customHeight="1" s="45">
      <c r="A228" s="61" t="n">
        <v>46191</v>
      </c>
      <c r="B228" s="82" t="inlineStr">
        <is>
          <t>Pós-Projeto</t>
        </is>
      </c>
      <c r="C228" s="83" t="inlineStr">
        <is>
          <t>Atend. Médico em UPA</t>
        </is>
      </c>
      <c r="D228" s="64" t="n">
        <v>192</v>
      </c>
      <c r="E228" s="64" t="n">
        <v>117</v>
      </c>
      <c r="F228" s="64" t="n">
        <v>128</v>
      </c>
      <c r="G228" s="64" t="n">
        <v>88</v>
      </c>
      <c r="H228" s="64" t="n">
        <v>98</v>
      </c>
      <c r="I228" s="64" t="n">
        <v>214</v>
      </c>
      <c r="J228" s="64" t="n">
        <v>101</v>
      </c>
      <c r="K228" s="64" t="n">
        <v>162</v>
      </c>
      <c r="L228" s="64" t="n">
        <v>149</v>
      </c>
      <c r="M228" s="64" t="n">
        <v>170</v>
      </c>
      <c r="N228" s="64" t="n">
        <v>175</v>
      </c>
      <c r="O228" s="64" t="n">
        <v>262</v>
      </c>
      <c r="P228" s="64" t="n">
        <v>201</v>
      </c>
    </row>
    <row r="229" ht="15.75" customHeight="1" s="45">
      <c r="A229" s="61" t="n">
        <v>46191</v>
      </c>
      <c r="B229" s="82" t="inlineStr">
        <is>
          <t>Pós-Projeto</t>
        </is>
      </c>
      <c r="C229" s="84" t="inlineStr">
        <is>
          <t>Exames Laboratoriais</t>
        </is>
      </c>
      <c r="D229" s="66" t="n">
        <v>750</v>
      </c>
      <c r="E229" s="66" t="n">
        <v>682</v>
      </c>
      <c r="F229" s="66" t="n">
        <v>673</v>
      </c>
      <c r="G229" s="66" t="n">
        <v>381</v>
      </c>
      <c r="H229" s="66" t="n">
        <v>388</v>
      </c>
      <c r="I229" s="66" t="n">
        <v>715</v>
      </c>
      <c r="J229" s="66" t="n">
        <v>435</v>
      </c>
      <c r="K229" s="66" t="n">
        <v>853</v>
      </c>
      <c r="L229" s="66" t="n">
        <v>670</v>
      </c>
      <c r="M229" s="66" t="n">
        <v>913</v>
      </c>
      <c r="N229" s="66" t="n">
        <v>948</v>
      </c>
      <c r="O229" s="66" t="n">
        <v>535</v>
      </c>
      <c r="P229" s="66" t="n">
        <v>460</v>
      </c>
    </row>
    <row r="230" ht="15.75" customHeight="1" s="45">
      <c r="A230" s="61" t="n">
        <v>46191</v>
      </c>
      <c r="B230" s="82" t="inlineStr">
        <is>
          <t>Pós-Projeto</t>
        </is>
      </c>
      <c r="C230" s="83" t="inlineStr">
        <is>
          <t>Radiografias</t>
        </is>
      </c>
      <c r="D230" s="64" t="n">
        <v>32</v>
      </c>
      <c r="E230" s="64" t="n">
        <v>31</v>
      </c>
      <c r="F230" s="64" t="n">
        <v>23</v>
      </c>
      <c r="G230" s="64" t="n">
        <v>27</v>
      </c>
      <c r="H230" s="64" t="n">
        <v>18</v>
      </c>
      <c r="I230" s="64" t="n">
        <v>35</v>
      </c>
      <c r="J230" s="64" t="n">
        <v>24</v>
      </c>
      <c r="K230" s="64" t="n">
        <v>45</v>
      </c>
      <c r="L230" s="64" t="n">
        <v>22</v>
      </c>
      <c r="M230" s="64" t="n">
        <v>59</v>
      </c>
      <c r="N230" s="64" t="n">
        <v>37</v>
      </c>
      <c r="O230" s="64" t="n">
        <v>33</v>
      </c>
      <c r="P230" s="64" t="n">
        <v>55</v>
      </c>
    </row>
    <row r="231" ht="15.75" customHeight="1" s="45">
      <c r="A231" s="61" t="n">
        <v>46191</v>
      </c>
      <c r="B231" s="82" t="inlineStr">
        <is>
          <t>Pós-Projeto</t>
        </is>
      </c>
      <c r="C231" s="84" t="inlineStr">
        <is>
          <t>Eletrocardiogramas</t>
        </is>
      </c>
      <c r="D231" s="67" t="n">
        <v>0</v>
      </c>
      <c r="E231" s="67" t="n">
        <v>0</v>
      </c>
      <c r="F231" s="67" t="n">
        <v>0</v>
      </c>
      <c r="G231" s="67" t="n">
        <v>0</v>
      </c>
      <c r="H231" s="66" t="n">
        <v>2</v>
      </c>
      <c r="I231" s="66" t="n">
        <v>12</v>
      </c>
      <c r="J231" s="67" t="n">
        <v>0</v>
      </c>
      <c r="K231" s="66" t="n">
        <v>15</v>
      </c>
      <c r="L231" s="67" t="n">
        <v>0</v>
      </c>
      <c r="M231" s="67" t="n">
        <v>0</v>
      </c>
      <c r="N231" s="66" t="n">
        <v>13</v>
      </c>
      <c r="O231" s="67" t="n">
        <v>0</v>
      </c>
      <c r="P231" s="66" t="n">
        <v>17</v>
      </c>
    </row>
    <row r="232" ht="15.75" customHeight="1" s="45">
      <c r="A232" s="61" t="n">
        <v>46191</v>
      </c>
      <c r="B232" s="82" t="inlineStr">
        <is>
          <t>Pós-Projeto</t>
        </is>
      </c>
      <c r="C232" s="85" t="inlineStr">
        <is>
          <t>GAEs Abertas</t>
        </is>
      </c>
      <c r="D232" s="69" t="n">
        <v>252</v>
      </c>
      <c r="E232" s="69" t="n">
        <v>174</v>
      </c>
      <c r="F232" s="69" t="n">
        <v>178</v>
      </c>
      <c r="G232" s="69" t="n">
        <v>132</v>
      </c>
      <c r="H232" s="69" t="n">
        <v>131</v>
      </c>
      <c r="I232" s="69" t="n">
        <v>273</v>
      </c>
      <c r="J232" s="69" t="n">
        <v>141</v>
      </c>
      <c r="K232" s="69" t="n">
        <v>368</v>
      </c>
      <c r="L232" s="69" t="n">
        <v>151</v>
      </c>
      <c r="M232" s="69" t="n">
        <v>284</v>
      </c>
      <c r="N232" s="69" t="n">
        <v>201</v>
      </c>
      <c r="O232" s="69" t="n">
        <v>286</v>
      </c>
      <c r="P232" s="69" t="n">
        <v>285</v>
      </c>
    </row>
    <row r="233" ht="15.75" customHeight="1" s="45">
      <c r="A233" s="61" t="n">
        <v>46191</v>
      </c>
      <c r="B233" s="82" t="inlineStr">
        <is>
          <t>Pós-Projeto</t>
        </is>
      </c>
      <c r="C233" s="85" t="inlineStr">
        <is>
          <t>GAEs Classificadas</t>
        </is>
      </c>
      <c r="D233" s="69" t="n">
        <v>239</v>
      </c>
      <c r="E233" s="69" t="n">
        <v>171</v>
      </c>
      <c r="F233" s="69" t="n">
        <v>173</v>
      </c>
      <c r="G233" s="69" t="n">
        <v>131</v>
      </c>
      <c r="H233" s="69" t="n">
        <v>120</v>
      </c>
      <c r="I233" s="69" t="n">
        <v>256</v>
      </c>
      <c r="J233" s="69" t="n">
        <v>135</v>
      </c>
      <c r="K233" s="69" t="n">
        <v>310</v>
      </c>
      <c r="L233" s="69" t="n">
        <v>143</v>
      </c>
      <c r="M233" s="69" t="n">
        <v>277</v>
      </c>
      <c r="N233" s="69" t="n">
        <v>195</v>
      </c>
      <c r="O233" s="69" t="n">
        <v>274</v>
      </c>
      <c r="P233" s="69" t="n">
        <v>274</v>
      </c>
    </row>
    <row r="234" ht="15.75" customHeight="1" s="45">
      <c r="A234" s="61" t="n">
        <v>46191</v>
      </c>
      <c r="B234" s="82" t="inlineStr">
        <is>
          <t>Pós-Projeto</t>
        </is>
      </c>
      <c r="C234" s="86" t="inlineStr">
        <is>
          <t>Percentual de GAEs abertas classificadas</t>
        </is>
      </c>
      <c r="D234" s="71">
        <f>IFERROR(D233/D232,"-")</f>
        <v/>
      </c>
      <c r="E234" s="71">
        <f>IFERROR(E233/E232,"-")</f>
        <v/>
      </c>
      <c r="F234" s="71">
        <f>IFERROR(F233/F232,"-")</f>
        <v/>
      </c>
      <c r="G234" s="71">
        <f>IFERROR(G233/G232,"-")</f>
        <v/>
      </c>
      <c r="H234" s="71">
        <f>IFERROR(H233/H232,"-")</f>
        <v/>
      </c>
      <c r="I234" s="71">
        <f>IFERROR(I233/I232,"-")</f>
        <v/>
      </c>
      <c r="J234" s="71">
        <f>IFERROR(J233/J232,"-")</f>
        <v/>
      </c>
      <c r="K234" s="71">
        <f>IFERROR(K233/K232,"-")</f>
        <v/>
      </c>
      <c r="L234" s="71">
        <f>IFERROR(L233/L232,"-")</f>
        <v/>
      </c>
      <c r="M234" s="71">
        <f>IFERROR(M233/M232,"-")</f>
        <v/>
      </c>
      <c r="N234" s="71">
        <f>IFERROR(N233/N232,"-")</f>
        <v/>
      </c>
      <c r="O234" s="71">
        <f>IFERROR(O233/O232,"-")</f>
        <v/>
      </c>
      <c r="P234" s="71">
        <f>IFERROR(P233/P232,"-")</f>
        <v/>
      </c>
    </row>
    <row r="235" ht="15.75" customHeight="1" s="45">
      <c r="A235" s="61" t="n">
        <v>46191</v>
      </c>
      <c r="B235" s="82" t="inlineStr">
        <is>
          <t>Pós-Projeto</t>
        </is>
      </c>
      <c r="C235" s="87" t="inlineStr">
        <is>
          <t>Tempo Médio — 🟡 Amarelo (hh:mm)</t>
        </is>
      </c>
      <c r="D235" s="73" t="n">
        <v>0.113599537037037</v>
      </c>
      <c r="E235" s="73" t="n">
        <v>0.09866898148148148</v>
      </c>
      <c r="F235" s="73" t="n">
        <v>0.05491898148148148</v>
      </c>
      <c r="G235" s="73" t="n">
        <v>0.01741898148148148</v>
      </c>
      <c r="H235" s="73" t="n">
        <v>0.02805555555555556</v>
      </c>
      <c r="I235" s="73" t="n">
        <v>0.09414351851851852</v>
      </c>
      <c r="J235" s="73" t="n">
        <v>0.02774305555555556</v>
      </c>
      <c r="K235" s="73" t="n">
        <v>0.08459490740740741</v>
      </c>
      <c r="L235" s="73" t="n">
        <v>0.1100231481481481</v>
      </c>
      <c r="M235" s="73" t="n">
        <v>0.065</v>
      </c>
      <c r="N235" s="73" t="n">
        <v>0.07037037037037037</v>
      </c>
      <c r="O235" s="73" t="n">
        <v>0.02494212962962963</v>
      </c>
      <c r="P235" s="73" t="n">
        <v>0.0575</v>
      </c>
    </row>
    <row r="236" ht="15.75" customHeight="1" s="45">
      <c r="A236" s="61" t="n">
        <v>46191</v>
      </c>
      <c r="B236" s="82" t="inlineStr">
        <is>
          <t>Pós-Projeto</t>
        </is>
      </c>
      <c r="C236" s="88" t="inlineStr">
        <is>
          <t>Tempo Médio — 🟠 Laranja (hh:mm)</t>
        </is>
      </c>
      <c r="D236" s="75" t="n">
        <v>0.02194444444444444</v>
      </c>
      <c r="E236" s="75" t="n">
        <v>0.002604166666666667</v>
      </c>
      <c r="F236" s="75" t="n">
        <v>0.009351851851851853</v>
      </c>
      <c r="G236" s="75" t="n">
        <v>0.006481481481481481</v>
      </c>
      <c r="H236" s="75" t="n">
        <v>0.003761574074074074</v>
      </c>
      <c r="I236" s="75" t="n">
        <v>0.004548611111111111</v>
      </c>
      <c r="J236" s="75" t="n">
        <v>0.005960648148148148</v>
      </c>
      <c r="K236" s="75" t="n">
        <v>0.01753472222222222</v>
      </c>
      <c r="L236" s="75" t="n">
        <v>0.01858796296296296</v>
      </c>
      <c r="M236" s="75" t="n">
        <v>0.02171296296296296</v>
      </c>
      <c r="N236" s="75" t="n">
        <v>0.0116087962962963</v>
      </c>
      <c r="O236" s="75" t="n">
        <v>0.0109375</v>
      </c>
      <c r="P236" s="75" t="n">
        <v>0.01689814814814815</v>
      </c>
    </row>
    <row r="237" ht="15.75" customHeight="1" s="45">
      <c r="A237" s="76" t="n">
        <v>46191</v>
      </c>
      <c r="B237" s="82" t="inlineStr">
        <is>
          <t>Pós-Projeto</t>
        </is>
      </c>
      <c r="C237" s="91" t="inlineStr">
        <is>
          <t>Tempo Médio — 🟢 Verde   (hh:mm)</t>
        </is>
      </c>
      <c r="D237" s="79" t="n">
        <v>0.08012731481481482</v>
      </c>
      <c r="E237" s="79" t="n">
        <v>0.1261689814814815</v>
      </c>
      <c r="F237" s="79" t="n">
        <v>0.0772337962962963</v>
      </c>
      <c r="G237" s="79" t="n">
        <v>0.03747685185185185</v>
      </c>
      <c r="H237" s="79" t="n">
        <v>0.04173611111111111</v>
      </c>
      <c r="I237" s="79" t="n">
        <v>0.1060763888888889</v>
      </c>
      <c r="J237" s="79" t="n">
        <v>0.06833333333333333</v>
      </c>
      <c r="K237" s="79" t="n">
        <v>0.09695601851851852</v>
      </c>
      <c r="L237" s="79" t="n">
        <v>0.1707175925925926</v>
      </c>
      <c r="M237" s="79" t="n">
        <v>0.08708333333333333</v>
      </c>
      <c r="N237" s="79" t="n">
        <v>0.05354166666666667</v>
      </c>
      <c r="O237" s="79" t="n">
        <v>0.04260416666666667</v>
      </c>
      <c r="P237" s="79" t="n">
        <v>0.0744675925925926</v>
      </c>
    </row>
    <row r="238" ht="15.75" customHeight="1" s="45">
      <c r="A238" s="57" t="n">
        <v>46192</v>
      </c>
      <c r="B238" s="81" t="inlineStr">
        <is>
          <t>Pós-Projeto</t>
        </is>
      </c>
      <c r="C238" s="59" t="inlineStr">
        <is>
          <t>Acolhim. + Atend. Urgência + Atend. UPA</t>
        </is>
      </c>
      <c r="D238" s="60">
        <f>SUM(D239:D241)</f>
        <v/>
      </c>
      <c r="E238" s="60">
        <f>SUM(E239:E241)</f>
        <v/>
      </c>
      <c r="F238" s="60">
        <f>SUM(F239:F241)</f>
        <v/>
      </c>
      <c r="G238" s="60">
        <f>SUM(G239:G241)</f>
        <v/>
      </c>
      <c r="H238" s="60">
        <f>SUM(H239:H241)</f>
        <v/>
      </c>
      <c r="I238" s="60">
        <f>SUM(I239:I241)</f>
        <v/>
      </c>
      <c r="J238" s="60">
        <f>SUM(J239:J241)</f>
        <v/>
      </c>
      <c r="K238" s="60">
        <f>SUM(K239:K241)</f>
        <v/>
      </c>
      <c r="L238" s="60">
        <f>SUM(L239:L241)</f>
        <v/>
      </c>
      <c r="M238" s="60">
        <f>SUM(M239:M241)</f>
        <v/>
      </c>
      <c r="N238" s="60">
        <f>SUM(N239:N241)</f>
        <v/>
      </c>
      <c r="O238" s="60">
        <f>SUM(O239:O241)</f>
        <v/>
      </c>
      <c r="P238" s="60">
        <f>SUM(P239:P241)</f>
        <v/>
      </c>
    </row>
    <row r="239" ht="15.75" customHeight="1" s="45">
      <c r="A239" s="61" t="n">
        <v>46192</v>
      </c>
      <c r="B239" s="82" t="inlineStr">
        <is>
          <t>Pós-Projeto</t>
        </is>
      </c>
      <c r="C239" s="83" t="inlineStr">
        <is>
          <t>Acolhimento c/ Classif. de Risco</t>
        </is>
      </c>
      <c r="D239" s="64" t="n">
        <v>211</v>
      </c>
      <c r="E239" s="64" t="n">
        <v>156</v>
      </c>
      <c r="F239" s="64" t="n">
        <v>148</v>
      </c>
      <c r="G239" s="64" t="n">
        <v>114</v>
      </c>
      <c r="H239" s="64" t="n">
        <v>98</v>
      </c>
      <c r="I239" s="64" t="n">
        <v>173</v>
      </c>
      <c r="J239" s="64" t="n">
        <v>116</v>
      </c>
      <c r="K239" s="64" t="n">
        <v>260</v>
      </c>
      <c r="L239" s="64" t="n">
        <v>109</v>
      </c>
      <c r="M239" s="64" t="n">
        <v>214</v>
      </c>
      <c r="N239" s="64" t="n">
        <v>168</v>
      </c>
      <c r="O239" s="64" t="n">
        <v>270</v>
      </c>
      <c r="P239" s="64" t="n">
        <v>213</v>
      </c>
    </row>
    <row r="240" ht="15.75" customHeight="1" s="45">
      <c r="A240" s="61" t="n">
        <v>46192</v>
      </c>
      <c r="B240" s="82" t="inlineStr">
        <is>
          <t>Pós-Projeto</t>
        </is>
      </c>
      <c r="C240" s="84" t="inlineStr">
        <is>
          <t>Atend. Urgência Obs. ≤ 24h</t>
        </is>
      </c>
      <c r="D240" s="66" t="n">
        <v>19</v>
      </c>
      <c r="E240" s="66" t="n">
        <v>22</v>
      </c>
      <c r="F240" s="66" t="n">
        <v>21</v>
      </c>
      <c r="G240" s="66" t="n">
        <v>20</v>
      </c>
      <c r="H240" s="66" t="n">
        <v>14</v>
      </c>
      <c r="I240" s="66" t="n">
        <v>35</v>
      </c>
      <c r="J240" s="66" t="n">
        <v>47</v>
      </c>
      <c r="K240" s="66" t="n">
        <v>59</v>
      </c>
      <c r="L240" s="66" t="n">
        <v>44</v>
      </c>
      <c r="M240" s="66" t="n">
        <v>14</v>
      </c>
      <c r="N240" s="66" t="n">
        <v>68</v>
      </c>
      <c r="O240" s="66" t="n">
        <v>11</v>
      </c>
      <c r="P240" s="66" t="n">
        <v>27</v>
      </c>
    </row>
    <row r="241" ht="15.75" customHeight="1" s="45">
      <c r="A241" s="61" t="n">
        <v>46192</v>
      </c>
      <c r="B241" s="82" t="inlineStr">
        <is>
          <t>Pós-Projeto</t>
        </is>
      </c>
      <c r="C241" s="83" t="inlineStr">
        <is>
          <t>Atend. Médico em UPA</t>
        </is>
      </c>
      <c r="D241" s="64" t="n">
        <v>196</v>
      </c>
      <c r="E241" s="64" t="n">
        <v>71</v>
      </c>
      <c r="F241" s="64" t="n">
        <v>107</v>
      </c>
      <c r="G241" s="64" t="n">
        <v>78</v>
      </c>
      <c r="H241" s="64" t="n">
        <v>53</v>
      </c>
      <c r="I241" s="64" t="n">
        <v>143</v>
      </c>
      <c r="J241" s="64" t="n">
        <v>69</v>
      </c>
      <c r="K241" s="64" t="n">
        <v>215</v>
      </c>
      <c r="L241" s="64" t="n">
        <v>96</v>
      </c>
      <c r="M241" s="64" t="n">
        <v>170</v>
      </c>
      <c r="N241" s="64" t="n">
        <v>113</v>
      </c>
      <c r="O241" s="64" t="n">
        <v>151</v>
      </c>
      <c r="P241" s="64" t="n">
        <v>176</v>
      </c>
    </row>
    <row r="242" ht="15.75" customHeight="1" s="45">
      <c r="A242" s="61" t="n">
        <v>46192</v>
      </c>
      <c r="B242" s="82" t="inlineStr">
        <is>
          <t>Pós-Projeto</t>
        </is>
      </c>
      <c r="C242" s="84" t="inlineStr">
        <is>
          <t>Exames Laboratoriais</t>
        </is>
      </c>
      <c r="D242" s="66" t="n">
        <v>917</v>
      </c>
      <c r="E242" s="66" t="n">
        <v>573</v>
      </c>
      <c r="F242" s="66" t="n">
        <v>457</v>
      </c>
      <c r="G242" s="66" t="n">
        <v>438</v>
      </c>
      <c r="H242" s="66" t="n">
        <v>254</v>
      </c>
      <c r="I242" s="66" t="n">
        <v>537</v>
      </c>
      <c r="J242" s="66" t="n">
        <v>377</v>
      </c>
      <c r="K242" s="66" t="n">
        <v>1074</v>
      </c>
      <c r="L242" s="66" t="n">
        <v>588</v>
      </c>
      <c r="M242" s="66" t="n">
        <v>660</v>
      </c>
      <c r="N242" s="66" t="n">
        <v>910</v>
      </c>
      <c r="O242" s="66" t="n">
        <v>460</v>
      </c>
      <c r="P242" s="66" t="n">
        <v>843</v>
      </c>
    </row>
    <row r="243" ht="15.75" customHeight="1" s="45">
      <c r="A243" s="61" t="n">
        <v>46192</v>
      </c>
      <c r="B243" s="82" t="inlineStr">
        <is>
          <t>Pós-Projeto</t>
        </is>
      </c>
      <c r="C243" s="83" t="inlineStr">
        <is>
          <t>Radiografias</t>
        </is>
      </c>
      <c r="D243" s="64" t="n">
        <v>35</v>
      </c>
      <c r="E243" s="64" t="n">
        <v>19</v>
      </c>
      <c r="F243" s="64" t="n">
        <v>23</v>
      </c>
      <c r="G243" s="64" t="n">
        <v>28</v>
      </c>
      <c r="H243" s="64" t="n">
        <v>13</v>
      </c>
      <c r="I243" s="64" t="n">
        <v>19</v>
      </c>
      <c r="J243" s="64" t="n">
        <v>22</v>
      </c>
      <c r="K243" s="64" t="n">
        <v>48</v>
      </c>
      <c r="L243" s="64" t="n">
        <v>14</v>
      </c>
      <c r="M243" s="64" t="n">
        <v>36</v>
      </c>
      <c r="N243" s="64" t="n">
        <v>32</v>
      </c>
      <c r="O243" s="64" t="n">
        <v>25</v>
      </c>
      <c r="P243" s="64" t="n">
        <v>44</v>
      </c>
    </row>
    <row r="244" ht="15.75" customHeight="1" s="45">
      <c r="A244" s="61" t="n">
        <v>46192</v>
      </c>
      <c r="B244" s="82" t="inlineStr">
        <is>
          <t>Pós-Projeto</t>
        </is>
      </c>
      <c r="C244" s="84" t="inlineStr">
        <is>
          <t>Eletrocardiogramas</t>
        </is>
      </c>
      <c r="D244" s="67" t="n">
        <v>0</v>
      </c>
      <c r="E244" s="67" t="n">
        <v>0</v>
      </c>
      <c r="F244" s="67" t="n">
        <v>0</v>
      </c>
      <c r="G244" s="66" t="n">
        <v>2</v>
      </c>
      <c r="H244" s="66" t="n">
        <v>1</v>
      </c>
      <c r="I244" s="66" t="n">
        <v>7</v>
      </c>
      <c r="J244" s="67" t="n">
        <v>0</v>
      </c>
      <c r="K244" s="67" t="n">
        <v>0</v>
      </c>
      <c r="L244" s="67" t="n">
        <v>0</v>
      </c>
      <c r="M244" s="67" t="n">
        <v>0</v>
      </c>
      <c r="N244" s="66" t="n">
        <v>10</v>
      </c>
      <c r="O244" s="67" t="n">
        <v>0</v>
      </c>
      <c r="P244" s="66" t="n">
        <v>17</v>
      </c>
    </row>
    <row r="245" ht="15.75" customHeight="1" s="45">
      <c r="A245" s="61" t="n">
        <v>46192</v>
      </c>
      <c r="B245" s="82" t="inlineStr">
        <is>
          <t>Pós-Projeto</t>
        </is>
      </c>
      <c r="C245" s="85" t="inlineStr">
        <is>
          <t>GAEs Abertas</t>
        </is>
      </c>
      <c r="D245" s="69" t="n">
        <v>218</v>
      </c>
      <c r="E245" s="69" t="n">
        <v>159</v>
      </c>
      <c r="F245" s="69" t="n">
        <v>152</v>
      </c>
      <c r="G245" s="69" t="n">
        <v>122</v>
      </c>
      <c r="H245" s="69" t="n">
        <v>102</v>
      </c>
      <c r="I245" s="69" t="n">
        <v>187</v>
      </c>
      <c r="J245" s="69" t="n">
        <v>117</v>
      </c>
      <c r="K245" s="69" t="n">
        <v>296</v>
      </c>
      <c r="L245" s="69" t="n">
        <v>116</v>
      </c>
      <c r="M245" s="69" t="n">
        <v>221</v>
      </c>
      <c r="N245" s="69" t="n">
        <v>173</v>
      </c>
      <c r="O245" s="69" t="n">
        <v>280</v>
      </c>
      <c r="P245" s="69" t="n">
        <v>221</v>
      </c>
    </row>
    <row r="246" ht="15.75" customHeight="1" s="45">
      <c r="A246" s="61" t="n">
        <v>46192</v>
      </c>
      <c r="B246" s="82" t="inlineStr">
        <is>
          <t>Pós-Projeto</t>
        </is>
      </c>
      <c r="C246" s="85" t="inlineStr">
        <is>
          <t>GAEs Classificadas</t>
        </is>
      </c>
      <c r="D246" s="69" t="n">
        <v>210</v>
      </c>
      <c r="E246" s="69" t="n">
        <v>157</v>
      </c>
      <c r="F246" s="69" t="n">
        <v>147</v>
      </c>
      <c r="G246" s="69" t="n">
        <v>113</v>
      </c>
      <c r="H246" s="69" t="n">
        <v>100</v>
      </c>
      <c r="I246" s="69" t="n">
        <v>170</v>
      </c>
      <c r="J246" s="69" t="n">
        <v>116</v>
      </c>
      <c r="K246" s="69" t="n">
        <v>259</v>
      </c>
      <c r="L246" s="69" t="n">
        <v>111</v>
      </c>
      <c r="M246" s="69" t="n">
        <v>213</v>
      </c>
      <c r="N246" s="69" t="n">
        <v>169</v>
      </c>
      <c r="O246" s="69" t="n">
        <v>273</v>
      </c>
      <c r="P246" s="69" t="n">
        <v>214</v>
      </c>
    </row>
    <row r="247" ht="15.75" customHeight="1" s="45">
      <c r="A247" s="61" t="n">
        <v>46192</v>
      </c>
      <c r="B247" s="82" t="inlineStr">
        <is>
          <t>Pós-Projeto</t>
        </is>
      </c>
      <c r="C247" s="86" t="inlineStr">
        <is>
          <t>Percentual de GAEs abertas classificadas</t>
        </is>
      </c>
      <c r="D247" s="71">
        <f>IFERROR(D246/D245,"-")</f>
        <v/>
      </c>
      <c r="E247" s="71">
        <f>IFERROR(E246/E245,"-")</f>
        <v/>
      </c>
      <c r="F247" s="71">
        <f>IFERROR(F246/F245,"-")</f>
        <v/>
      </c>
      <c r="G247" s="71">
        <f>IFERROR(G246/G245,"-")</f>
        <v/>
      </c>
      <c r="H247" s="71">
        <f>IFERROR(H246/H245,"-")</f>
        <v/>
      </c>
      <c r="I247" s="71">
        <f>IFERROR(I246/I245,"-")</f>
        <v/>
      </c>
      <c r="J247" s="71">
        <f>IFERROR(J246/J245,"-")</f>
        <v/>
      </c>
      <c r="K247" s="71">
        <f>IFERROR(K246/K245,"-")</f>
        <v/>
      </c>
      <c r="L247" s="71">
        <f>IFERROR(L246/L245,"-")</f>
        <v/>
      </c>
      <c r="M247" s="71">
        <f>IFERROR(M246/M245,"-")</f>
        <v/>
      </c>
      <c r="N247" s="71">
        <f>IFERROR(N246/N245,"-")</f>
        <v/>
      </c>
      <c r="O247" s="71">
        <f>IFERROR(O246/O245,"-")</f>
        <v/>
      </c>
      <c r="P247" s="71">
        <f>IFERROR(P246/P245,"-")</f>
        <v/>
      </c>
    </row>
    <row r="248" ht="15.75" customHeight="1" s="45">
      <c r="A248" s="61" t="n">
        <v>46192</v>
      </c>
      <c r="B248" s="82" t="inlineStr">
        <is>
          <t>Pós-Projeto</t>
        </is>
      </c>
      <c r="C248" s="87" t="inlineStr">
        <is>
          <t>Tempo Médio — 🟡 Amarelo (hh:mm)</t>
        </is>
      </c>
      <c r="D248" s="73" t="n">
        <v>0.03947916666666667</v>
      </c>
      <c r="E248" s="73" t="n">
        <v>0.1285648148148148</v>
      </c>
      <c r="F248" s="73" t="n">
        <v>0.02972222222222222</v>
      </c>
      <c r="G248" s="73" t="n">
        <v>0.02049768518518518</v>
      </c>
      <c r="H248" s="73" t="n">
        <v>0.0822800925925926</v>
      </c>
      <c r="I248" s="73" t="n">
        <v>0.03846064814814815</v>
      </c>
      <c r="J248" s="73" t="n">
        <v>0.05479166666666667</v>
      </c>
      <c r="K248" s="73" t="n">
        <v>0.08542824074074074</v>
      </c>
      <c r="L248" s="73" t="n">
        <v>0.05611111111111111</v>
      </c>
      <c r="M248" s="73" t="n">
        <v>0.02233796296296296</v>
      </c>
      <c r="N248" s="73" t="n">
        <v>0.09592592592592593</v>
      </c>
      <c r="O248" s="73" t="n">
        <v>0.06447916666666667</v>
      </c>
      <c r="P248" s="73" t="n">
        <v>0.029375</v>
      </c>
    </row>
    <row r="249" ht="15.75" customHeight="1" s="45">
      <c r="A249" s="61" t="n">
        <v>46192</v>
      </c>
      <c r="B249" s="82" t="inlineStr">
        <is>
          <t>Pós-Projeto</t>
        </is>
      </c>
      <c r="C249" s="88" t="inlineStr">
        <is>
          <t>Tempo Médio — 🟠 Laranja (hh:mm)</t>
        </is>
      </c>
      <c r="D249" s="75" t="n">
        <v>0.00730324074074074</v>
      </c>
      <c r="E249" s="75" t="n">
        <v>0.01506944444444444</v>
      </c>
      <c r="F249" s="75" t="n">
        <v>0.002939814814814815</v>
      </c>
      <c r="G249" s="75" t="n">
        <v>0.009039351851851852</v>
      </c>
      <c r="H249" s="75" t="n">
        <v>0.01123842592592593</v>
      </c>
      <c r="I249" s="75" t="n">
        <v>0.005057870370370371</v>
      </c>
      <c r="J249" s="75" t="n">
        <v>0.01125</v>
      </c>
      <c r="K249" s="75" t="n">
        <v>0.02173611111111111</v>
      </c>
      <c r="L249" s="75" t="n">
        <v>0.005810185185185186</v>
      </c>
      <c r="M249" s="75" t="n">
        <v>0.009398148148148149</v>
      </c>
      <c r="N249" s="75" t="n">
        <v>0.01608796296296296</v>
      </c>
      <c r="O249" s="75" t="n">
        <v>0.01163194444444444</v>
      </c>
      <c r="P249" s="75" t="n">
        <v>0.01040509259259259</v>
      </c>
    </row>
    <row r="250" ht="15.75" customHeight="1" s="45">
      <c r="A250" s="76" t="n">
        <v>46192</v>
      </c>
      <c r="B250" s="82" t="inlineStr">
        <is>
          <t>Pós-Projeto</t>
        </is>
      </c>
      <c r="C250" s="91" t="inlineStr">
        <is>
          <t>Tempo Médio — 🟢 Verde   (hh:mm)</t>
        </is>
      </c>
      <c r="D250" s="79" t="n">
        <v>0.04675925925925926</v>
      </c>
      <c r="E250" s="79" t="n">
        <v>0.1334027777777778</v>
      </c>
      <c r="F250" s="79" t="n">
        <v>0.06931712962962963</v>
      </c>
      <c r="G250" s="79" t="n">
        <v>0.05068287037037037</v>
      </c>
      <c r="H250" s="79" t="n">
        <v>0.07657407407407407</v>
      </c>
      <c r="I250" s="79" t="n">
        <v>0.1079282407407407</v>
      </c>
      <c r="J250" s="79" t="n">
        <v>0.04171296296296297</v>
      </c>
      <c r="K250" s="79" t="n">
        <v>0.07561342592592593</v>
      </c>
      <c r="L250" s="79" t="n">
        <v>0.06351851851851852</v>
      </c>
      <c r="M250" s="79" t="n">
        <v>0.05265046296296296</v>
      </c>
      <c r="N250" s="79" t="n">
        <v>0.1414236111111111</v>
      </c>
      <c r="O250" s="79" t="n">
        <v>0.1046064814814815</v>
      </c>
      <c r="P250" s="79" t="n">
        <v>0.07918981481481481</v>
      </c>
    </row>
    <row r="251" ht="15.75" customHeight="1" s="45">
      <c r="A251" s="57" t="n">
        <v>46193</v>
      </c>
      <c r="B251" s="81" t="inlineStr">
        <is>
          <t>Pós-Projeto</t>
        </is>
      </c>
      <c r="C251" s="59" t="inlineStr">
        <is>
          <t>Acolhim. + Atend. Urgência + Atend. UPA</t>
        </is>
      </c>
      <c r="D251" s="60">
        <f>SUM(D252:D254)</f>
        <v/>
      </c>
      <c r="E251" s="60">
        <f>SUM(E252:E254)</f>
        <v/>
      </c>
      <c r="F251" s="60">
        <f>SUM(F252:F254)</f>
        <v/>
      </c>
      <c r="G251" s="60">
        <f>SUM(G252:G254)</f>
        <v/>
      </c>
      <c r="H251" s="60">
        <f>SUM(H252:H254)</f>
        <v/>
      </c>
      <c r="I251" s="60">
        <f>SUM(I252:I254)</f>
        <v/>
      </c>
      <c r="J251" s="60">
        <f>SUM(J252:J254)</f>
        <v/>
      </c>
      <c r="K251" s="60">
        <f>SUM(K252:K254)</f>
        <v/>
      </c>
      <c r="L251" s="60">
        <f>SUM(L252:L254)</f>
        <v/>
      </c>
      <c r="M251" s="60">
        <f>SUM(M252:M254)</f>
        <v/>
      </c>
      <c r="N251" s="60">
        <f>SUM(N252:N254)</f>
        <v/>
      </c>
      <c r="O251" s="60">
        <f>SUM(O252:O254)</f>
        <v/>
      </c>
      <c r="P251" s="60">
        <f>SUM(P252:P254)</f>
        <v/>
      </c>
    </row>
    <row r="252" ht="15.75" customHeight="1" s="45">
      <c r="A252" s="61" t="n">
        <v>46193</v>
      </c>
      <c r="B252" s="82" t="inlineStr">
        <is>
          <t>Pós-Projeto</t>
        </is>
      </c>
      <c r="C252" s="83" t="inlineStr">
        <is>
          <t>Acolhimento c/ Classif. de Risco</t>
        </is>
      </c>
      <c r="D252" s="64" t="n">
        <v>193</v>
      </c>
      <c r="E252" s="64" t="n">
        <v>143</v>
      </c>
      <c r="F252" s="64" t="n">
        <v>140</v>
      </c>
      <c r="G252" s="64" t="n">
        <v>93</v>
      </c>
      <c r="H252" s="64" t="n">
        <v>111</v>
      </c>
      <c r="I252" s="64" t="n">
        <v>169</v>
      </c>
      <c r="J252" s="64" t="n">
        <v>117</v>
      </c>
      <c r="K252" s="64" t="n">
        <v>244</v>
      </c>
      <c r="L252" s="64" t="n">
        <v>160</v>
      </c>
      <c r="M252" s="64" t="n">
        <v>206</v>
      </c>
      <c r="N252" s="64" t="n">
        <v>194</v>
      </c>
      <c r="O252" s="64" t="n">
        <v>271</v>
      </c>
      <c r="P252" s="64" t="n">
        <v>220</v>
      </c>
    </row>
    <row r="253" ht="15.75" customHeight="1" s="45">
      <c r="A253" s="61" t="n">
        <v>46193</v>
      </c>
      <c r="B253" s="82" t="inlineStr">
        <is>
          <t>Pós-Projeto</t>
        </is>
      </c>
      <c r="C253" s="84" t="inlineStr">
        <is>
          <t>Atend. Urgência Obs. ≤ 24h</t>
        </is>
      </c>
      <c r="D253" s="66" t="n">
        <v>20</v>
      </c>
      <c r="E253" s="66" t="n">
        <v>36</v>
      </c>
      <c r="F253" s="66" t="n">
        <v>22</v>
      </c>
      <c r="G253" s="66" t="n">
        <v>13</v>
      </c>
      <c r="H253" s="66" t="n">
        <v>6</v>
      </c>
      <c r="I253" s="66" t="n">
        <v>40</v>
      </c>
      <c r="J253" s="66" t="n">
        <v>8</v>
      </c>
      <c r="K253" s="66" t="n">
        <v>54</v>
      </c>
      <c r="L253" s="66" t="n">
        <v>46</v>
      </c>
      <c r="M253" s="66" t="n">
        <v>10</v>
      </c>
      <c r="N253" s="66" t="n">
        <v>54</v>
      </c>
      <c r="O253" s="66" t="n">
        <v>12</v>
      </c>
      <c r="P253" s="66" t="n">
        <v>35</v>
      </c>
    </row>
    <row r="254" ht="15.75" customHeight="1" s="45">
      <c r="A254" s="61" t="n">
        <v>46193</v>
      </c>
      <c r="B254" s="82" t="inlineStr">
        <is>
          <t>Pós-Projeto</t>
        </is>
      </c>
      <c r="C254" s="83" t="inlineStr">
        <is>
          <t>Atend. Médico em UPA</t>
        </is>
      </c>
      <c r="D254" s="64" t="n">
        <v>156</v>
      </c>
      <c r="E254" s="64" t="n">
        <v>67</v>
      </c>
      <c r="F254" s="64" t="n">
        <v>80</v>
      </c>
      <c r="G254" s="64" t="n">
        <v>70</v>
      </c>
      <c r="H254" s="64" t="n">
        <v>64</v>
      </c>
      <c r="I254" s="64" t="n">
        <v>161</v>
      </c>
      <c r="J254" s="64" t="n">
        <v>83</v>
      </c>
      <c r="K254" s="64" t="n">
        <v>139</v>
      </c>
      <c r="L254" s="64" t="n">
        <v>116</v>
      </c>
      <c r="M254" s="64" t="n">
        <v>115</v>
      </c>
      <c r="N254" s="64" t="n">
        <v>95</v>
      </c>
      <c r="O254" s="64" t="n">
        <v>206</v>
      </c>
      <c r="P254" s="64" t="n">
        <v>157</v>
      </c>
    </row>
    <row r="255" ht="15.75" customHeight="1" s="45">
      <c r="A255" s="61" t="n">
        <v>46193</v>
      </c>
      <c r="B255" s="82" t="inlineStr">
        <is>
          <t>Pós-Projeto</t>
        </is>
      </c>
      <c r="C255" s="84" t="inlineStr">
        <is>
          <t>Exames Laboratoriais</t>
        </is>
      </c>
      <c r="D255" s="66" t="n">
        <v>487</v>
      </c>
      <c r="E255" s="66" t="n">
        <v>437</v>
      </c>
      <c r="F255" s="66" t="n">
        <v>541</v>
      </c>
      <c r="G255" s="66" t="n">
        <v>442</v>
      </c>
      <c r="H255" s="66" t="n">
        <v>295</v>
      </c>
      <c r="I255" s="66" t="n">
        <v>621</v>
      </c>
      <c r="J255" s="66" t="n">
        <v>306</v>
      </c>
      <c r="K255" s="66" t="n">
        <v>736</v>
      </c>
      <c r="L255" s="66" t="n">
        <v>739</v>
      </c>
      <c r="M255" s="66" t="n">
        <v>683</v>
      </c>
      <c r="N255" s="66" t="n">
        <v>511</v>
      </c>
      <c r="O255" s="66" t="n">
        <v>476</v>
      </c>
      <c r="P255" s="66" t="n">
        <v>462</v>
      </c>
    </row>
    <row r="256" ht="15.75" customHeight="1" s="45">
      <c r="A256" s="61" t="n">
        <v>46193</v>
      </c>
      <c r="B256" s="82" t="inlineStr">
        <is>
          <t>Pós-Projeto</t>
        </is>
      </c>
      <c r="C256" s="83" t="inlineStr">
        <is>
          <t>Radiografias</t>
        </is>
      </c>
      <c r="D256" s="64" t="n">
        <v>24</v>
      </c>
      <c r="E256" s="64" t="n">
        <v>14</v>
      </c>
      <c r="F256" s="64" t="n">
        <v>17</v>
      </c>
      <c r="G256" s="64" t="n">
        <v>28</v>
      </c>
      <c r="H256" s="64" t="n">
        <v>14</v>
      </c>
      <c r="I256" s="64" t="n">
        <v>24</v>
      </c>
      <c r="J256" s="64" t="n">
        <v>11</v>
      </c>
      <c r="K256" s="64" t="n">
        <v>29</v>
      </c>
      <c r="L256" s="64" t="n">
        <v>14</v>
      </c>
      <c r="M256" s="64" t="n">
        <v>44</v>
      </c>
      <c r="N256" s="64" t="n">
        <v>21</v>
      </c>
      <c r="O256" s="64" t="n">
        <v>29</v>
      </c>
      <c r="P256" s="64" t="n">
        <v>50</v>
      </c>
    </row>
    <row r="257" ht="15.75" customHeight="1" s="45">
      <c r="A257" s="61" t="n">
        <v>46193</v>
      </c>
      <c r="B257" s="82" t="inlineStr">
        <is>
          <t>Pós-Projeto</t>
        </is>
      </c>
      <c r="C257" s="84" t="inlineStr">
        <is>
          <t>Eletrocardiogramas</t>
        </is>
      </c>
      <c r="D257" s="67" t="n">
        <v>0</v>
      </c>
      <c r="E257" s="66" t="n">
        <v>1</v>
      </c>
      <c r="F257" s="67" t="n">
        <v>0</v>
      </c>
      <c r="G257" s="66" t="n">
        <v>2</v>
      </c>
      <c r="H257" s="66" t="n">
        <v>3</v>
      </c>
      <c r="I257" s="66" t="n">
        <v>6</v>
      </c>
      <c r="J257" s="66" t="n">
        <v>1</v>
      </c>
      <c r="K257" s="66" t="n">
        <v>3</v>
      </c>
      <c r="L257" s="67" t="n">
        <v>0</v>
      </c>
      <c r="M257" s="67" t="n">
        <v>0</v>
      </c>
      <c r="N257" s="66" t="n">
        <v>6</v>
      </c>
      <c r="O257" s="67" t="n">
        <v>0</v>
      </c>
      <c r="P257" s="66" t="n">
        <v>2</v>
      </c>
    </row>
    <row r="258" ht="15.75" customHeight="1" s="45">
      <c r="A258" s="61" t="n">
        <v>46193</v>
      </c>
      <c r="B258" s="82" t="inlineStr">
        <is>
          <t>Pós-Projeto</t>
        </is>
      </c>
      <c r="C258" s="85" t="inlineStr">
        <is>
          <t>GAEs Abertas</t>
        </is>
      </c>
      <c r="D258" s="69" t="n">
        <v>200</v>
      </c>
      <c r="E258" s="69" t="n">
        <v>152</v>
      </c>
      <c r="F258" s="69" t="n">
        <v>144</v>
      </c>
      <c r="G258" s="69" t="n">
        <v>96</v>
      </c>
      <c r="H258" s="69" t="n">
        <v>114</v>
      </c>
      <c r="I258" s="69" t="n">
        <v>188</v>
      </c>
      <c r="J258" s="69" t="n">
        <v>121</v>
      </c>
      <c r="K258" s="69" t="n">
        <v>279</v>
      </c>
      <c r="L258" s="69" t="n">
        <v>168</v>
      </c>
      <c r="M258" s="69" t="n">
        <v>223</v>
      </c>
      <c r="N258" s="69" t="n">
        <v>196</v>
      </c>
      <c r="O258" s="69" t="n">
        <v>279</v>
      </c>
      <c r="P258" s="69" t="n">
        <v>235</v>
      </c>
    </row>
    <row r="259" ht="15.75" customHeight="1" s="45">
      <c r="A259" s="61" t="n">
        <v>46193</v>
      </c>
      <c r="B259" s="82" t="inlineStr">
        <is>
          <t>Pós-Projeto</t>
        </is>
      </c>
      <c r="C259" s="85" t="inlineStr">
        <is>
          <t>GAEs Classificadas</t>
        </is>
      </c>
      <c r="D259" s="69" t="n">
        <v>195</v>
      </c>
      <c r="E259" s="69" t="n">
        <v>142</v>
      </c>
      <c r="F259" s="69" t="n">
        <v>143</v>
      </c>
      <c r="G259" s="69" t="n">
        <v>93</v>
      </c>
      <c r="H259" s="69" t="n">
        <v>110</v>
      </c>
      <c r="I259" s="69" t="n">
        <v>166</v>
      </c>
      <c r="J259" s="69" t="n">
        <v>117</v>
      </c>
      <c r="K259" s="69" t="n">
        <v>253</v>
      </c>
      <c r="L259" s="69" t="n">
        <v>159</v>
      </c>
      <c r="M259" s="69" t="n">
        <v>205</v>
      </c>
      <c r="N259" s="69" t="n">
        <v>193</v>
      </c>
      <c r="O259" s="69" t="n">
        <v>267</v>
      </c>
      <c r="P259" s="69" t="n">
        <v>222</v>
      </c>
    </row>
    <row r="260" ht="15.75" customHeight="1" s="45">
      <c r="A260" s="61" t="n">
        <v>46193</v>
      </c>
      <c r="B260" s="82" t="inlineStr">
        <is>
          <t>Pós-Projeto</t>
        </is>
      </c>
      <c r="C260" s="86" t="inlineStr">
        <is>
          <t>Percentual de GAEs abertas classificadas</t>
        </is>
      </c>
      <c r="D260" s="71">
        <f>IFERROR(D259/D258,"-")</f>
        <v/>
      </c>
      <c r="E260" s="71">
        <f>IFERROR(E259/E258,"-")</f>
        <v/>
      </c>
      <c r="F260" s="71">
        <f>IFERROR(F259/F258,"-")</f>
        <v/>
      </c>
      <c r="G260" s="71">
        <f>IFERROR(G259/G258,"-")</f>
        <v/>
      </c>
      <c r="H260" s="71">
        <f>IFERROR(H259/H258,"-")</f>
        <v/>
      </c>
      <c r="I260" s="71">
        <f>IFERROR(I259/I258,"-")</f>
        <v/>
      </c>
      <c r="J260" s="71">
        <f>IFERROR(J259/J258,"-")</f>
        <v/>
      </c>
      <c r="K260" s="71">
        <f>IFERROR(K259/K258,"-")</f>
        <v/>
      </c>
      <c r="L260" s="71">
        <f>IFERROR(L259/L258,"-")</f>
        <v/>
      </c>
      <c r="M260" s="71">
        <f>IFERROR(M259/M258,"-")</f>
        <v/>
      </c>
      <c r="N260" s="71">
        <f>IFERROR(N259/N258,"-")</f>
        <v/>
      </c>
      <c r="O260" s="71">
        <f>IFERROR(O259/O258,"-")</f>
        <v/>
      </c>
      <c r="P260" s="71">
        <f>IFERROR(P259/P258,"-")</f>
        <v/>
      </c>
    </row>
    <row r="261" ht="15.75" customHeight="1" s="45">
      <c r="A261" s="61" t="n">
        <v>46193</v>
      </c>
      <c r="B261" s="82" t="inlineStr">
        <is>
          <t>Pós-Projeto</t>
        </is>
      </c>
      <c r="C261" s="87" t="inlineStr">
        <is>
          <t>Tempo Médio — 🟡 Amarelo (hh:mm)</t>
        </is>
      </c>
      <c r="D261" s="73" t="n">
        <v>0.04675925925925926</v>
      </c>
      <c r="E261" s="73" t="n">
        <v>0.1598032407407407</v>
      </c>
      <c r="F261" s="73" t="n">
        <v>0.09688657407407407</v>
      </c>
      <c r="G261" s="73" t="n">
        <v>0.01768518518518519</v>
      </c>
      <c r="H261" s="73" t="n">
        <v>0.04201388888888889</v>
      </c>
      <c r="I261" s="73" t="n">
        <v>0.04337962962962963</v>
      </c>
      <c r="J261" s="73" t="n">
        <v>0.03135416666666667</v>
      </c>
      <c r="K261" s="73" t="n">
        <v>0.1011342592592593</v>
      </c>
      <c r="L261" s="73" t="n">
        <v>0.1063078703703704</v>
      </c>
      <c r="M261" s="73" t="n">
        <v>0.05415509259259259</v>
      </c>
      <c r="N261" s="73" t="n">
        <v>0.1284259259259259</v>
      </c>
      <c r="O261" s="73" t="n">
        <v>0.02972222222222222</v>
      </c>
      <c r="P261" s="73" t="n">
        <v>0.05084490740740741</v>
      </c>
    </row>
    <row r="262" ht="15.75" customHeight="1" s="45">
      <c r="A262" s="61" t="n">
        <v>46193</v>
      </c>
      <c r="B262" s="82" t="inlineStr">
        <is>
          <t>Pós-Projeto</t>
        </is>
      </c>
      <c r="C262" s="88" t="inlineStr">
        <is>
          <t>Tempo Médio — 🟠 Laranja (hh:mm)</t>
        </is>
      </c>
      <c r="D262" s="75" t="n">
        <v>0.01145833333333333</v>
      </c>
      <c r="E262" s="75" t="n">
        <v>0.01173611111111111</v>
      </c>
      <c r="F262" s="75" t="n">
        <v>0.007002314814814815</v>
      </c>
      <c r="G262" s="75" t="n">
        <v>0.005810185185185186</v>
      </c>
      <c r="H262" s="75" t="n">
        <v>0.01104166666666667</v>
      </c>
      <c r="I262" s="75" t="n">
        <v>0.006203703703703703</v>
      </c>
      <c r="J262" s="75" t="n">
        <v>0.001261574074074074</v>
      </c>
      <c r="K262" s="75" t="n">
        <v>0.02756944444444445</v>
      </c>
      <c r="L262" s="75" t="n">
        <v>0.009166666666666667</v>
      </c>
      <c r="M262" s="75" t="n">
        <v>0.009039351851851852</v>
      </c>
      <c r="N262" s="75" t="n">
        <v>0.01284722222222222</v>
      </c>
      <c r="O262" s="75" t="n">
        <v>0.008252314814814815</v>
      </c>
      <c r="P262" s="75" t="n">
        <v>0.00818287037037037</v>
      </c>
    </row>
    <row r="263" ht="15.75" customHeight="1" s="45">
      <c r="A263" s="76" t="n">
        <v>46193</v>
      </c>
      <c r="B263" s="82" t="inlineStr">
        <is>
          <t>Pós-Projeto</t>
        </is>
      </c>
      <c r="C263" s="91" t="inlineStr">
        <is>
          <t>Tempo Médio — 🟢 Verde   (hh:mm)</t>
        </is>
      </c>
      <c r="D263" s="79" t="n">
        <v>0.07547453703703703</v>
      </c>
      <c r="E263" s="79" t="n">
        <v>0.1855208333333333</v>
      </c>
      <c r="F263" s="79" t="n">
        <v>0.08297453703703704</v>
      </c>
      <c r="G263" s="79" t="n">
        <v>0.0392824074074074</v>
      </c>
      <c r="H263" s="79" t="n">
        <v>0.09230324074074074</v>
      </c>
      <c r="I263" s="79" t="n">
        <v>0.139375</v>
      </c>
      <c r="J263" s="79" t="n">
        <v>0.1232060185185185</v>
      </c>
      <c r="K263" s="79" t="n">
        <v>0.1166435185185185</v>
      </c>
      <c r="L263" s="79" t="n">
        <v>0.1424074074074074</v>
      </c>
      <c r="M263" s="79" t="n">
        <v>0.05310185185185185</v>
      </c>
      <c r="N263" s="79" t="n">
        <v>0.2066435185185185</v>
      </c>
      <c r="O263" s="79" t="n">
        <v>0.05265046296296296</v>
      </c>
      <c r="P263" s="79" t="n">
        <v>0.07734953703703704</v>
      </c>
    </row>
    <row r="264" ht="15.75" customHeight="1" s="45">
      <c r="A264" s="57" t="n">
        <v>46194</v>
      </c>
      <c r="B264" s="81" t="inlineStr">
        <is>
          <t>Pós-Projeto</t>
        </is>
      </c>
      <c r="C264" s="59" t="inlineStr">
        <is>
          <t>Acolhim. + Atend. Urgência + Atend. UPA</t>
        </is>
      </c>
      <c r="D264" s="60">
        <f>SUM(D265:D267)</f>
        <v/>
      </c>
      <c r="E264" s="60">
        <f>SUM(E265:E267)</f>
        <v/>
      </c>
      <c r="F264" s="60">
        <f>SUM(F265:F267)</f>
        <v/>
      </c>
      <c r="G264" s="60">
        <f>SUM(G265:G267)</f>
        <v/>
      </c>
      <c r="H264" s="60">
        <f>SUM(H265:H267)</f>
        <v/>
      </c>
      <c r="I264" s="60">
        <f>SUM(I265:I267)</f>
        <v/>
      </c>
      <c r="J264" s="60">
        <f>SUM(J265:J267)</f>
        <v/>
      </c>
      <c r="K264" s="60">
        <f>SUM(K265:K267)</f>
        <v/>
      </c>
      <c r="L264" s="60">
        <f>SUM(L265:L267)</f>
        <v/>
      </c>
      <c r="M264" s="60">
        <f>SUM(M265:M267)</f>
        <v/>
      </c>
      <c r="N264" s="60">
        <f>SUM(N265:N267)</f>
        <v/>
      </c>
      <c r="O264" s="60">
        <f>SUM(O265:O267)</f>
        <v/>
      </c>
      <c r="P264" s="60">
        <f>SUM(P265:P267)</f>
        <v/>
      </c>
    </row>
    <row r="265" ht="15.75" customHeight="1" s="45">
      <c r="A265" s="61" t="n">
        <v>46194</v>
      </c>
      <c r="B265" s="82" t="inlineStr">
        <is>
          <t>Pós-Projeto</t>
        </is>
      </c>
      <c r="C265" s="83" t="inlineStr">
        <is>
          <t>Acolhimento c/ Classif. de Risco</t>
        </is>
      </c>
      <c r="D265" s="64" t="n">
        <v>170</v>
      </c>
      <c r="E265" s="64" t="n">
        <v>123</v>
      </c>
      <c r="F265" s="64" t="n">
        <v>130</v>
      </c>
      <c r="G265" s="64" t="n">
        <v>102</v>
      </c>
      <c r="H265" s="64" t="n">
        <v>113</v>
      </c>
      <c r="I265" s="64" t="n">
        <v>186</v>
      </c>
      <c r="J265" s="64" t="n">
        <v>98</v>
      </c>
      <c r="K265" s="64" t="n">
        <v>292</v>
      </c>
      <c r="L265" s="64" t="n">
        <v>132</v>
      </c>
      <c r="M265" s="64" t="n">
        <v>207</v>
      </c>
      <c r="N265" s="64" t="n">
        <v>179</v>
      </c>
      <c r="O265" s="64" t="n">
        <v>240</v>
      </c>
      <c r="P265" s="64" t="n">
        <v>221</v>
      </c>
    </row>
    <row r="266" ht="15.75" customHeight="1" s="45">
      <c r="A266" s="61" t="n">
        <v>46194</v>
      </c>
      <c r="B266" s="82" t="inlineStr">
        <is>
          <t>Pós-Projeto</t>
        </is>
      </c>
      <c r="C266" s="84" t="inlineStr">
        <is>
          <t>Atend. Urgência Obs. ≤ 24h</t>
        </is>
      </c>
      <c r="D266" s="66" t="n">
        <v>18</v>
      </c>
      <c r="E266" s="66" t="n">
        <v>23</v>
      </c>
      <c r="F266" s="66" t="n">
        <v>27</v>
      </c>
      <c r="G266" s="66" t="n">
        <v>13</v>
      </c>
      <c r="H266" s="66" t="n">
        <v>2</v>
      </c>
      <c r="I266" s="66" t="n">
        <v>34</v>
      </c>
      <c r="J266" s="66" t="n">
        <v>40</v>
      </c>
      <c r="K266" s="66" t="n">
        <v>45</v>
      </c>
      <c r="L266" s="66" t="n">
        <v>47</v>
      </c>
      <c r="M266" s="66" t="n">
        <v>19</v>
      </c>
      <c r="N266" s="66" t="n">
        <v>56</v>
      </c>
      <c r="O266" s="66" t="n">
        <v>14</v>
      </c>
      <c r="P266" s="66" t="n">
        <v>17</v>
      </c>
    </row>
    <row r="267" ht="15.75" customHeight="1" s="45">
      <c r="A267" s="61" t="n">
        <v>46194</v>
      </c>
      <c r="B267" s="82" t="inlineStr">
        <is>
          <t>Pós-Projeto</t>
        </is>
      </c>
      <c r="C267" s="83" t="inlineStr">
        <is>
          <t>Atend. Médico em UPA</t>
        </is>
      </c>
      <c r="D267" s="64" t="n">
        <v>107</v>
      </c>
      <c r="E267" s="64" t="n">
        <v>62</v>
      </c>
      <c r="F267" s="64" t="n">
        <v>97</v>
      </c>
      <c r="G267" s="64" t="n">
        <v>67</v>
      </c>
      <c r="H267" s="64" t="n">
        <v>75</v>
      </c>
      <c r="I267" s="64" t="n">
        <v>119</v>
      </c>
      <c r="J267" s="64" t="n">
        <v>87</v>
      </c>
      <c r="K267" s="64" t="n">
        <v>173</v>
      </c>
      <c r="L267" s="64" t="n">
        <v>141</v>
      </c>
      <c r="M267" s="64" t="n">
        <v>107</v>
      </c>
      <c r="N267" s="64" t="n">
        <v>105</v>
      </c>
      <c r="O267" s="64" t="n">
        <v>186</v>
      </c>
      <c r="P267" s="64" t="n">
        <v>165</v>
      </c>
    </row>
    <row r="268" ht="15.75" customHeight="1" s="45">
      <c r="A268" s="61" t="n">
        <v>46194</v>
      </c>
      <c r="B268" s="82" t="inlineStr">
        <is>
          <t>Pós-Projeto</t>
        </is>
      </c>
      <c r="C268" s="84" t="inlineStr">
        <is>
          <t>Exames Laboratoriais</t>
        </is>
      </c>
      <c r="D268" s="66" t="n">
        <v>764</v>
      </c>
      <c r="E268" s="66" t="n">
        <v>356</v>
      </c>
      <c r="F268" s="66" t="n">
        <v>560</v>
      </c>
      <c r="G268" s="66" t="n">
        <v>282</v>
      </c>
      <c r="H268" s="66" t="n">
        <v>419</v>
      </c>
      <c r="I268" s="66" t="n">
        <v>500</v>
      </c>
      <c r="J268" s="66" t="n">
        <v>237</v>
      </c>
      <c r="K268" s="66" t="n">
        <v>1013</v>
      </c>
      <c r="L268" s="66" t="n">
        <v>890</v>
      </c>
      <c r="M268" s="66" t="n">
        <v>617</v>
      </c>
      <c r="N268" s="66" t="n">
        <v>1071</v>
      </c>
      <c r="O268" s="66" t="n">
        <v>518</v>
      </c>
      <c r="P268" s="66" t="n">
        <v>447</v>
      </c>
    </row>
    <row r="269" ht="15.75" customHeight="1" s="45">
      <c r="A269" s="61" t="n">
        <v>46194</v>
      </c>
      <c r="B269" s="82" t="inlineStr">
        <is>
          <t>Pós-Projeto</t>
        </is>
      </c>
      <c r="C269" s="83" t="inlineStr">
        <is>
          <t>Radiografias</t>
        </is>
      </c>
      <c r="D269" s="64" t="n">
        <v>16</v>
      </c>
      <c r="E269" s="64" t="n">
        <v>13</v>
      </c>
      <c r="F269" s="64" t="n">
        <v>29</v>
      </c>
      <c r="G269" s="64" t="n">
        <v>10</v>
      </c>
      <c r="H269" s="64" t="n">
        <v>13</v>
      </c>
      <c r="I269" s="64" t="n">
        <v>19</v>
      </c>
      <c r="J269" s="64" t="n">
        <v>14</v>
      </c>
      <c r="K269" s="64" t="n">
        <v>45</v>
      </c>
      <c r="L269" s="64" t="n">
        <v>21</v>
      </c>
      <c r="M269" s="64" t="n">
        <v>41</v>
      </c>
      <c r="N269" s="64" t="n">
        <v>36</v>
      </c>
      <c r="O269" s="64" t="n">
        <v>13</v>
      </c>
      <c r="P269" s="64" t="n">
        <v>60</v>
      </c>
    </row>
    <row r="270" ht="15.75" customHeight="1" s="45">
      <c r="A270" s="61" t="n">
        <v>46194</v>
      </c>
      <c r="B270" s="82" t="inlineStr">
        <is>
          <t>Pós-Projeto</t>
        </is>
      </c>
      <c r="C270" s="84" t="inlineStr">
        <is>
          <t>Eletrocardiogramas</t>
        </is>
      </c>
      <c r="D270" s="67" t="n">
        <v>0</v>
      </c>
      <c r="E270" s="66" t="n">
        <v>1</v>
      </c>
      <c r="F270" s="67" t="n">
        <v>0</v>
      </c>
      <c r="G270" s="67" t="n">
        <v>0</v>
      </c>
      <c r="H270" s="67" t="n">
        <v>0</v>
      </c>
      <c r="I270" s="66" t="n">
        <v>7</v>
      </c>
      <c r="J270" s="67" t="n">
        <v>0</v>
      </c>
      <c r="K270" s="67" t="n">
        <v>0</v>
      </c>
      <c r="L270" s="67" t="n">
        <v>0</v>
      </c>
      <c r="M270" s="67" t="n">
        <v>0</v>
      </c>
      <c r="N270" s="66" t="n">
        <v>6</v>
      </c>
      <c r="O270" s="67" t="n">
        <v>0</v>
      </c>
      <c r="P270" s="66" t="n">
        <v>3</v>
      </c>
    </row>
    <row r="271" ht="15.75" customHeight="1" s="45">
      <c r="A271" s="61" t="n">
        <v>46194</v>
      </c>
      <c r="B271" s="82" t="inlineStr">
        <is>
          <t>Pós-Projeto</t>
        </is>
      </c>
      <c r="C271" s="85" t="inlineStr">
        <is>
          <t>GAEs Abertas</t>
        </is>
      </c>
      <c r="D271" s="69" t="n">
        <v>180</v>
      </c>
      <c r="E271" s="69" t="n">
        <v>153</v>
      </c>
      <c r="F271" s="69" t="n">
        <v>132</v>
      </c>
      <c r="G271" s="69" t="n">
        <v>105</v>
      </c>
      <c r="H271" s="69" t="n">
        <v>116</v>
      </c>
      <c r="I271" s="69" t="n">
        <v>194</v>
      </c>
      <c r="J271" s="69" t="n">
        <v>99</v>
      </c>
      <c r="K271" s="69" t="n">
        <v>306</v>
      </c>
      <c r="L271" s="69" t="n">
        <v>137</v>
      </c>
      <c r="M271" s="69" t="n">
        <v>215</v>
      </c>
      <c r="N271" s="69" t="n">
        <v>187</v>
      </c>
      <c r="O271" s="69" t="n">
        <v>252</v>
      </c>
      <c r="P271" s="69" t="n">
        <v>227</v>
      </c>
    </row>
    <row r="272" ht="15.75" customHeight="1" s="45">
      <c r="A272" s="61" t="n">
        <v>46194</v>
      </c>
      <c r="B272" s="82" t="inlineStr">
        <is>
          <t>Pós-Projeto</t>
        </is>
      </c>
      <c r="C272" s="85" t="inlineStr">
        <is>
          <t>GAEs Classificadas</t>
        </is>
      </c>
      <c r="D272" s="69" t="n">
        <v>168</v>
      </c>
      <c r="E272" s="69" t="n">
        <v>123</v>
      </c>
      <c r="F272" s="69" t="n">
        <v>127</v>
      </c>
      <c r="G272" s="69" t="n">
        <v>103</v>
      </c>
      <c r="H272" s="69" t="n">
        <v>112</v>
      </c>
      <c r="I272" s="69" t="n">
        <v>183</v>
      </c>
      <c r="J272" s="69" t="n">
        <v>98</v>
      </c>
      <c r="K272" s="69" t="n">
        <v>285</v>
      </c>
      <c r="L272" s="69" t="n">
        <v>132</v>
      </c>
      <c r="M272" s="69" t="n">
        <v>206</v>
      </c>
      <c r="N272" s="69" t="n">
        <v>179</v>
      </c>
      <c r="O272" s="69" t="n">
        <v>246</v>
      </c>
      <c r="P272" s="69" t="n">
        <v>219</v>
      </c>
    </row>
    <row r="273" ht="15.75" customHeight="1" s="45">
      <c r="A273" s="61" t="n">
        <v>46194</v>
      </c>
      <c r="B273" s="82" t="inlineStr">
        <is>
          <t>Pós-Projeto</t>
        </is>
      </c>
      <c r="C273" s="86" t="inlineStr">
        <is>
          <t>Percentual de GAEs abertas classificadas</t>
        </is>
      </c>
      <c r="D273" s="71">
        <f>IFERROR(D272/D271,"-")</f>
        <v/>
      </c>
      <c r="E273" s="71">
        <f>IFERROR(E272/E271,"-")</f>
        <v/>
      </c>
      <c r="F273" s="71">
        <f>IFERROR(F272/F271,"-")</f>
        <v/>
      </c>
      <c r="G273" s="71">
        <f>IFERROR(G272/G271,"-")</f>
        <v/>
      </c>
      <c r="H273" s="71">
        <f>IFERROR(H272/H271,"-")</f>
        <v/>
      </c>
      <c r="I273" s="71">
        <f>IFERROR(I272/I271,"-")</f>
        <v/>
      </c>
      <c r="J273" s="71">
        <f>IFERROR(J272/J271,"-")</f>
        <v/>
      </c>
      <c r="K273" s="71">
        <f>IFERROR(K272/K271,"-")</f>
        <v/>
      </c>
      <c r="L273" s="71">
        <f>IFERROR(L272/L271,"-")</f>
        <v/>
      </c>
      <c r="M273" s="71">
        <f>IFERROR(M272/M271,"-")</f>
        <v/>
      </c>
      <c r="N273" s="71">
        <f>IFERROR(N272/N271,"-")</f>
        <v/>
      </c>
      <c r="O273" s="71">
        <f>IFERROR(O272/O271,"-")</f>
        <v/>
      </c>
      <c r="P273" s="71">
        <f>IFERROR(P272/P271,"-")</f>
        <v/>
      </c>
    </row>
    <row r="274" ht="15.75" customHeight="1" s="45">
      <c r="A274" s="61" t="n">
        <v>46194</v>
      </c>
      <c r="B274" s="82" t="inlineStr">
        <is>
          <t>Pós-Projeto</t>
        </is>
      </c>
      <c r="C274" s="87" t="inlineStr">
        <is>
          <t>Tempo Médio — 🟡 Amarelo (hh:mm)</t>
        </is>
      </c>
      <c r="D274" s="73" t="n">
        <v>0.0840162037037037</v>
      </c>
      <c r="E274" s="73" t="n">
        <v>0.03652777777777778</v>
      </c>
      <c r="F274" s="73" t="n">
        <v>0.07524305555555555</v>
      </c>
      <c r="G274" s="73" t="n">
        <v>0.03782407407407407</v>
      </c>
      <c r="H274" s="73" t="n">
        <v>0.06591435185185185</v>
      </c>
      <c r="I274" s="73" t="n">
        <v>0.05575231481481482</v>
      </c>
      <c r="J274" s="73" t="n">
        <v>0.1199537037037037</v>
      </c>
      <c r="K274" s="73" t="n">
        <v>0.09409722222222222</v>
      </c>
      <c r="L274" s="73" t="n">
        <v>0.04423611111111111</v>
      </c>
      <c r="M274" s="73" t="n">
        <v>0.07072916666666666</v>
      </c>
      <c r="N274" s="73" t="n">
        <v>0.07491898148148148</v>
      </c>
      <c r="O274" s="73" t="n">
        <v>0.03716435185185185</v>
      </c>
      <c r="P274" s="73" t="n">
        <v>0.04145833333333333</v>
      </c>
    </row>
    <row r="275" ht="15.75" customHeight="1" s="45">
      <c r="A275" s="61" t="n">
        <v>46194</v>
      </c>
      <c r="B275" s="82" t="inlineStr">
        <is>
          <t>Pós-Projeto</t>
        </is>
      </c>
      <c r="C275" s="88" t="inlineStr">
        <is>
          <t>Tempo Médio — 🟠 Laranja (hh:mm)</t>
        </is>
      </c>
      <c r="D275" s="75" t="n">
        <v>0.016875</v>
      </c>
      <c r="E275" s="75" t="n">
        <v>0.007581018518518518</v>
      </c>
      <c r="F275" s="75" t="n">
        <v>0.006018518518518519</v>
      </c>
      <c r="G275" s="75" t="n">
        <v>0.009895833333333333</v>
      </c>
      <c r="H275" s="75" t="n">
        <v>0.008541666666666666</v>
      </c>
      <c r="I275" s="75" t="n">
        <v>0.006168981481481482</v>
      </c>
      <c r="J275" s="75" t="n">
        <v>0.02006944444444445</v>
      </c>
      <c r="K275" s="75" t="n">
        <v>0.01664351851851852</v>
      </c>
      <c r="L275" s="75" t="n">
        <v>0.01086805555555556</v>
      </c>
      <c r="M275" s="75" t="n">
        <v>0.005358796296296296</v>
      </c>
      <c r="N275" s="75" t="n">
        <v>0.01681712962962963</v>
      </c>
      <c r="O275" s="75" t="n">
        <v>0.0078125</v>
      </c>
      <c r="P275" s="75" t="n">
        <v>0.01070601851851852</v>
      </c>
    </row>
    <row r="276" ht="15.75" customHeight="1" s="45">
      <c r="A276" s="76" t="n">
        <v>46194</v>
      </c>
      <c r="B276" s="82" t="inlineStr">
        <is>
          <t>Pós-Projeto</t>
        </is>
      </c>
      <c r="C276" s="91" t="inlineStr">
        <is>
          <t>Tempo Médio — 🟢 Verde   (hh:mm)</t>
        </is>
      </c>
      <c r="D276" s="79" t="n">
        <v>0.05912037037037037</v>
      </c>
      <c r="E276" s="79" t="n">
        <v>0.03805555555555556</v>
      </c>
      <c r="F276" s="79" t="n">
        <v>0.1599074074074074</v>
      </c>
      <c r="G276" s="79" t="n">
        <v>0.08079861111111111</v>
      </c>
      <c r="H276" s="79" t="n">
        <v>0.1690740740740741</v>
      </c>
      <c r="I276" s="79" t="n">
        <v>0.1819675925925926</v>
      </c>
      <c r="J276" s="79" t="n">
        <v>0.1532986111111111</v>
      </c>
      <c r="K276" s="79" t="n">
        <v>0.1572453703703704</v>
      </c>
      <c r="L276" s="79" t="n">
        <v>0.1443865740740741</v>
      </c>
      <c r="M276" s="79" t="n">
        <v>0.1059027777777778</v>
      </c>
      <c r="N276" s="79" t="n">
        <v>0.1479513888888889</v>
      </c>
      <c r="O276" s="79" t="n">
        <v>0.09319444444444444</v>
      </c>
      <c r="P276" s="79" t="n">
        <v>0.09342592592592593</v>
      </c>
    </row>
    <row r="277" ht="15.75" customHeight="1" s="45">
      <c r="A277" s="57" t="n">
        <v>46195</v>
      </c>
      <c r="B277" s="81" t="inlineStr">
        <is>
          <t>Pós-Projeto</t>
        </is>
      </c>
      <c r="C277" s="59" t="inlineStr">
        <is>
          <t>Acolhim. + Atend. Urgência + Atend. UPA</t>
        </is>
      </c>
      <c r="D277" s="60">
        <f>SUM(D278:D280)</f>
        <v/>
      </c>
      <c r="E277" s="60">
        <f>SUM(E278:E280)</f>
        <v/>
      </c>
      <c r="F277" s="60">
        <f>SUM(F278:F280)</f>
        <v/>
      </c>
      <c r="G277" s="60">
        <f>SUM(G278:G280)</f>
        <v/>
      </c>
      <c r="H277" s="60">
        <f>SUM(H278:H280)</f>
        <v/>
      </c>
      <c r="I277" s="60">
        <f>SUM(I278:I280)</f>
        <v/>
      </c>
      <c r="J277" s="60">
        <f>SUM(J278:J280)</f>
        <v/>
      </c>
      <c r="K277" s="60">
        <f>SUM(K278:K280)</f>
        <v/>
      </c>
      <c r="L277" s="60">
        <f>SUM(L278:L280)</f>
        <v/>
      </c>
      <c r="M277" s="60">
        <f>SUM(M278:M280)</f>
        <v/>
      </c>
      <c r="N277" s="60">
        <f>SUM(N278:N280)</f>
        <v/>
      </c>
      <c r="O277" s="60">
        <f>SUM(O278:O280)</f>
        <v/>
      </c>
      <c r="P277" s="60">
        <f>SUM(P278:P280)</f>
        <v/>
      </c>
    </row>
    <row r="278" ht="15.75" customHeight="1" s="45">
      <c r="A278" s="61" t="n">
        <v>46195</v>
      </c>
      <c r="B278" s="82" t="inlineStr">
        <is>
          <t>Pós-Projeto</t>
        </is>
      </c>
      <c r="C278" s="83" t="inlineStr">
        <is>
          <t>Acolhimento c/ Classif. de Risco</t>
        </is>
      </c>
      <c r="D278" s="64" t="n">
        <v>265</v>
      </c>
      <c r="E278" s="64" t="n">
        <v>188</v>
      </c>
      <c r="F278" s="64" t="n">
        <v>180</v>
      </c>
      <c r="G278" s="64" t="n">
        <v>178</v>
      </c>
      <c r="H278" s="64" t="n">
        <v>174</v>
      </c>
      <c r="I278" s="64" t="n">
        <v>247</v>
      </c>
      <c r="J278" s="64" t="n">
        <v>162</v>
      </c>
      <c r="K278" s="64" t="n">
        <v>340</v>
      </c>
      <c r="L278" s="64" t="n">
        <v>160</v>
      </c>
      <c r="M278" s="64" t="n">
        <v>281</v>
      </c>
      <c r="N278" s="64" t="n">
        <v>241</v>
      </c>
      <c r="O278" s="64" t="n">
        <v>324</v>
      </c>
      <c r="P278" s="64" t="n">
        <v>298</v>
      </c>
    </row>
    <row r="279" ht="15.75" customHeight="1" s="45">
      <c r="A279" s="61" t="n">
        <v>46195</v>
      </c>
      <c r="B279" s="82" t="inlineStr">
        <is>
          <t>Pós-Projeto</t>
        </is>
      </c>
      <c r="C279" s="84" t="inlineStr">
        <is>
          <t>Atend. Urgência Obs. ≤ 24h</t>
        </is>
      </c>
      <c r="D279" s="66" t="n">
        <v>11</v>
      </c>
      <c r="E279" s="66" t="n">
        <v>24</v>
      </c>
      <c r="F279" s="66" t="n">
        <v>22</v>
      </c>
      <c r="G279" s="66" t="n">
        <v>11</v>
      </c>
      <c r="H279" s="66" t="n">
        <v>3</v>
      </c>
      <c r="I279" s="66" t="n">
        <v>18</v>
      </c>
      <c r="J279" s="66" t="n">
        <v>68</v>
      </c>
      <c r="K279" s="66" t="n">
        <v>41</v>
      </c>
      <c r="L279" s="66" t="n">
        <v>29</v>
      </c>
      <c r="M279" s="66" t="n">
        <v>7</v>
      </c>
      <c r="N279" s="66" t="n">
        <v>40</v>
      </c>
      <c r="O279" s="66" t="n">
        <v>23</v>
      </c>
      <c r="P279" s="66" t="n">
        <v>13</v>
      </c>
    </row>
    <row r="280" ht="15.75" customHeight="1" s="45">
      <c r="A280" s="61" t="n">
        <v>46195</v>
      </c>
      <c r="B280" s="82" t="inlineStr">
        <is>
          <t>Pós-Projeto</t>
        </is>
      </c>
      <c r="C280" s="83" t="inlineStr">
        <is>
          <t>Atend. Médico em UPA</t>
        </is>
      </c>
      <c r="D280" s="64" t="n">
        <v>152</v>
      </c>
      <c r="E280" s="64" t="n">
        <v>85</v>
      </c>
      <c r="F280" s="64" t="n">
        <v>135</v>
      </c>
      <c r="G280" s="64" t="n">
        <v>124</v>
      </c>
      <c r="H280" s="64" t="n">
        <v>92</v>
      </c>
      <c r="I280" s="64" t="n">
        <v>169</v>
      </c>
      <c r="J280" s="64" t="n">
        <v>129</v>
      </c>
      <c r="K280" s="64" t="n">
        <v>251</v>
      </c>
      <c r="L280" s="64" t="n">
        <v>97</v>
      </c>
      <c r="M280" s="64" t="n">
        <v>174</v>
      </c>
      <c r="N280" s="64" t="n">
        <v>204</v>
      </c>
      <c r="O280" s="64" t="n">
        <v>283</v>
      </c>
      <c r="P280" s="64" t="n">
        <v>157</v>
      </c>
    </row>
    <row r="281" ht="15.75" customHeight="1" s="45">
      <c r="A281" s="61" t="n">
        <v>46195</v>
      </c>
      <c r="B281" s="82" t="inlineStr">
        <is>
          <t>Pós-Projeto</t>
        </is>
      </c>
      <c r="C281" s="84" t="inlineStr">
        <is>
          <t>Exames Laboratoriais</t>
        </is>
      </c>
      <c r="D281" s="66" t="n">
        <v>597</v>
      </c>
      <c r="E281" s="66" t="n">
        <v>479</v>
      </c>
      <c r="F281" s="66" t="n">
        <v>743</v>
      </c>
      <c r="G281" s="66" t="n">
        <v>372</v>
      </c>
      <c r="H281" s="66" t="n">
        <v>434</v>
      </c>
      <c r="I281" s="66" t="n">
        <v>662</v>
      </c>
      <c r="J281" s="66" t="n">
        <v>457</v>
      </c>
      <c r="K281" s="66" t="n">
        <v>1146</v>
      </c>
      <c r="L281" s="66" t="n">
        <v>989</v>
      </c>
      <c r="M281" s="66" t="n">
        <v>802</v>
      </c>
      <c r="N281" s="66" t="n">
        <v>613</v>
      </c>
      <c r="O281" s="66" t="n">
        <v>509</v>
      </c>
      <c r="P281" s="66" t="n">
        <v>575</v>
      </c>
    </row>
    <row r="282" ht="15.75" customHeight="1" s="45">
      <c r="A282" s="61" t="n">
        <v>46195</v>
      </c>
      <c r="B282" s="82" t="inlineStr">
        <is>
          <t>Pós-Projeto</t>
        </is>
      </c>
      <c r="C282" s="83" t="inlineStr">
        <is>
          <t>Radiografias</t>
        </is>
      </c>
      <c r="D282" s="64" t="n">
        <v>27</v>
      </c>
      <c r="E282" s="64" t="n">
        <v>13</v>
      </c>
      <c r="F282" s="64" t="n">
        <v>31</v>
      </c>
      <c r="G282" s="64" t="n">
        <v>33</v>
      </c>
      <c r="H282" s="64" t="n">
        <v>12</v>
      </c>
      <c r="I282" s="64" t="n">
        <v>45</v>
      </c>
      <c r="J282" s="64" t="n">
        <v>25</v>
      </c>
      <c r="K282" s="64" t="n">
        <v>58</v>
      </c>
      <c r="L282" s="64" t="n">
        <v>26</v>
      </c>
      <c r="M282" s="64" t="n">
        <v>74</v>
      </c>
      <c r="N282" s="64" t="n">
        <v>40</v>
      </c>
      <c r="O282" s="64" t="n">
        <v>42</v>
      </c>
      <c r="P282" s="64" t="n">
        <v>62</v>
      </c>
    </row>
    <row r="283" ht="15.75" customHeight="1" s="45">
      <c r="A283" s="61" t="n">
        <v>46195</v>
      </c>
      <c r="B283" s="82" t="inlineStr">
        <is>
          <t>Pós-Projeto</t>
        </is>
      </c>
      <c r="C283" s="84" t="inlineStr">
        <is>
          <t>Eletrocardiogramas</t>
        </is>
      </c>
      <c r="D283" s="66" t="n">
        <v>10</v>
      </c>
      <c r="E283" s="67" t="n">
        <v>0</v>
      </c>
      <c r="F283" s="66" t="n">
        <v>20</v>
      </c>
      <c r="G283" s="67" t="n">
        <v>0</v>
      </c>
      <c r="H283" s="67" t="n">
        <v>0</v>
      </c>
      <c r="I283" s="67" t="n">
        <v>0</v>
      </c>
      <c r="J283" s="67" t="n">
        <v>0</v>
      </c>
      <c r="K283" s="66" t="n">
        <v>10</v>
      </c>
      <c r="L283" s="66" t="n">
        <v>14</v>
      </c>
      <c r="M283" s="67" t="n">
        <v>0</v>
      </c>
      <c r="N283" s="66" t="n">
        <v>6</v>
      </c>
      <c r="O283" s="67" t="n">
        <v>0</v>
      </c>
      <c r="P283" s="66" t="n">
        <v>1</v>
      </c>
    </row>
    <row r="284" ht="15.75" customHeight="1" s="45">
      <c r="A284" s="61" t="n">
        <v>46195</v>
      </c>
      <c r="B284" s="82" t="inlineStr">
        <is>
          <t>Pós-Projeto</t>
        </is>
      </c>
      <c r="C284" s="85" t="inlineStr">
        <is>
          <t>GAEs Abertas</t>
        </is>
      </c>
      <c r="D284" s="69" t="n">
        <v>294</v>
      </c>
      <c r="E284" s="69" t="n">
        <v>195</v>
      </c>
      <c r="F284" s="69" t="n">
        <v>190</v>
      </c>
      <c r="G284" s="69" t="n">
        <v>182</v>
      </c>
      <c r="H284" s="69" t="n">
        <v>188</v>
      </c>
      <c r="I284" s="69" t="n">
        <v>266</v>
      </c>
      <c r="J284" s="69" t="n">
        <v>171</v>
      </c>
      <c r="K284" s="69" t="n">
        <v>377</v>
      </c>
      <c r="L284" s="69" t="n">
        <v>168</v>
      </c>
      <c r="M284" s="69" t="n">
        <v>293</v>
      </c>
      <c r="N284" s="69" t="n">
        <v>247</v>
      </c>
      <c r="O284" s="69" t="n">
        <v>334</v>
      </c>
      <c r="P284" s="69" t="n">
        <v>311</v>
      </c>
    </row>
    <row r="285" ht="15.75" customHeight="1" s="45">
      <c r="A285" s="61" t="n">
        <v>46195</v>
      </c>
      <c r="B285" s="82" t="inlineStr">
        <is>
          <t>Pós-Projeto</t>
        </is>
      </c>
      <c r="C285" s="85" t="inlineStr">
        <is>
          <t>GAEs Classificadas</t>
        </is>
      </c>
      <c r="D285" s="69" t="n">
        <v>265</v>
      </c>
      <c r="E285" s="69" t="n">
        <v>188</v>
      </c>
      <c r="F285" s="69" t="n">
        <v>179</v>
      </c>
      <c r="G285" s="69" t="n">
        <v>178</v>
      </c>
      <c r="H285" s="69" t="n">
        <v>175</v>
      </c>
      <c r="I285" s="69" t="n">
        <v>246</v>
      </c>
      <c r="J285" s="69" t="n">
        <v>163</v>
      </c>
      <c r="K285" s="69" t="n">
        <v>345</v>
      </c>
      <c r="L285" s="69" t="n">
        <v>159</v>
      </c>
      <c r="M285" s="69" t="n">
        <v>285</v>
      </c>
      <c r="N285" s="69" t="n">
        <v>241</v>
      </c>
      <c r="O285" s="69" t="n">
        <v>318</v>
      </c>
      <c r="P285" s="69" t="n">
        <v>298</v>
      </c>
    </row>
    <row r="286" ht="15.75" customHeight="1" s="45">
      <c r="A286" s="61" t="n">
        <v>46195</v>
      </c>
      <c r="B286" s="82" t="inlineStr">
        <is>
          <t>Pós-Projeto</t>
        </is>
      </c>
      <c r="C286" s="86" t="inlineStr">
        <is>
          <t>Percentual de GAEs abertas classificadas</t>
        </is>
      </c>
      <c r="D286" s="71">
        <f>IFERROR(D285/D284,"-")</f>
        <v/>
      </c>
      <c r="E286" s="71">
        <f>IFERROR(E285/E284,"-")</f>
        <v/>
      </c>
      <c r="F286" s="71">
        <f>IFERROR(F285/F284,"-")</f>
        <v/>
      </c>
      <c r="G286" s="71">
        <f>IFERROR(G285/G284,"-")</f>
        <v/>
      </c>
      <c r="H286" s="71">
        <f>IFERROR(H285/H284,"-")</f>
        <v/>
      </c>
      <c r="I286" s="71">
        <f>IFERROR(I285/I284,"-")</f>
        <v/>
      </c>
      <c r="J286" s="71">
        <f>IFERROR(J285/J284,"-")</f>
        <v/>
      </c>
      <c r="K286" s="71">
        <f>IFERROR(K285/K284,"-")</f>
        <v/>
      </c>
      <c r="L286" s="71">
        <f>IFERROR(L285/L284,"-")</f>
        <v/>
      </c>
      <c r="M286" s="71">
        <f>IFERROR(M285/M284,"-")</f>
        <v/>
      </c>
      <c r="N286" s="71">
        <f>IFERROR(N285/N284,"-")</f>
        <v/>
      </c>
      <c r="O286" s="71">
        <f>IFERROR(O285/O284,"-")</f>
        <v/>
      </c>
      <c r="P286" s="71">
        <f>IFERROR(P285/P284,"-")</f>
        <v/>
      </c>
    </row>
    <row r="287" ht="15.75" customHeight="1" s="45">
      <c r="A287" s="61" t="n">
        <v>46195</v>
      </c>
      <c r="B287" s="82" t="inlineStr">
        <is>
          <t>Pós-Projeto</t>
        </is>
      </c>
      <c r="C287" s="87" t="inlineStr">
        <is>
          <t>Tempo Médio — 🟡 Amarelo (hh:mm)</t>
        </is>
      </c>
      <c r="D287" s="73" t="n">
        <v>0.1194328703703704</v>
      </c>
      <c r="E287" s="73" t="n">
        <v>0.1962847222222222</v>
      </c>
      <c r="F287" s="73" t="n">
        <v>0.05564814814814815</v>
      </c>
      <c r="G287" s="73" t="n">
        <v>0.03679398148148148</v>
      </c>
      <c r="H287" s="73" t="n">
        <v>0.08219907407407408</v>
      </c>
      <c r="I287" s="73" t="n">
        <v>0.03202546296296296</v>
      </c>
      <c r="J287" s="73" t="n">
        <v>0.06302083333333333</v>
      </c>
      <c r="K287" s="73" t="n">
        <v>0.08342592592592593</v>
      </c>
      <c r="L287" s="73" t="n">
        <v>0.07476851851851851</v>
      </c>
      <c r="M287" s="73" t="n">
        <v>0.03490740740740741</v>
      </c>
      <c r="N287" s="73" t="n">
        <v>0.07751157407407408</v>
      </c>
      <c r="O287" s="73" t="n">
        <v>0.05827546296296297</v>
      </c>
      <c r="P287" s="73" t="n">
        <v>0.09883101851851851</v>
      </c>
    </row>
    <row r="288" ht="15.75" customHeight="1" s="45">
      <c r="A288" s="61" t="n">
        <v>46195</v>
      </c>
      <c r="B288" s="82" t="inlineStr">
        <is>
          <t>Pós-Projeto</t>
        </is>
      </c>
      <c r="C288" s="88" t="inlineStr">
        <is>
          <t>Tempo Médio — 🟠 Laranja (hh:mm)</t>
        </is>
      </c>
      <c r="D288" s="75" t="n">
        <v>0.01173611111111111</v>
      </c>
      <c r="E288" s="75" t="n">
        <v>0.01456018518518518</v>
      </c>
      <c r="F288" s="75" t="n">
        <v>0.009097222222222222</v>
      </c>
      <c r="G288" s="75" t="n">
        <v>0.003854166666666667</v>
      </c>
      <c r="H288" s="75" t="n">
        <v>0.01206018518518519</v>
      </c>
      <c r="I288" s="75" t="n">
        <v>0.07913194444444445</v>
      </c>
      <c r="J288" s="75" t="n">
        <v>0.007731481481481482</v>
      </c>
      <c r="K288" s="75" t="n">
        <v>0.01378472222222222</v>
      </c>
      <c r="L288" s="75" t="n">
        <v>0.009421296296296296</v>
      </c>
      <c r="M288" s="75" t="n">
        <v>0.01017361111111111</v>
      </c>
      <c r="N288" s="75" t="n">
        <v>0.01247685185185185</v>
      </c>
      <c r="O288" s="75" t="n">
        <v>0.009108796296296297</v>
      </c>
      <c r="P288" s="75" t="n">
        <v>0.02039351851851852</v>
      </c>
    </row>
    <row r="289" ht="15.75" customHeight="1" s="45">
      <c r="A289" s="76" t="n">
        <v>46195</v>
      </c>
      <c r="B289" s="82" t="inlineStr">
        <is>
          <t>Pós-Projeto</t>
        </is>
      </c>
      <c r="C289" s="91" t="inlineStr">
        <is>
          <t>Tempo Médio — 🟢 Verde   (hh:mm)</t>
        </is>
      </c>
      <c r="D289" s="79" t="n">
        <v>0.0518287037037037</v>
      </c>
      <c r="E289" s="79" t="n">
        <v>0.1021180555555556</v>
      </c>
      <c r="F289" s="79" t="n">
        <v>0.1625231481481481</v>
      </c>
      <c r="G289" s="79" t="n">
        <v>0.06878472222222222</v>
      </c>
      <c r="H289" s="79" t="n">
        <v>0.09888888888888889</v>
      </c>
      <c r="I289" s="79" t="n">
        <v>0.1290509259259259</v>
      </c>
      <c r="J289" s="79" t="n">
        <v>0.07440972222222222</v>
      </c>
      <c r="K289" s="79" t="n">
        <v>0.09631944444444444</v>
      </c>
      <c r="L289" s="79" t="n">
        <v>0.1824537037037037</v>
      </c>
      <c r="M289" s="79" t="n">
        <v>0.06130787037037037</v>
      </c>
      <c r="N289" s="79" t="n">
        <v>0.09193287037037037</v>
      </c>
      <c r="O289" s="79" t="n">
        <v>0.09291666666666666</v>
      </c>
      <c r="P289" s="79" t="n">
        <v>0.1198842592592593</v>
      </c>
    </row>
    <row r="290" ht="15.75" customHeight="1" s="45">
      <c r="A290" s="57" t="n">
        <v>46196</v>
      </c>
      <c r="B290" s="81" t="inlineStr">
        <is>
          <t>Pós-Projeto</t>
        </is>
      </c>
      <c r="C290" s="59" t="inlineStr">
        <is>
          <t>Acolhim. + Atend. Urgência + Atend. UPA</t>
        </is>
      </c>
      <c r="D290" s="60">
        <f>SUM(D291:D293)</f>
        <v/>
      </c>
      <c r="E290" s="60">
        <f>SUM(E291:E293)</f>
        <v/>
      </c>
      <c r="F290" s="60">
        <f>SUM(F291:F293)</f>
        <v/>
      </c>
      <c r="G290" s="60">
        <f>SUM(G291:G293)</f>
        <v/>
      </c>
      <c r="H290" s="60">
        <f>SUM(H291:H293)</f>
        <v/>
      </c>
      <c r="I290" s="60">
        <f>SUM(I291:I293)</f>
        <v/>
      </c>
      <c r="J290" s="60">
        <f>SUM(J291:J293)</f>
        <v/>
      </c>
      <c r="K290" s="60">
        <f>SUM(K291:K293)</f>
        <v/>
      </c>
      <c r="L290" s="60">
        <f>SUM(L291:L293)</f>
        <v/>
      </c>
      <c r="M290" s="60">
        <f>SUM(M291:M293)</f>
        <v/>
      </c>
      <c r="N290" s="60">
        <f>SUM(N291:N293)</f>
        <v/>
      </c>
      <c r="O290" s="60">
        <f>SUM(O291:O293)</f>
        <v/>
      </c>
      <c r="P290" s="60">
        <f>SUM(P291:P293)</f>
        <v/>
      </c>
    </row>
    <row r="291" ht="15.75" customHeight="1" s="45">
      <c r="A291" s="61" t="n">
        <v>46196</v>
      </c>
      <c r="B291" s="82" t="inlineStr">
        <is>
          <t>Pós-Projeto</t>
        </is>
      </c>
      <c r="C291" s="83" t="inlineStr">
        <is>
          <t>Acolhimento c/ Classif. de Risco</t>
        </is>
      </c>
      <c r="D291" s="64" t="n">
        <v>240</v>
      </c>
      <c r="E291" s="64" t="n">
        <v>192</v>
      </c>
      <c r="F291" s="64" t="n">
        <v>156</v>
      </c>
      <c r="G291" s="64" t="n">
        <v>164</v>
      </c>
      <c r="H291" s="64" t="n">
        <v>136</v>
      </c>
      <c r="I291" s="64" t="n">
        <v>191</v>
      </c>
      <c r="J291" s="64" t="n">
        <v>155</v>
      </c>
      <c r="K291" s="64" t="n">
        <v>325</v>
      </c>
      <c r="L291" s="64" t="n">
        <v>149</v>
      </c>
      <c r="M291" s="64" t="n">
        <v>285</v>
      </c>
      <c r="N291" s="64" t="n">
        <v>226</v>
      </c>
      <c r="O291" s="64" t="n">
        <v>315</v>
      </c>
      <c r="P291" s="64" t="n">
        <v>240</v>
      </c>
    </row>
    <row r="292" ht="15.75" customHeight="1" s="45">
      <c r="A292" s="61" t="n">
        <v>46196</v>
      </c>
      <c r="B292" s="82" t="inlineStr">
        <is>
          <t>Pós-Projeto</t>
        </is>
      </c>
      <c r="C292" s="84" t="inlineStr">
        <is>
          <t>Atend. Urgência Obs. ≤ 24h</t>
        </is>
      </c>
      <c r="D292" s="66" t="n">
        <v>26</v>
      </c>
      <c r="E292" s="66" t="n">
        <v>24</v>
      </c>
      <c r="F292" s="66" t="n">
        <v>20</v>
      </c>
      <c r="G292" s="66" t="n">
        <v>9</v>
      </c>
      <c r="H292" s="66" t="n">
        <v>3</v>
      </c>
      <c r="I292" s="66" t="n">
        <v>18</v>
      </c>
      <c r="J292" s="66" t="n">
        <v>38</v>
      </c>
      <c r="K292" s="66" t="n">
        <v>35</v>
      </c>
      <c r="L292" s="66" t="n">
        <v>35</v>
      </c>
      <c r="M292" s="66" t="n">
        <v>48</v>
      </c>
      <c r="N292" s="66" t="n">
        <v>33</v>
      </c>
      <c r="O292" s="66" t="n">
        <v>22</v>
      </c>
      <c r="P292" s="66" t="n">
        <v>16</v>
      </c>
    </row>
    <row r="293" ht="15.75" customHeight="1" s="45">
      <c r="A293" s="61" t="n">
        <v>46196</v>
      </c>
      <c r="B293" s="82" t="inlineStr">
        <is>
          <t>Pós-Projeto</t>
        </is>
      </c>
      <c r="C293" s="83" t="inlineStr">
        <is>
          <t>Atend. Médico em UPA</t>
        </is>
      </c>
      <c r="D293" s="64" t="n">
        <v>197</v>
      </c>
      <c r="E293" s="64" t="n">
        <v>176</v>
      </c>
      <c r="F293" s="64" t="n">
        <v>100</v>
      </c>
      <c r="G293" s="64" t="n">
        <v>101</v>
      </c>
      <c r="H293" s="64" t="n">
        <v>82</v>
      </c>
      <c r="I293" s="64" t="n">
        <v>131</v>
      </c>
      <c r="J293" s="64" t="n">
        <v>85</v>
      </c>
      <c r="K293" s="64" t="n">
        <v>243</v>
      </c>
      <c r="L293" s="64" t="n">
        <v>123</v>
      </c>
      <c r="M293" s="64" t="n">
        <v>227</v>
      </c>
      <c r="N293" s="64" t="n">
        <v>162</v>
      </c>
      <c r="O293" s="64" t="n">
        <v>214</v>
      </c>
      <c r="P293" s="64" t="n">
        <v>115</v>
      </c>
    </row>
    <row r="294" ht="15.75" customHeight="1" s="45">
      <c r="A294" s="61" t="n">
        <v>46196</v>
      </c>
      <c r="B294" s="82" t="inlineStr">
        <is>
          <t>Pós-Projeto</t>
        </is>
      </c>
      <c r="C294" s="84" t="inlineStr">
        <is>
          <t>Exames Laboratoriais</t>
        </is>
      </c>
      <c r="D294" s="66" t="n">
        <v>1011</v>
      </c>
      <c r="E294" s="66" t="n">
        <v>648</v>
      </c>
      <c r="F294" s="66" t="n">
        <v>749</v>
      </c>
      <c r="G294" s="66" t="n">
        <v>524</v>
      </c>
      <c r="H294" s="66" t="n">
        <v>439</v>
      </c>
      <c r="I294" s="66" t="n">
        <v>504</v>
      </c>
      <c r="J294" s="66" t="n">
        <v>417</v>
      </c>
      <c r="K294" s="66" t="n">
        <v>1187</v>
      </c>
      <c r="L294" s="66" t="n">
        <v>880</v>
      </c>
      <c r="M294" s="66" t="n">
        <v>1046</v>
      </c>
      <c r="N294" s="66" t="n">
        <v>858</v>
      </c>
      <c r="O294" s="66" t="n">
        <v>662</v>
      </c>
      <c r="P294" s="66" t="n">
        <v>940</v>
      </c>
    </row>
    <row r="295" ht="15.75" customHeight="1" s="45">
      <c r="A295" s="61" t="n">
        <v>46196</v>
      </c>
      <c r="B295" s="82" t="inlineStr">
        <is>
          <t>Pós-Projeto</t>
        </is>
      </c>
      <c r="C295" s="83" t="inlineStr">
        <is>
          <t>Radiografias</t>
        </is>
      </c>
      <c r="D295" s="64" t="n">
        <v>32</v>
      </c>
      <c r="E295" s="64" t="n">
        <v>46</v>
      </c>
      <c r="F295" s="64" t="n">
        <v>33</v>
      </c>
      <c r="G295" s="64" t="n">
        <v>29</v>
      </c>
      <c r="H295" s="64" t="n">
        <v>23</v>
      </c>
      <c r="I295" s="64" t="n">
        <v>24</v>
      </c>
      <c r="J295" s="64" t="n">
        <v>31</v>
      </c>
      <c r="K295" s="64" t="n">
        <v>66</v>
      </c>
      <c r="L295" s="64" t="n">
        <v>34</v>
      </c>
      <c r="M295" s="64" t="n">
        <v>64</v>
      </c>
      <c r="N295" s="64" t="n">
        <v>40</v>
      </c>
      <c r="O295" s="64" t="n">
        <v>72</v>
      </c>
      <c r="P295" s="64" t="n">
        <v>51</v>
      </c>
    </row>
    <row r="296" ht="15.75" customHeight="1" s="45">
      <c r="A296" s="61" t="n">
        <v>46196</v>
      </c>
      <c r="B296" s="82" t="inlineStr">
        <is>
          <t>Pós-Projeto</t>
        </is>
      </c>
      <c r="C296" s="84" t="inlineStr">
        <is>
          <t>Eletrocardiogramas</t>
        </is>
      </c>
      <c r="D296" s="66" t="n">
        <v>31</v>
      </c>
      <c r="E296" s="66" t="n">
        <v>1</v>
      </c>
      <c r="F296" s="66" t="n">
        <v>6</v>
      </c>
      <c r="G296" s="66" t="n">
        <v>1</v>
      </c>
      <c r="H296" s="67" t="n">
        <v>0</v>
      </c>
      <c r="I296" s="67" t="n">
        <v>0</v>
      </c>
      <c r="J296" s="67" t="n">
        <v>0</v>
      </c>
      <c r="K296" s="66" t="n">
        <v>1</v>
      </c>
      <c r="L296" s="66" t="n">
        <v>12</v>
      </c>
      <c r="M296" s="67" t="n">
        <v>0</v>
      </c>
      <c r="N296" s="66" t="n">
        <v>11</v>
      </c>
      <c r="O296" s="67" t="n">
        <v>0</v>
      </c>
      <c r="P296" s="66" t="n">
        <v>2</v>
      </c>
    </row>
    <row r="297" ht="15.75" customHeight="1" s="45">
      <c r="A297" s="61" t="n">
        <v>46196</v>
      </c>
      <c r="B297" s="82" t="inlineStr">
        <is>
          <t>Pós-Projeto</t>
        </is>
      </c>
      <c r="C297" s="85" t="inlineStr">
        <is>
          <t>GAEs Abertas</t>
        </is>
      </c>
      <c r="D297" s="69" t="n">
        <v>256</v>
      </c>
      <c r="E297" s="69" t="n">
        <v>203</v>
      </c>
      <c r="F297" s="69" t="n">
        <v>158</v>
      </c>
      <c r="G297" s="69" t="n">
        <v>173</v>
      </c>
      <c r="H297" s="69" t="n">
        <v>140</v>
      </c>
      <c r="I297" s="69" t="n">
        <v>208</v>
      </c>
      <c r="J297" s="69" t="n">
        <v>162</v>
      </c>
      <c r="K297" s="69" t="n">
        <v>368</v>
      </c>
      <c r="L297" s="69" t="n">
        <v>164</v>
      </c>
      <c r="M297" s="69" t="n">
        <v>297</v>
      </c>
      <c r="N297" s="69" t="n">
        <v>233</v>
      </c>
      <c r="O297" s="69" t="n">
        <v>343</v>
      </c>
      <c r="P297" s="69" t="n">
        <v>243</v>
      </c>
    </row>
    <row r="298" ht="15.75" customHeight="1" s="45">
      <c r="A298" s="61" t="n">
        <v>46196</v>
      </c>
      <c r="B298" s="82" t="inlineStr">
        <is>
          <t>Pós-Projeto</t>
        </is>
      </c>
      <c r="C298" s="85" t="inlineStr">
        <is>
          <t>GAEs Classificadas</t>
        </is>
      </c>
      <c r="D298" s="69" t="n">
        <v>240</v>
      </c>
      <c r="E298" s="69" t="n">
        <v>192</v>
      </c>
      <c r="F298" s="69" t="n">
        <v>156</v>
      </c>
      <c r="G298" s="69" t="n">
        <v>163</v>
      </c>
      <c r="H298" s="69" t="n">
        <v>134</v>
      </c>
      <c r="I298" s="69" t="n">
        <v>190</v>
      </c>
      <c r="J298" s="69" t="n">
        <v>157</v>
      </c>
      <c r="K298" s="69" t="n">
        <v>321</v>
      </c>
      <c r="L298" s="69" t="n">
        <v>149</v>
      </c>
      <c r="M298" s="69" t="n">
        <v>280</v>
      </c>
      <c r="N298" s="69" t="n">
        <v>228</v>
      </c>
      <c r="O298" s="69" t="n">
        <v>320</v>
      </c>
      <c r="P298" s="69" t="n">
        <v>238</v>
      </c>
    </row>
    <row r="299" ht="15.75" customHeight="1" s="45">
      <c r="A299" s="61" t="n">
        <v>46196</v>
      </c>
      <c r="B299" s="82" t="inlineStr">
        <is>
          <t>Pós-Projeto</t>
        </is>
      </c>
      <c r="C299" s="86" t="inlineStr">
        <is>
          <t>Percentual de GAEs abertas classificadas</t>
        </is>
      </c>
      <c r="D299" s="71">
        <f>IFERROR(D298/D297,"-")</f>
        <v/>
      </c>
      <c r="E299" s="71">
        <f>IFERROR(E298/E297,"-")</f>
        <v/>
      </c>
      <c r="F299" s="71">
        <f>IFERROR(F298/F297,"-")</f>
        <v/>
      </c>
      <c r="G299" s="71">
        <f>IFERROR(G298/G297,"-")</f>
        <v/>
      </c>
      <c r="H299" s="71">
        <f>IFERROR(H298/H297,"-")</f>
        <v/>
      </c>
      <c r="I299" s="71">
        <f>IFERROR(I298/I297,"-")</f>
        <v/>
      </c>
      <c r="J299" s="71">
        <f>IFERROR(J298/J297,"-")</f>
        <v/>
      </c>
      <c r="K299" s="71">
        <f>IFERROR(K298/K297,"-")</f>
        <v/>
      </c>
      <c r="L299" s="71">
        <f>IFERROR(L298/L297,"-")</f>
        <v/>
      </c>
      <c r="M299" s="71">
        <f>IFERROR(M298/M297,"-")</f>
        <v/>
      </c>
      <c r="N299" s="71">
        <f>IFERROR(N298/N297,"-")</f>
        <v/>
      </c>
      <c r="O299" s="71">
        <f>IFERROR(O298/O297,"-")</f>
        <v/>
      </c>
      <c r="P299" s="71">
        <f>IFERROR(P298/P297,"-")</f>
        <v/>
      </c>
    </row>
    <row r="300" ht="15.75" customHeight="1" s="45">
      <c r="A300" s="61" t="n">
        <v>46196</v>
      </c>
      <c r="B300" s="82" t="inlineStr">
        <is>
          <t>Pós-Projeto</t>
        </is>
      </c>
      <c r="C300" s="87" t="inlineStr">
        <is>
          <t>Tempo Médio — 🟡 Amarelo (hh:mm)</t>
        </is>
      </c>
      <c r="D300" s="73" t="n">
        <v>0.04180555555555555</v>
      </c>
      <c r="E300" s="73" t="n">
        <v>0.03128472222222222</v>
      </c>
      <c r="F300" s="73" t="n">
        <v>0.0409375</v>
      </c>
      <c r="G300" s="73" t="n">
        <v>0.04559027777777778</v>
      </c>
      <c r="H300" s="73" t="n">
        <v>0.06771990740740741</v>
      </c>
      <c r="I300" s="73" t="n">
        <v>0.04664351851851852</v>
      </c>
      <c r="J300" s="73" t="n">
        <v>0.04734953703703704</v>
      </c>
      <c r="K300" s="73" t="n">
        <v>0.07768518518518519</v>
      </c>
      <c r="L300" s="73" t="n">
        <v>0.08583333333333333</v>
      </c>
      <c r="M300" s="73" t="n">
        <v>0.02538194444444444</v>
      </c>
      <c r="N300" s="73" t="n">
        <v>0.03715277777777778</v>
      </c>
      <c r="O300" s="73" t="n">
        <v>0.03517361111111111</v>
      </c>
      <c r="P300" s="73" t="n">
        <v>0.1439467592592593</v>
      </c>
    </row>
    <row r="301" ht="15.75" customHeight="1" s="45">
      <c r="A301" s="61" t="n">
        <v>46196</v>
      </c>
      <c r="B301" s="82" t="inlineStr">
        <is>
          <t>Pós-Projeto</t>
        </is>
      </c>
      <c r="C301" s="88" t="inlineStr">
        <is>
          <t>Tempo Médio — 🟠 Laranja (hh:mm)</t>
        </is>
      </c>
      <c r="D301" s="75" t="n">
        <v>0.009432870370370371</v>
      </c>
      <c r="E301" s="75" t="n">
        <v>0.00494212962962963</v>
      </c>
      <c r="F301" s="75" t="n">
        <v>0.009594907407407408</v>
      </c>
      <c r="G301" s="75" t="n">
        <v>0.007314814814814815</v>
      </c>
      <c r="H301" s="75" t="n">
        <v>0.008993055555555556</v>
      </c>
      <c r="I301" s="75" t="n">
        <v>0.007337962962962963</v>
      </c>
      <c r="J301" s="75" t="n">
        <v>0.01770833333333333</v>
      </c>
      <c r="K301" s="75" t="n">
        <v>0.01719907407407407</v>
      </c>
      <c r="L301" s="80" t="n">
        <v>0</v>
      </c>
      <c r="M301" s="75" t="n">
        <v>0.01002314814814815</v>
      </c>
      <c r="N301" s="75" t="n">
        <v>0.00863425925925926</v>
      </c>
      <c r="O301" s="75" t="n">
        <v>0.008796296296296297</v>
      </c>
      <c r="P301" s="75" t="n">
        <v>0.02333333333333333</v>
      </c>
    </row>
    <row r="302" ht="15.75" customHeight="1" s="45">
      <c r="A302" s="76" t="n">
        <v>46196</v>
      </c>
      <c r="B302" s="82" t="inlineStr">
        <is>
          <t>Pós-Projeto</t>
        </is>
      </c>
      <c r="C302" s="91" t="inlineStr">
        <is>
          <t>Tempo Médio — 🟢 Verde   (hh:mm)</t>
        </is>
      </c>
      <c r="D302" s="79" t="n">
        <v>0.0530787037037037</v>
      </c>
      <c r="E302" s="79" t="n">
        <v>0.09569444444444444</v>
      </c>
      <c r="F302" s="79" t="n">
        <v>0.1153587962962963</v>
      </c>
      <c r="G302" s="79" t="n">
        <v>0.07570601851851852</v>
      </c>
      <c r="H302" s="79" t="n">
        <v>0.1052314814814815</v>
      </c>
      <c r="I302" s="79" t="n">
        <v>0.1388888888888889</v>
      </c>
      <c r="J302" s="79" t="n">
        <v>0.08515046296296297</v>
      </c>
      <c r="K302" s="79" t="n">
        <v>0.1277546296296296</v>
      </c>
      <c r="L302" s="79" t="n">
        <v>0.1267361111111111</v>
      </c>
      <c r="M302" s="79" t="n">
        <v>0.06738425925925925</v>
      </c>
      <c r="N302" s="79" t="n">
        <v>0.09640046296296297</v>
      </c>
      <c r="O302" s="79" t="n">
        <v>0.06261574074074074</v>
      </c>
      <c r="P302" s="79" t="n">
        <v>0.07112268518518519</v>
      </c>
    </row>
    <row r="303" ht="15.75" customHeight="1" s="45">
      <c r="A303" s="57" t="n">
        <v>46197</v>
      </c>
      <c r="B303" s="81" t="inlineStr">
        <is>
          <t>Pós-Projeto</t>
        </is>
      </c>
      <c r="C303" s="59" t="inlineStr">
        <is>
          <t>Acolhim. + Atend. Urgência + Atend. UPA</t>
        </is>
      </c>
      <c r="D303" s="60">
        <f>SUM(D304:D306)</f>
        <v/>
      </c>
      <c r="E303" s="60">
        <f>SUM(E304:E306)</f>
        <v/>
      </c>
      <c r="F303" s="60">
        <f>SUM(F304:F306)</f>
        <v/>
      </c>
      <c r="G303" s="60">
        <f>SUM(G304:G306)</f>
        <v/>
      </c>
      <c r="H303" s="60">
        <f>SUM(H304:H306)</f>
        <v/>
      </c>
      <c r="I303" s="60">
        <f>SUM(I304:I306)</f>
        <v/>
      </c>
      <c r="J303" s="60">
        <f>SUM(J304:J306)</f>
        <v/>
      </c>
      <c r="K303" s="60">
        <f>SUM(K304:K306)</f>
        <v/>
      </c>
      <c r="L303" s="60">
        <f>SUM(L304:L306)</f>
        <v/>
      </c>
      <c r="M303" s="60">
        <f>SUM(M304:M306)</f>
        <v/>
      </c>
      <c r="N303" s="60">
        <f>SUM(N304:N306)</f>
        <v/>
      </c>
      <c r="O303" s="60">
        <f>SUM(O304:O306)</f>
        <v/>
      </c>
      <c r="P303" s="60">
        <f>SUM(P304:P306)</f>
        <v/>
      </c>
    </row>
    <row r="304" ht="15.75" customHeight="1" s="45">
      <c r="A304" s="61" t="n">
        <v>46197</v>
      </c>
      <c r="B304" s="82" t="inlineStr">
        <is>
          <t>Pós-Projeto</t>
        </is>
      </c>
      <c r="C304" s="83" t="inlineStr">
        <is>
          <t>Acolhimento c/ Classif. de Risco</t>
        </is>
      </c>
      <c r="D304" s="64" t="n">
        <v>207</v>
      </c>
      <c r="E304" s="64" t="n">
        <v>144</v>
      </c>
      <c r="F304" s="64" t="n">
        <v>153</v>
      </c>
      <c r="G304" s="64" t="n">
        <v>111</v>
      </c>
      <c r="H304" s="64" t="n">
        <v>118</v>
      </c>
      <c r="I304" s="64" t="n">
        <v>184</v>
      </c>
      <c r="J304" s="64" t="n">
        <v>110</v>
      </c>
      <c r="K304" s="64" t="n">
        <v>275</v>
      </c>
      <c r="L304" s="64" t="n">
        <v>118</v>
      </c>
      <c r="M304" s="64" t="n">
        <v>205</v>
      </c>
      <c r="N304" s="64" t="n">
        <v>173</v>
      </c>
      <c r="O304" s="64" t="n">
        <v>269</v>
      </c>
      <c r="P304" s="64" t="n">
        <v>215</v>
      </c>
    </row>
    <row r="305" ht="15.75" customHeight="1" s="45">
      <c r="A305" s="61" t="n">
        <v>46197</v>
      </c>
      <c r="B305" s="82" t="inlineStr">
        <is>
          <t>Pós-Projeto</t>
        </is>
      </c>
      <c r="C305" s="84" t="inlineStr">
        <is>
          <t>Atend. Urgência Obs. ≤ 24h</t>
        </is>
      </c>
      <c r="D305" s="66" t="n">
        <v>34</v>
      </c>
      <c r="E305" s="66" t="n">
        <v>9</v>
      </c>
      <c r="F305" s="66" t="n">
        <v>28</v>
      </c>
      <c r="G305" s="66" t="n">
        <v>9</v>
      </c>
      <c r="H305" s="66" t="n">
        <v>1</v>
      </c>
      <c r="I305" s="66" t="n">
        <v>16</v>
      </c>
      <c r="J305" s="66" t="n">
        <v>12</v>
      </c>
      <c r="K305" s="66" t="n">
        <v>51</v>
      </c>
      <c r="L305" s="66" t="n">
        <v>39</v>
      </c>
      <c r="M305" s="66" t="n">
        <v>20</v>
      </c>
      <c r="N305" s="66" t="n">
        <v>25</v>
      </c>
      <c r="O305" s="66" t="n">
        <v>10</v>
      </c>
      <c r="P305" s="66" t="n">
        <v>21</v>
      </c>
    </row>
    <row r="306" ht="15.75" customHeight="1" s="45">
      <c r="A306" s="61" t="n">
        <v>46197</v>
      </c>
      <c r="B306" s="82" t="inlineStr">
        <is>
          <t>Pós-Projeto</t>
        </is>
      </c>
      <c r="C306" s="83" t="inlineStr">
        <is>
          <t>Atend. Médico em UPA</t>
        </is>
      </c>
      <c r="D306" s="64" t="n">
        <v>148</v>
      </c>
      <c r="E306" s="64" t="n">
        <v>93</v>
      </c>
      <c r="F306" s="64" t="n">
        <v>129</v>
      </c>
      <c r="G306" s="64" t="n">
        <v>100</v>
      </c>
      <c r="H306" s="64" t="n">
        <v>98</v>
      </c>
      <c r="I306" s="64" t="n">
        <v>166</v>
      </c>
      <c r="J306" s="64" t="n">
        <v>70</v>
      </c>
      <c r="K306" s="64" t="n">
        <v>222</v>
      </c>
      <c r="L306" s="64" t="n">
        <v>91</v>
      </c>
      <c r="M306" s="64" t="n">
        <v>115</v>
      </c>
      <c r="N306" s="64" t="n">
        <v>162</v>
      </c>
      <c r="O306" s="64" t="n">
        <v>197</v>
      </c>
      <c r="P306" s="64" t="n">
        <v>136</v>
      </c>
    </row>
    <row r="307" ht="15.75" customHeight="1" s="45">
      <c r="A307" s="61" t="n">
        <v>46197</v>
      </c>
      <c r="B307" s="82" t="inlineStr">
        <is>
          <t>Pós-Projeto</t>
        </is>
      </c>
      <c r="C307" s="84" t="inlineStr">
        <is>
          <t>Exames Laboratoriais</t>
        </is>
      </c>
      <c r="D307" s="66" t="n">
        <v>702</v>
      </c>
      <c r="E307" s="66" t="n">
        <v>359</v>
      </c>
      <c r="F307" s="66" t="n">
        <v>748</v>
      </c>
      <c r="G307" s="66" t="n">
        <v>211</v>
      </c>
      <c r="H307" s="66" t="n">
        <v>290</v>
      </c>
      <c r="I307" s="66" t="n">
        <v>441</v>
      </c>
      <c r="J307" s="66" t="n">
        <v>313</v>
      </c>
      <c r="K307" s="66" t="n">
        <v>1022</v>
      </c>
      <c r="L307" s="66" t="n">
        <v>517</v>
      </c>
      <c r="M307" s="66" t="n">
        <v>425</v>
      </c>
      <c r="N307" s="66" t="n">
        <v>530</v>
      </c>
      <c r="O307" s="66" t="n">
        <v>473</v>
      </c>
      <c r="P307" s="66" t="n">
        <v>444</v>
      </c>
    </row>
    <row r="308" ht="15.75" customHeight="1" s="45">
      <c r="A308" s="61" t="n">
        <v>46197</v>
      </c>
      <c r="B308" s="82" t="inlineStr">
        <is>
          <t>Pós-Projeto</t>
        </is>
      </c>
      <c r="C308" s="83" t="inlineStr">
        <is>
          <t>Radiografias</t>
        </is>
      </c>
      <c r="D308" s="64" t="n">
        <v>26</v>
      </c>
      <c r="E308" s="64" t="n">
        <v>21</v>
      </c>
      <c r="F308" s="64" t="n">
        <v>27</v>
      </c>
      <c r="G308" s="64" t="n">
        <v>29</v>
      </c>
      <c r="H308" s="64" t="n">
        <v>10</v>
      </c>
      <c r="I308" s="64" t="n">
        <v>23</v>
      </c>
      <c r="J308" s="64" t="n">
        <v>24</v>
      </c>
      <c r="K308" s="64" t="n">
        <v>51</v>
      </c>
      <c r="L308" s="64" t="n">
        <v>14</v>
      </c>
      <c r="M308" s="64" t="n">
        <v>43</v>
      </c>
      <c r="N308" s="64" t="n">
        <v>30</v>
      </c>
      <c r="O308" s="64" t="n">
        <v>64</v>
      </c>
      <c r="P308" s="64" t="n">
        <v>42</v>
      </c>
    </row>
    <row r="309" ht="15.75" customHeight="1" s="45">
      <c r="A309" s="61" t="n">
        <v>46197</v>
      </c>
      <c r="B309" s="82" t="inlineStr">
        <is>
          <t>Pós-Projeto</t>
        </is>
      </c>
      <c r="C309" s="84" t="inlineStr">
        <is>
          <t>Eletrocardiogramas</t>
        </is>
      </c>
      <c r="D309" s="66" t="n">
        <v>18</v>
      </c>
      <c r="E309" s="66" t="n">
        <v>5</v>
      </c>
      <c r="F309" s="66" t="n">
        <v>20</v>
      </c>
      <c r="G309" s="66" t="n">
        <v>2</v>
      </c>
      <c r="H309" s="67" t="n">
        <v>0</v>
      </c>
      <c r="I309" s="67" t="n">
        <v>0</v>
      </c>
      <c r="J309" s="67" t="n">
        <v>0</v>
      </c>
      <c r="K309" s="66" t="n">
        <v>29</v>
      </c>
      <c r="L309" s="66" t="n">
        <v>12</v>
      </c>
      <c r="M309" s="67" t="n">
        <v>0</v>
      </c>
      <c r="N309" s="66" t="n">
        <v>8</v>
      </c>
      <c r="O309" s="66" t="n">
        <v>23</v>
      </c>
      <c r="P309" s="66" t="n">
        <v>4</v>
      </c>
    </row>
    <row r="310" ht="15.75" customHeight="1" s="45">
      <c r="A310" s="61" t="n">
        <v>46197</v>
      </c>
      <c r="B310" s="82" t="inlineStr">
        <is>
          <t>Pós-Projeto</t>
        </is>
      </c>
      <c r="C310" s="85" t="inlineStr">
        <is>
          <t>GAEs Abertas</t>
        </is>
      </c>
      <c r="D310" s="69" t="n">
        <v>215</v>
      </c>
      <c r="E310" s="69" t="n">
        <v>150</v>
      </c>
      <c r="F310" s="69" t="n">
        <v>158</v>
      </c>
      <c r="G310" s="69" t="n">
        <v>113</v>
      </c>
      <c r="H310" s="69" t="n">
        <v>124</v>
      </c>
      <c r="I310" s="69" t="n">
        <v>198</v>
      </c>
      <c r="J310" s="69" t="n">
        <v>111</v>
      </c>
      <c r="K310" s="69" t="n">
        <v>290</v>
      </c>
      <c r="L310" s="69" t="n">
        <v>121</v>
      </c>
      <c r="M310" s="69" t="n">
        <v>209</v>
      </c>
      <c r="N310" s="69" t="n">
        <v>175</v>
      </c>
      <c r="O310" s="69" t="n">
        <v>274</v>
      </c>
      <c r="P310" s="69" t="n">
        <v>223</v>
      </c>
    </row>
    <row r="311" ht="15.75" customHeight="1" s="45">
      <c r="A311" s="61" t="n">
        <v>46197</v>
      </c>
      <c r="B311" s="82" t="inlineStr">
        <is>
          <t>Pós-Projeto</t>
        </is>
      </c>
      <c r="C311" s="85" t="inlineStr">
        <is>
          <t>GAEs Classificadas</t>
        </is>
      </c>
      <c r="D311" s="69" t="n">
        <v>209</v>
      </c>
      <c r="E311" s="69" t="n">
        <v>144</v>
      </c>
      <c r="F311" s="69" t="n">
        <v>154</v>
      </c>
      <c r="G311" s="69" t="n">
        <v>112</v>
      </c>
      <c r="H311" s="69" t="n">
        <v>120</v>
      </c>
      <c r="I311" s="69" t="n">
        <v>185</v>
      </c>
      <c r="J311" s="69" t="n">
        <v>107</v>
      </c>
      <c r="K311" s="69" t="n">
        <v>275</v>
      </c>
      <c r="L311" s="69" t="n">
        <v>117</v>
      </c>
      <c r="M311" s="69" t="n">
        <v>202</v>
      </c>
      <c r="N311" s="69" t="n">
        <v>169</v>
      </c>
      <c r="O311" s="69" t="n">
        <v>263</v>
      </c>
      <c r="P311" s="69" t="n">
        <v>218</v>
      </c>
    </row>
    <row r="312" ht="15.75" customHeight="1" s="45">
      <c r="A312" s="61" t="n">
        <v>46197</v>
      </c>
      <c r="B312" s="82" t="inlineStr">
        <is>
          <t>Pós-Projeto</t>
        </is>
      </c>
      <c r="C312" s="86" t="inlineStr">
        <is>
          <t>Percentual de GAEs abertas classificadas</t>
        </is>
      </c>
      <c r="D312" s="71">
        <f>IFERROR(D311/D310,"-")</f>
        <v/>
      </c>
      <c r="E312" s="71">
        <f>IFERROR(E311/E310,"-")</f>
        <v/>
      </c>
      <c r="F312" s="71">
        <f>IFERROR(F311/F310,"-")</f>
        <v/>
      </c>
      <c r="G312" s="71">
        <f>IFERROR(G311/G310,"-")</f>
        <v/>
      </c>
      <c r="H312" s="71">
        <f>IFERROR(H311/H310,"-")</f>
        <v/>
      </c>
      <c r="I312" s="71">
        <f>IFERROR(I311/I310,"-")</f>
        <v/>
      </c>
      <c r="J312" s="71">
        <f>IFERROR(J311/J310,"-")</f>
        <v/>
      </c>
      <c r="K312" s="71">
        <f>IFERROR(K311/K310,"-")</f>
        <v/>
      </c>
      <c r="L312" s="71">
        <f>IFERROR(L311/L310,"-")</f>
        <v/>
      </c>
      <c r="M312" s="71">
        <f>IFERROR(M311/M310,"-")</f>
        <v/>
      </c>
      <c r="N312" s="71">
        <f>IFERROR(N311/N310,"-")</f>
        <v/>
      </c>
      <c r="O312" s="71">
        <f>IFERROR(O311/O310,"-")</f>
        <v/>
      </c>
      <c r="P312" s="71">
        <f>IFERROR(P311/P310,"-")</f>
        <v/>
      </c>
    </row>
    <row r="313" ht="15.75" customHeight="1" s="45">
      <c r="A313" s="61" t="n">
        <v>46197</v>
      </c>
      <c r="B313" s="82" t="inlineStr">
        <is>
          <t>Pós-Projeto</t>
        </is>
      </c>
      <c r="C313" s="87" t="inlineStr">
        <is>
          <t>Tempo Médio — 🟡 Amarelo (hh:mm)</t>
        </is>
      </c>
      <c r="D313" s="73" t="n">
        <v>0.04273148148148148</v>
      </c>
      <c r="E313" s="73" t="n">
        <v>0.03070601851851852</v>
      </c>
      <c r="F313" s="73" t="n">
        <v>0.06381944444444444</v>
      </c>
      <c r="G313" s="73" t="n">
        <v>0.01731481481481481</v>
      </c>
      <c r="H313" s="73" t="n">
        <v>0.06863425925925926</v>
      </c>
      <c r="I313" s="73" t="n">
        <v>0.01583333333333333</v>
      </c>
      <c r="J313" s="73" t="n">
        <v>0.08210648148148147</v>
      </c>
      <c r="K313" s="73" t="n">
        <v>0.05413194444444445</v>
      </c>
      <c r="L313" s="73" t="n">
        <v>0.08956018518518519</v>
      </c>
      <c r="M313" s="73" t="n">
        <v>0.04013888888888889</v>
      </c>
      <c r="N313" s="73" t="n">
        <v>0.03770833333333334</v>
      </c>
      <c r="O313" s="73" t="n">
        <v>0.09103009259259259</v>
      </c>
      <c r="P313" s="73" t="n">
        <v>0.05710648148148148</v>
      </c>
    </row>
    <row r="314" ht="15.75" customHeight="1" s="45">
      <c r="A314" s="61" t="n">
        <v>46197</v>
      </c>
      <c r="B314" s="82" t="inlineStr">
        <is>
          <t>Pós-Projeto</t>
        </is>
      </c>
      <c r="C314" s="88" t="inlineStr">
        <is>
          <t>Tempo Médio — 🟠 Laranja (hh:mm)</t>
        </is>
      </c>
      <c r="D314" s="75" t="n">
        <v>0.005821759259259259</v>
      </c>
      <c r="E314" s="75" t="n">
        <v>0.003842592592592593</v>
      </c>
      <c r="F314" s="75" t="n">
        <v>0.006469907407407408</v>
      </c>
      <c r="G314" s="75" t="n">
        <v>0.005324074074074074</v>
      </c>
      <c r="H314" s="75" t="n">
        <v>0.005636574074074074</v>
      </c>
      <c r="I314" s="75" t="n">
        <v>0.004699074074074074</v>
      </c>
      <c r="J314" s="75" t="n">
        <v>0.01280092592592593</v>
      </c>
      <c r="K314" s="75" t="n">
        <v>0.01365740740740741</v>
      </c>
      <c r="L314" s="75" t="n">
        <v>0.01547453703703704</v>
      </c>
      <c r="M314" s="75" t="n">
        <v>0.007604166666666667</v>
      </c>
      <c r="N314" s="75" t="n">
        <v>0.0153587962962963</v>
      </c>
      <c r="O314" s="75" t="n">
        <v>0.01503472222222222</v>
      </c>
      <c r="P314" s="75" t="n">
        <v>0.0143287037037037</v>
      </c>
    </row>
    <row r="315" ht="15.75" customHeight="1" s="45">
      <c r="A315" s="76" t="n">
        <v>46197</v>
      </c>
      <c r="B315" s="82" t="inlineStr">
        <is>
          <t>Pós-Projeto</t>
        </is>
      </c>
      <c r="C315" s="91" t="inlineStr">
        <is>
          <t>Tempo Médio — 🟢 Verde   (hh:mm)</t>
        </is>
      </c>
      <c r="D315" s="79" t="n">
        <v>0.07466435185185186</v>
      </c>
      <c r="E315" s="79" t="n">
        <v>0.07594907407407407</v>
      </c>
      <c r="F315" s="79" t="n">
        <v>0.06216435185185185</v>
      </c>
      <c r="G315" s="79" t="n">
        <v>0.02819444444444445</v>
      </c>
      <c r="H315" s="79" t="n">
        <v>0.06232638888888889</v>
      </c>
      <c r="I315" s="79" t="n">
        <v>0.04606481481481482</v>
      </c>
      <c r="J315" s="79" t="n">
        <v>0.1205324074074074</v>
      </c>
      <c r="K315" s="79" t="n">
        <v>0.07511574074074075</v>
      </c>
      <c r="L315" s="79" t="n">
        <v>0.08829861111111111</v>
      </c>
      <c r="M315" s="79" t="n">
        <v>0.09724537037037037</v>
      </c>
      <c r="N315" s="79" t="n">
        <v>0.05180555555555556</v>
      </c>
      <c r="O315" s="79" t="n">
        <v>0.1479050925925926</v>
      </c>
      <c r="P315" s="79" t="n">
        <v>0.05322916666666667</v>
      </c>
    </row>
    <row r="316" ht="15.75" customHeight="1" s="45">
      <c r="A316" s="57" t="n">
        <v>46198</v>
      </c>
      <c r="B316" s="81" t="inlineStr">
        <is>
          <t>Pós-Projeto</t>
        </is>
      </c>
      <c r="C316" s="59" t="inlineStr">
        <is>
          <t>Acolhim. + Atend. Urgência + Atend. UPA</t>
        </is>
      </c>
      <c r="D316" s="60">
        <f>SUM(D317:D319)</f>
        <v/>
      </c>
      <c r="E316" s="60">
        <f>SUM(E317:E319)</f>
        <v/>
      </c>
      <c r="F316" s="60">
        <f>SUM(F317:F319)</f>
        <v/>
      </c>
      <c r="G316" s="60">
        <f>SUM(G317:G319)</f>
        <v/>
      </c>
      <c r="H316" s="60">
        <f>SUM(H317:H319)</f>
        <v/>
      </c>
      <c r="I316" s="60">
        <f>SUM(I317:I319)</f>
        <v/>
      </c>
      <c r="J316" s="60">
        <f>SUM(J317:J319)</f>
        <v/>
      </c>
      <c r="K316" s="60">
        <f>SUM(K317:K319)</f>
        <v/>
      </c>
      <c r="L316" s="60">
        <f>SUM(L317:L319)</f>
        <v/>
      </c>
      <c r="M316" s="60">
        <f>SUM(M317:M319)</f>
        <v/>
      </c>
      <c r="N316" s="60">
        <f>SUM(N317:N319)</f>
        <v/>
      </c>
      <c r="O316" s="60">
        <f>SUM(O317:O319)</f>
        <v/>
      </c>
      <c r="P316" s="60">
        <f>SUM(P317:P319)</f>
        <v/>
      </c>
    </row>
    <row r="317" ht="15.75" customHeight="1" s="45">
      <c r="A317" s="61" t="n">
        <v>46198</v>
      </c>
      <c r="B317" s="82" t="inlineStr">
        <is>
          <t>Pós-Projeto</t>
        </is>
      </c>
      <c r="C317" s="83" t="inlineStr">
        <is>
          <t>Acolhimento c/ Classif. de Risco</t>
        </is>
      </c>
      <c r="D317" s="64" t="n">
        <v>222</v>
      </c>
      <c r="E317" s="64" t="n">
        <v>184</v>
      </c>
      <c r="F317" s="64" t="n">
        <v>159</v>
      </c>
      <c r="G317" s="64" t="n">
        <v>154</v>
      </c>
      <c r="H317" s="64" t="n">
        <v>164</v>
      </c>
      <c r="I317" s="64" t="n">
        <v>219</v>
      </c>
      <c r="J317" s="64" t="n">
        <v>132</v>
      </c>
      <c r="K317" s="64" t="n">
        <v>328</v>
      </c>
      <c r="L317" s="64" t="n">
        <v>139</v>
      </c>
      <c r="M317" s="64" t="n">
        <v>234</v>
      </c>
      <c r="N317" s="64" t="n">
        <v>204</v>
      </c>
      <c r="O317" s="64" t="n">
        <v>297</v>
      </c>
      <c r="P317" s="64" t="n">
        <v>242</v>
      </c>
    </row>
    <row r="318" ht="15.75" customHeight="1" s="45">
      <c r="A318" s="61" t="n">
        <v>46198</v>
      </c>
      <c r="B318" s="82" t="inlineStr">
        <is>
          <t>Pós-Projeto</t>
        </is>
      </c>
      <c r="C318" s="84" t="inlineStr">
        <is>
          <t>Atend. Urgência Obs. ≤ 24h</t>
        </is>
      </c>
      <c r="D318" s="66" t="n">
        <v>37</v>
      </c>
      <c r="E318" s="66" t="n">
        <v>10</v>
      </c>
      <c r="F318" s="66" t="n">
        <v>30</v>
      </c>
      <c r="G318" s="66" t="n">
        <v>12</v>
      </c>
      <c r="H318" s="66" t="n">
        <v>14</v>
      </c>
      <c r="I318" s="66" t="n">
        <v>26</v>
      </c>
      <c r="J318" s="66" t="n">
        <v>8</v>
      </c>
      <c r="K318" s="66" t="n">
        <v>57</v>
      </c>
      <c r="L318" s="66" t="n">
        <v>31</v>
      </c>
      <c r="M318" s="66" t="n">
        <v>22</v>
      </c>
      <c r="N318" s="66" t="n">
        <v>23</v>
      </c>
      <c r="O318" s="66" t="n">
        <v>8</v>
      </c>
      <c r="P318" s="66" t="n">
        <v>10</v>
      </c>
    </row>
    <row r="319" ht="15.75" customHeight="1" s="45">
      <c r="A319" s="61" t="n">
        <v>46198</v>
      </c>
      <c r="B319" s="82" t="inlineStr">
        <is>
          <t>Pós-Projeto</t>
        </is>
      </c>
      <c r="C319" s="83" t="inlineStr">
        <is>
          <t>Atend. Médico em UPA</t>
        </is>
      </c>
      <c r="D319" s="64" t="n">
        <v>144</v>
      </c>
      <c r="E319" s="64" t="n">
        <v>101</v>
      </c>
      <c r="F319" s="64" t="n">
        <v>122</v>
      </c>
      <c r="G319" s="64" t="n">
        <v>80</v>
      </c>
      <c r="H319" s="64" t="n">
        <v>99</v>
      </c>
      <c r="I319" s="64" t="n">
        <v>156</v>
      </c>
      <c r="J319" s="64" t="n">
        <v>87</v>
      </c>
      <c r="K319" s="64" t="n">
        <v>222</v>
      </c>
      <c r="L319" s="64" t="n">
        <v>100</v>
      </c>
      <c r="M319" s="64" t="n">
        <v>150</v>
      </c>
      <c r="N319" s="64" t="n">
        <v>174</v>
      </c>
      <c r="O319" s="64" t="n">
        <v>244</v>
      </c>
      <c r="P319" s="64" t="n">
        <v>141</v>
      </c>
    </row>
    <row r="320" ht="15.75" customHeight="1" s="45">
      <c r="A320" s="61" t="n">
        <v>46198</v>
      </c>
      <c r="B320" s="82" t="inlineStr">
        <is>
          <t>Pós-Projeto</t>
        </is>
      </c>
      <c r="C320" s="84" t="inlineStr">
        <is>
          <t>Exames Laboratoriais</t>
        </is>
      </c>
      <c r="D320" s="66" t="n">
        <v>529</v>
      </c>
      <c r="E320" s="66" t="n">
        <v>408</v>
      </c>
      <c r="F320" s="66" t="n">
        <v>555</v>
      </c>
      <c r="G320" s="66" t="n">
        <v>324</v>
      </c>
      <c r="H320" s="66" t="n">
        <v>507</v>
      </c>
      <c r="I320" s="66" t="n">
        <v>27</v>
      </c>
      <c r="J320" s="66" t="n">
        <v>375</v>
      </c>
      <c r="K320" s="66" t="n">
        <v>872</v>
      </c>
      <c r="L320" s="66" t="n">
        <v>636</v>
      </c>
      <c r="M320" s="66" t="n">
        <v>533</v>
      </c>
      <c r="N320" s="66" t="n">
        <v>403</v>
      </c>
      <c r="O320" s="66" t="n">
        <v>415</v>
      </c>
      <c r="P320" s="66" t="n">
        <v>200</v>
      </c>
    </row>
    <row r="321" ht="15.75" customHeight="1" s="45">
      <c r="A321" s="61" t="n">
        <v>46198</v>
      </c>
      <c r="B321" s="82" t="inlineStr">
        <is>
          <t>Pós-Projeto</t>
        </is>
      </c>
      <c r="C321" s="83" t="inlineStr">
        <is>
          <t>Radiografias</t>
        </is>
      </c>
      <c r="D321" s="64" t="n">
        <v>20</v>
      </c>
      <c r="E321" s="64" t="n">
        <v>16</v>
      </c>
      <c r="F321" s="64" t="n">
        <v>33</v>
      </c>
      <c r="G321" s="64" t="n">
        <v>24</v>
      </c>
      <c r="H321" s="64" t="n">
        <v>40</v>
      </c>
      <c r="I321" s="64" t="n">
        <v>481</v>
      </c>
      <c r="J321" s="64" t="n">
        <v>23</v>
      </c>
      <c r="K321" s="64" t="n">
        <v>69</v>
      </c>
      <c r="L321" s="64" t="n">
        <v>31</v>
      </c>
      <c r="M321" s="64" t="n">
        <v>10</v>
      </c>
      <c r="N321" s="64" t="n">
        <v>27</v>
      </c>
      <c r="O321" s="64" t="n">
        <v>58</v>
      </c>
      <c r="P321" s="64" t="n">
        <v>50</v>
      </c>
    </row>
    <row r="322" ht="15.75" customHeight="1" s="45">
      <c r="A322" s="61" t="n">
        <v>46198</v>
      </c>
      <c r="B322" s="82" t="inlineStr">
        <is>
          <t>Pós-Projeto</t>
        </is>
      </c>
      <c r="C322" s="84" t="inlineStr">
        <is>
          <t>Eletrocardiogramas</t>
        </is>
      </c>
      <c r="D322" s="66" t="n">
        <v>3</v>
      </c>
      <c r="E322" s="66" t="n">
        <v>10</v>
      </c>
      <c r="F322" s="66" t="n">
        <v>33</v>
      </c>
      <c r="G322" s="66" t="n">
        <v>4</v>
      </c>
      <c r="H322" s="66" t="n">
        <v>14</v>
      </c>
      <c r="I322" s="67" t="n">
        <v>0</v>
      </c>
      <c r="J322" s="67" t="n">
        <v>0</v>
      </c>
      <c r="K322" s="66" t="n">
        <v>32</v>
      </c>
      <c r="L322" s="66" t="n">
        <v>17</v>
      </c>
      <c r="M322" s="66" t="n">
        <v>1</v>
      </c>
      <c r="N322" s="66" t="n">
        <v>7</v>
      </c>
      <c r="O322" s="66" t="n">
        <v>19</v>
      </c>
      <c r="P322" s="67" t="n">
        <v>0</v>
      </c>
    </row>
    <row r="323" ht="15.75" customHeight="1" s="45">
      <c r="A323" s="61" t="n">
        <v>46198</v>
      </c>
      <c r="B323" s="82" t="inlineStr">
        <is>
          <t>Pós-Projeto</t>
        </is>
      </c>
      <c r="C323" s="85" t="inlineStr">
        <is>
          <t>GAEs Abertas</t>
        </is>
      </c>
      <c r="D323" s="69" t="n">
        <v>250</v>
      </c>
      <c r="E323" s="69" t="n">
        <v>191</v>
      </c>
      <c r="F323" s="69" t="n">
        <v>163</v>
      </c>
      <c r="G323" s="69" t="n">
        <v>156</v>
      </c>
      <c r="H323" s="69" t="n">
        <v>166</v>
      </c>
      <c r="I323" s="69" t="n">
        <v>242</v>
      </c>
      <c r="J323" s="69" t="n">
        <v>133</v>
      </c>
      <c r="K323" s="69" t="n">
        <v>344</v>
      </c>
      <c r="L323" s="69" t="n">
        <v>152</v>
      </c>
      <c r="M323" s="69" t="n">
        <v>252</v>
      </c>
      <c r="N323" s="69" t="n">
        <v>210</v>
      </c>
      <c r="O323" s="69" t="n">
        <v>306</v>
      </c>
      <c r="P323" s="69" t="n">
        <v>246</v>
      </c>
    </row>
    <row r="324" ht="15.75" customHeight="1" s="45">
      <c r="A324" s="61" t="n">
        <v>46198</v>
      </c>
      <c r="B324" s="82" t="inlineStr">
        <is>
          <t>Pós-Projeto</t>
        </is>
      </c>
      <c r="C324" s="85" t="inlineStr">
        <is>
          <t>GAEs Classificadas</t>
        </is>
      </c>
      <c r="D324" s="69" t="n">
        <v>223</v>
      </c>
      <c r="E324" s="69" t="n">
        <v>185</v>
      </c>
      <c r="F324" s="69" t="n">
        <v>160</v>
      </c>
      <c r="G324" s="69" t="n">
        <v>153</v>
      </c>
      <c r="H324" s="69" t="n">
        <v>163</v>
      </c>
      <c r="I324" s="69" t="n">
        <v>216</v>
      </c>
      <c r="J324" s="69" t="n">
        <v>132</v>
      </c>
      <c r="K324" s="69" t="n">
        <v>326</v>
      </c>
      <c r="L324" s="69" t="n">
        <v>139</v>
      </c>
      <c r="M324" s="69" t="n">
        <v>235</v>
      </c>
      <c r="N324" s="69" t="n">
        <v>202</v>
      </c>
      <c r="O324" s="69" t="n">
        <v>297</v>
      </c>
      <c r="P324" s="69" t="n">
        <v>239</v>
      </c>
    </row>
    <row r="325" ht="15.75" customHeight="1" s="45">
      <c r="A325" s="61" t="n">
        <v>46198</v>
      </c>
      <c r="B325" s="82" t="inlineStr">
        <is>
          <t>Pós-Projeto</t>
        </is>
      </c>
      <c r="C325" s="86" t="inlineStr">
        <is>
          <t>Percentual de GAEs abertas classificadas</t>
        </is>
      </c>
      <c r="D325" s="71">
        <f>IFERROR(D324/D323,"-")</f>
        <v/>
      </c>
      <c r="E325" s="71">
        <f>IFERROR(E324/E323,"-")</f>
        <v/>
      </c>
      <c r="F325" s="71">
        <f>IFERROR(F324/F323,"-")</f>
        <v/>
      </c>
      <c r="G325" s="71">
        <f>IFERROR(G324/G323,"-")</f>
        <v/>
      </c>
      <c r="H325" s="71">
        <f>IFERROR(H324/H323,"-")</f>
        <v/>
      </c>
      <c r="I325" s="71">
        <f>IFERROR(I324/I323,"-")</f>
        <v/>
      </c>
      <c r="J325" s="71">
        <f>IFERROR(J324/J323,"-")</f>
        <v/>
      </c>
      <c r="K325" s="71">
        <f>IFERROR(K324/K323,"-")</f>
        <v/>
      </c>
      <c r="L325" s="71">
        <f>IFERROR(L324/L323,"-")</f>
        <v/>
      </c>
      <c r="M325" s="71">
        <f>IFERROR(M324/M323,"-")</f>
        <v/>
      </c>
      <c r="N325" s="71">
        <f>IFERROR(N324/N323,"-")</f>
        <v/>
      </c>
      <c r="O325" s="71">
        <f>IFERROR(O324/O323,"-")</f>
        <v/>
      </c>
      <c r="P325" s="71">
        <f>IFERROR(P324/P323,"-")</f>
        <v/>
      </c>
    </row>
    <row r="326" ht="15.75" customHeight="1" s="45">
      <c r="A326" s="61" t="n">
        <v>46198</v>
      </c>
      <c r="B326" s="82" t="inlineStr">
        <is>
          <t>Pós-Projeto</t>
        </is>
      </c>
      <c r="C326" s="87" t="inlineStr">
        <is>
          <t>Tempo Médio — 🟡 Amarelo (hh:mm)</t>
        </is>
      </c>
      <c r="D326" s="73" t="n">
        <v>0.09128472222222223</v>
      </c>
      <c r="E326" s="73" t="n">
        <v>0.09767361111111111</v>
      </c>
      <c r="F326" s="73" t="n">
        <v>0.03268518518518519</v>
      </c>
      <c r="G326" s="73" t="n">
        <v>0.03899305555555556</v>
      </c>
      <c r="H326" s="73" t="n">
        <v>0.0743287037037037</v>
      </c>
      <c r="I326" s="73" t="n">
        <v>0.02383101851851852</v>
      </c>
      <c r="J326" s="73" t="n">
        <v>0.03373842592592593</v>
      </c>
      <c r="K326" s="73" t="n">
        <v>0.06343749999999999</v>
      </c>
      <c r="L326" s="73" t="n">
        <v>0.1279513888888889</v>
      </c>
      <c r="M326" s="73" t="n">
        <v>0.06289351851851852</v>
      </c>
      <c r="N326" s="73" t="n">
        <v>0.07189814814814814</v>
      </c>
      <c r="O326" s="73" t="n">
        <v>0.0356712962962963</v>
      </c>
      <c r="P326" s="73" t="n">
        <v>0.08476851851851852</v>
      </c>
    </row>
    <row r="327" ht="15.75" customHeight="1" s="45">
      <c r="A327" s="61" t="n">
        <v>46198</v>
      </c>
      <c r="B327" s="82" t="inlineStr">
        <is>
          <t>Pós-Projeto</t>
        </is>
      </c>
      <c r="C327" s="88" t="inlineStr">
        <is>
          <t>Tempo Médio — 🟠 Laranja (hh:mm)</t>
        </is>
      </c>
      <c r="D327" s="75" t="n">
        <v>0.05296296296296296</v>
      </c>
      <c r="E327" s="75" t="n">
        <v>0.008344907407407407</v>
      </c>
      <c r="F327" s="75" t="n">
        <v>0.0046875</v>
      </c>
      <c r="G327" s="75" t="n">
        <v>0.003900462962962963</v>
      </c>
      <c r="H327" s="75" t="n">
        <v>0.009236111111111112</v>
      </c>
      <c r="I327" s="75" t="n">
        <v>0.0025</v>
      </c>
      <c r="J327" s="75" t="n">
        <v>0.009664351851851851</v>
      </c>
      <c r="K327" s="75" t="n">
        <v>0.009803240740740741</v>
      </c>
      <c r="L327" s="75" t="n">
        <v>0.01619212962962963</v>
      </c>
      <c r="M327" s="75" t="n">
        <v>0.01430555555555556</v>
      </c>
      <c r="N327" s="75" t="n">
        <v>0.02511574074074074</v>
      </c>
      <c r="O327" s="75" t="n">
        <v>0.0125462962962963</v>
      </c>
      <c r="P327" s="75" t="n">
        <v>0.01898148148148148</v>
      </c>
    </row>
    <row r="328" ht="15.75" customHeight="1" s="45">
      <c r="A328" s="76" t="n">
        <v>46198</v>
      </c>
      <c r="B328" s="82" t="inlineStr">
        <is>
          <t>Pós-Projeto</t>
        </is>
      </c>
      <c r="C328" s="91" t="inlineStr">
        <is>
          <t>Tempo Médio — 🟢 Verde   (hh:mm)</t>
        </is>
      </c>
      <c r="D328" s="79" t="n">
        <v>0.09495370370370371</v>
      </c>
      <c r="E328" s="79" t="n">
        <v>0.1058217592592593</v>
      </c>
      <c r="F328" s="79" t="n">
        <v>0.09267361111111111</v>
      </c>
      <c r="G328" s="79" t="n">
        <v>0.1144907407407407</v>
      </c>
      <c r="H328" s="79" t="n">
        <v>0.1525347222222222</v>
      </c>
      <c r="I328" s="79" t="n">
        <v>0.1336805555555556</v>
      </c>
      <c r="J328" s="79" t="n">
        <v>0.06418981481481481</v>
      </c>
      <c r="K328" s="79" t="n">
        <v>0.1164814814814815</v>
      </c>
      <c r="L328" s="79" t="n">
        <v>0.1660532407407407</v>
      </c>
      <c r="M328" s="79" t="n">
        <v>0.156087962962963</v>
      </c>
      <c r="N328" s="79" t="n">
        <v>0.1632175925925926</v>
      </c>
      <c r="O328" s="79" t="n">
        <v>0.079375</v>
      </c>
      <c r="P328" s="79" t="n">
        <v>0.1051273148148148</v>
      </c>
    </row>
    <row r="329" ht="15.75" customHeight="1" s="45">
      <c r="A329" s="57" t="n">
        <v>46199</v>
      </c>
      <c r="B329" s="81" t="inlineStr">
        <is>
          <t>Pós-Projeto</t>
        </is>
      </c>
      <c r="C329" s="59" t="inlineStr">
        <is>
          <t>Acolhim. + Atend. Urgência + Atend. UPA</t>
        </is>
      </c>
      <c r="D329" s="60">
        <f>SUM(D330:D332)</f>
        <v/>
      </c>
      <c r="E329" s="60">
        <f>SUM(E330:E332)</f>
        <v/>
      </c>
      <c r="F329" s="60">
        <f>SUM(F330:F332)</f>
        <v/>
      </c>
      <c r="G329" s="60">
        <f>SUM(G330:G332)</f>
        <v/>
      </c>
      <c r="H329" s="60">
        <f>SUM(H330:H332)</f>
        <v/>
      </c>
      <c r="I329" s="60">
        <f>SUM(I330:I332)</f>
        <v/>
      </c>
      <c r="J329" s="60">
        <f>SUM(J330:J332)</f>
        <v/>
      </c>
      <c r="K329" s="60">
        <f>SUM(K330:K332)</f>
        <v/>
      </c>
      <c r="L329" s="60">
        <f>SUM(L330:L332)</f>
        <v/>
      </c>
      <c r="M329" s="60">
        <f>SUM(M330:M332)</f>
        <v/>
      </c>
      <c r="N329" s="60">
        <f>SUM(N330:N332)</f>
        <v/>
      </c>
      <c r="O329" s="60">
        <f>SUM(O330:O332)</f>
        <v/>
      </c>
      <c r="P329" s="60">
        <f>SUM(P330:P332)</f>
        <v/>
      </c>
    </row>
    <row r="330" ht="15.75" customHeight="1" s="45">
      <c r="A330" s="61" t="n">
        <v>46199</v>
      </c>
      <c r="B330" s="82" t="inlineStr">
        <is>
          <t>Pós-Projeto</t>
        </is>
      </c>
      <c r="C330" s="83" t="inlineStr">
        <is>
          <t>Acolhimento c/ Classif. de Risco</t>
        </is>
      </c>
      <c r="D330" s="64" t="n">
        <v>198</v>
      </c>
      <c r="E330" s="64" t="n">
        <v>139</v>
      </c>
      <c r="F330" s="64" t="n">
        <v>156</v>
      </c>
      <c r="G330" s="64" t="n">
        <v>120</v>
      </c>
      <c r="H330" s="64" t="n">
        <v>134</v>
      </c>
      <c r="I330" s="64" t="n">
        <v>183</v>
      </c>
      <c r="J330" s="64" t="n">
        <v>112</v>
      </c>
      <c r="K330" s="64" t="n">
        <v>282</v>
      </c>
      <c r="L330" s="64" t="n">
        <v>113</v>
      </c>
      <c r="M330" s="64" t="n">
        <v>217</v>
      </c>
      <c r="N330" s="64" t="n">
        <v>208</v>
      </c>
      <c r="O330" s="64" t="n">
        <v>271</v>
      </c>
      <c r="P330" s="64" t="n">
        <v>211</v>
      </c>
    </row>
    <row r="331" ht="15.75" customHeight="1" s="45">
      <c r="A331" s="61" t="n">
        <v>46199</v>
      </c>
      <c r="B331" s="82" t="inlineStr">
        <is>
          <t>Pós-Projeto</t>
        </is>
      </c>
      <c r="C331" s="84" t="inlineStr">
        <is>
          <t>Atend. Urgência Obs. ≤ 24h</t>
        </is>
      </c>
      <c r="D331" s="66" t="n">
        <v>26</v>
      </c>
      <c r="E331" s="66" t="n">
        <v>21</v>
      </c>
      <c r="F331" s="66" t="n">
        <v>33</v>
      </c>
      <c r="G331" s="66" t="n">
        <v>38</v>
      </c>
      <c r="H331" s="66" t="n">
        <v>31</v>
      </c>
      <c r="I331" s="66" t="n">
        <v>21</v>
      </c>
      <c r="J331" s="66" t="n">
        <v>9</v>
      </c>
      <c r="K331" s="66" t="n">
        <v>39</v>
      </c>
      <c r="L331" s="66" t="n">
        <v>32</v>
      </c>
      <c r="M331" s="66" t="n">
        <v>20</v>
      </c>
      <c r="N331" s="66" t="n">
        <v>28</v>
      </c>
      <c r="O331" s="66" t="n">
        <v>14</v>
      </c>
      <c r="P331" s="66" t="n">
        <v>16</v>
      </c>
    </row>
    <row r="332" ht="15.75" customHeight="1" s="45">
      <c r="A332" s="61" t="n">
        <v>46199</v>
      </c>
      <c r="B332" s="82" t="inlineStr">
        <is>
          <t>Pós-Projeto</t>
        </is>
      </c>
      <c r="C332" s="83" t="inlineStr">
        <is>
          <t>Atend. Médico em UPA</t>
        </is>
      </c>
      <c r="D332" s="64" t="n">
        <v>178</v>
      </c>
      <c r="E332" s="64" t="n">
        <v>68</v>
      </c>
      <c r="F332" s="64" t="n">
        <v>142</v>
      </c>
      <c r="G332" s="64" t="n">
        <v>72</v>
      </c>
      <c r="H332" s="64" t="n">
        <v>74</v>
      </c>
      <c r="I332" s="64" t="n">
        <v>164</v>
      </c>
      <c r="J332" s="64" t="n">
        <v>88</v>
      </c>
      <c r="K332" s="64" t="n">
        <v>222</v>
      </c>
      <c r="L332" s="64" t="n">
        <v>74</v>
      </c>
      <c r="M332" s="64" t="n">
        <v>144</v>
      </c>
      <c r="N332" s="64" t="n">
        <v>135</v>
      </c>
      <c r="O332" s="64" t="n">
        <v>198</v>
      </c>
      <c r="P332" s="64" t="n">
        <v>144</v>
      </c>
    </row>
    <row r="333" ht="15.75" customHeight="1" s="45">
      <c r="A333" s="61" t="n">
        <v>46199</v>
      </c>
      <c r="B333" s="82" t="inlineStr">
        <is>
          <t>Pós-Projeto</t>
        </is>
      </c>
      <c r="C333" s="84" t="inlineStr">
        <is>
          <t>Exames Laboratoriais</t>
        </is>
      </c>
      <c r="D333" s="66" t="n">
        <v>761</v>
      </c>
      <c r="E333" s="66" t="n">
        <v>78</v>
      </c>
      <c r="F333" s="66" t="n">
        <v>550</v>
      </c>
      <c r="G333" s="66" t="n">
        <v>344</v>
      </c>
      <c r="H333" s="66" t="n">
        <v>274</v>
      </c>
      <c r="I333" s="66" t="n">
        <v>457</v>
      </c>
      <c r="J333" s="66" t="n">
        <v>195</v>
      </c>
      <c r="K333" s="66" t="n">
        <v>840</v>
      </c>
      <c r="L333" s="66" t="n">
        <v>388</v>
      </c>
      <c r="M333" s="66" t="n">
        <v>552</v>
      </c>
      <c r="N333" s="66" t="n">
        <v>777</v>
      </c>
      <c r="O333" s="66" t="n">
        <v>543</v>
      </c>
      <c r="P333" s="66" t="n">
        <v>259</v>
      </c>
    </row>
    <row r="334" ht="15.75" customHeight="1" s="45">
      <c r="A334" s="61" t="n">
        <v>46199</v>
      </c>
      <c r="B334" s="82" t="inlineStr">
        <is>
          <t>Pós-Projeto</t>
        </is>
      </c>
      <c r="C334" s="83" t="inlineStr">
        <is>
          <t>Radiografias</t>
        </is>
      </c>
      <c r="D334" s="64" t="n">
        <v>30</v>
      </c>
      <c r="E334" s="64" t="n">
        <v>18</v>
      </c>
      <c r="F334" s="64" t="n">
        <v>30</v>
      </c>
      <c r="G334" s="64" t="n">
        <v>20</v>
      </c>
      <c r="H334" s="64" t="n">
        <v>17</v>
      </c>
      <c r="I334" s="64" t="n">
        <v>25</v>
      </c>
      <c r="J334" s="64" t="n">
        <v>18</v>
      </c>
      <c r="K334" s="64" t="n">
        <v>62</v>
      </c>
      <c r="L334" s="64" t="n">
        <v>19</v>
      </c>
      <c r="M334" s="64" t="n">
        <v>47</v>
      </c>
      <c r="N334" s="64" t="n">
        <v>29</v>
      </c>
      <c r="O334" s="64" t="n">
        <v>61</v>
      </c>
      <c r="P334" s="64" t="n">
        <v>39</v>
      </c>
    </row>
    <row r="335" ht="15.75" customHeight="1" s="45">
      <c r="A335" s="61" t="n">
        <v>46199</v>
      </c>
      <c r="B335" s="82" t="inlineStr">
        <is>
          <t>Pós-Projeto</t>
        </is>
      </c>
      <c r="C335" s="84" t="inlineStr">
        <is>
          <t>Eletrocardiogramas</t>
        </is>
      </c>
      <c r="D335" s="67" t="n">
        <v>0</v>
      </c>
      <c r="E335" s="66" t="n">
        <v>2</v>
      </c>
      <c r="F335" s="66" t="n">
        <v>22</v>
      </c>
      <c r="G335" s="66" t="n">
        <v>2</v>
      </c>
      <c r="H335" s="67" t="n">
        <v>0</v>
      </c>
      <c r="I335" s="66" t="n">
        <v>3</v>
      </c>
      <c r="J335" s="67" t="n">
        <v>0</v>
      </c>
      <c r="K335" s="66" t="n">
        <v>23</v>
      </c>
      <c r="L335" s="66" t="n">
        <v>11</v>
      </c>
      <c r="M335" s="66" t="n">
        <v>1</v>
      </c>
      <c r="N335" s="66" t="n">
        <v>12</v>
      </c>
      <c r="O335" s="66" t="n">
        <v>16</v>
      </c>
      <c r="P335" s="66" t="n">
        <v>5</v>
      </c>
    </row>
    <row r="336" ht="15.75" customHeight="1" s="45">
      <c r="A336" s="61" t="n">
        <v>46199</v>
      </c>
      <c r="B336" s="82" t="inlineStr">
        <is>
          <t>Pós-Projeto</t>
        </is>
      </c>
      <c r="C336" s="85" t="inlineStr">
        <is>
          <t>GAEs Abertas</t>
        </is>
      </c>
      <c r="D336" s="69" t="n">
        <v>204</v>
      </c>
      <c r="E336" s="69" t="n">
        <v>145</v>
      </c>
      <c r="F336" s="69" t="n">
        <v>157</v>
      </c>
      <c r="G336" s="69" t="n">
        <v>125</v>
      </c>
      <c r="H336" s="69" t="n">
        <v>140</v>
      </c>
      <c r="I336" s="69" t="n">
        <v>199</v>
      </c>
      <c r="J336" s="69" t="n">
        <v>116</v>
      </c>
      <c r="K336" s="69" t="n">
        <v>300</v>
      </c>
      <c r="L336" s="69" t="n">
        <v>119</v>
      </c>
      <c r="M336" s="69" t="n">
        <v>228</v>
      </c>
      <c r="N336" s="69" t="n">
        <v>218</v>
      </c>
      <c r="O336" s="69" t="n">
        <v>274</v>
      </c>
      <c r="P336" s="69" t="n">
        <v>220</v>
      </c>
    </row>
    <row r="337" ht="15.75" customHeight="1" s="45">
      <c r="A337" s="61" t="n">
        <v>46199</v>
      </c>
      <c r="B337" s="82" t="inlineStr">
        <is>
          <t>Pós-Projeto</t>
        </is>
      </c>
      <c r="C337" s="85" t="inlineStr">
        <is>
          <t>GAEs Classificadas</t>
        </is>
      </c>
      <c r="D337" s="69" t="n">
        <v>195</v>
      </c>
      <c r="E337" s="69" t="n">
        <v>140</v>
      </c>
      <c r="F337" s="69" t="n">
        <v>155</v>
      </c>
      <c r="G337" s="69" t="n">
        <v>120</v>
      </c>
      <c r="H337" s="69" t="n">
        <v>134</v>
      </c>
      <c r="I337" s="69" t="n">
        <v>184</v>
      </c>
      <c r="J337" s="69" t="n">
        <v>112</v>
      </c>
      <c r="K337" s="69" t="n">
        <v>283</v>
      </c>
      <c r="L337" s="69" t="n">
        <v>115</v>
      </c>
      <c r="M337" s="69" t="n">
        <v>215</v>
      </c>
      <c r="N337" s="69" t="n">
        <v>202</v>
      </c>
      <c r="O337" s="69" t="n">
        <v>272</v>
      </c>
      <c r="P337" s="69" t="n">
        <v>213</v>
      </c>
    </row>
    <row r="338" ht="15.75" customHeight="1" s="45">
      <c r="A338" s="61" t="n">
        <v>46199</v>
      </c>
      <c r="B338" s="82" t="inlineStr">
        <is>
          <t>Pós-Projeto</t>
        </is>
      </c>
      <c r="C338" s="86" t="inlineStr">
        <is>
          <t>Percentual de GAEs abertas classificadas</t>
        </is>
      </c>
      <c r="D338" s="71">
        <f>IFERROR(D337/D336,"-")</f>
        <v/>
      </c>
      <c r="E338" s="71">
        <f>IFERROR(E337/E336,"-")</f>
        <v/>
      </c>
      <c r="F338" s="71">
        <f>IFERROR(F337/F336,"-")</f>
        <v/>
      </c>
      <c r="G338" s="71">
        <f>IFERROR(G337/G336,"-")</f>
        <v/>
      </c>
      <c r="H338" s="71">
        <f>IFERROR(H337/H336,"-")</f>
        <v/>
      </c>
      <c r="I338" s="71">
        <f>IFERROR(I337/I336,"-")</f>
        <v/>
      </c>
      <c r="J338" s="71">
        <f>IFERROR(J337/J336,"-")</f>
        <v/>
      </c>
      <c r="K338" s="71">
        <f>IFERROR(K337/K336,"-")</f>
        <v/>
      </c>
      <c r="L338" s="71">
        <f>IFERROR(L337/L336,"-")</f>
        <v/>
      </c>
      <c r="M338" s="71">
        <f>IFERROR(M337/M336,"-")</f>
        <v/>
      </c>
      <c r="N338" s="71">
        <f>IFERROR(N337/N336,"-")</f>
        <v/>
      </c>
      <c r="O338" s="71">
        <f>IFERROR(O337/O336,"-")</f>
        <v/>
      </c>
      <c r="P338" s="71">
        <f>IFERROR(P337/P336,"-")</f>
        <v/>
      </c>
    </row>
    <row r="339" ht="15.75" customHeight="1" s="45">
      <c r="A339" s="61" t="n">
        <v>46199</v>
      </c>
      <c r="B339" s="82" t="inlineStr">
        <is>
          <t>Pós-Projeto</t>
        </is>
      </c>
      <c r="C339" s="87" t="inlineStr">
        <is>
          <t>Tempo Médio — 🟡 Amarelo (hh:mm)</t>
        </is>
      </c>
      <c r="D339" s="73" t="n">
        <v>0.04221064814814815</v>
      </c>
      <c r="E339" s="73" t="n">
        <v>0.1037037037037037</v>
      </c>
      <c r="F339" s="73" t="n">
        <v>0.04230324074074074</v>
      </c>
      <c r="G339" s="73" t="n">
        <v>0.04201388888888889</v>
      </c>
      <c r="H339" s="73" t="n">
        <v>0.1091782407407407</v>
      </c>
      <c r="I339" s="73" t="n">
        <v>0.03368055555555555</v>
      </c>
      <c r="J339" s="73" t="n">
        <v>0.02059027777777778</v>
      </c>
      <c r="K339" s="73" t="n">
        <v>0.07385416666666667</v>
      </c>
      <c r="L339" s="73" t="n">
        <v>0.07225694444444444</v>
      </c>
      <c r="M339" s="73" t="n">
        <v>0.03737268518518518</v>
      </c>
      <c r="N339" s="73" t="n">
        <v>0.1234375</v>
      </c>
      <c r="O339" s="73" t="n">
        <v>0.04020833333333333</v>
      </c>
      <c r="P339" s="73" t="n">
        <v>0.04409722222222223</v>
      </c>
    </row>
    <row r="340" ht="15.75" customHeight="1" s="45">
      <c r="A340" s="61" t="n">
        <v>46199</v>
      </c>
      <c r="B340" s="82" t="inlineStr">
        <is>
          <t>Pós-Projeto</t>
        </is>
      </c>
      <c r="C340" s="88" t="inlineStr">
        <is>
          <t>Tempo Médio — 🟠 Laranja (hh:mm)</t>
        </is>
      </c>
      <c r="D340" s="75" t="n">
        <v>0.007199074074074074</v>
      </c>
      <c r="E340" s="75" t="n">
        <v>0.01862268518518519</v>
      </c>
      <c r="F340" s="75" t="n">
        <v>0.004513888888888888</v>
      </c>
      <c r="G340" s="75" t="n">
        <v>0.007673611111111111</v>
      </c>
      <c r="H340" s="75" t="n">
        <v>0.007916666666666667</v>
      </c>
      <c r="I340" s="75" t="n">
        <v>0.004837962962962963</v>
      </c>
      <c r="J340" s="75" t="n">
        <v>0.006724537037037037</v>
      </c>
      <c r="K340" s="75" t="n">
        <v>0.01010416666666667</v>
      </c>
      <c r="L340" s="75" t="n">
        <v>0.006099537037037037</v>
      </c>
      <c r="M340" s="75" t="n">
        <v>0.01045138888888889</v>
      </c>
      <c r="N340" s="75" t="n">
        <v>0.01788194444444444</v>
      </c>
      <c r="O340" s="75" t="n">
        <v>0.01185185185185185</v>
      </c>
      <c r="P340" s="75" t="n">
        <v>0.01782407407407408</v>
      </c>
    </row>
    <row r="341" ht="15.75" customHeight="1" s="45">
      <c r="A341" s="76" t="n">
        <v>46199</v>
      </c>
      <c r="B341" s="82" t="inlineStr">
        <is>
          <t>Pós-Projeto</t>
        </is>
      </c>
      <c r="C341" s="91" t="inlineStr">
        <is>
          <t>Tempo Médio — 🟢 Verde   (hh:mm)</t>
        </is>
      </c>
      <c r="D341" s="79" t="n">
        <v>0.07799768518518518</v>
      </c>
      <c r="E341" s="79" t="n">
        <v>0.1351851851851852</v>
      </c>
      <c r="F341" s="79" t="n">
        <v>0.04511574074074074</v>
      </c>
      <c r="G341" s="79" t="n">
        <v>0.1215740740740741</v>
      </c>
      <c r="H341" s="79" t="n">
        <v>0.1020949074074074</v>
      </c>
      <c r="I341" s="79" t="n">
        <v>0.1214583333333333</v>
      </c>
      <c r="J341" s="79" t="n">
        <v>0.03481481481481481</v>
      </c>
      <c r="K341" s="79" t="n">
        <v>0.1015509259259259</v>
      </c>
      <c r="L341" s="79" t="n">
        <v>0.1032291666666667</v>
      </c>
      <c r="M341" s="79" t="n">
        <v>0.08002314814814815</v>
      </c>
      <c r="N341" s="79" t="n">
        <v>0.05094907407407408</v>
      </c>
      <c r="O341" s="79" t="n">
        <v>0.05515046296296296</v>
      </c>
      <c r="P341" s="79" t="n">
        <v>0.02622685185185185</v>
      </c>
    </row>
    <row r="342" ht="15.75" customHeight="1" s="45">
      <c r="A342" s="57" t="n">
        <v>46200</v>
      </c>
      <c r="B342" s="81" t="inlineStr">
        <is>
          <t>Pós-Projeto</t>
        </is>
      </c>
      <c r="C342" s="59" t="inlineStr">
        <is>
          <t>Acolhim. + Atend. Urgência + Atend. UPA</t>
        </is>
      </c>
      <c r="D342" s="60">
        <f>SUM(D343:D345)</f>
        <v/>
      </c>
      <c r="E342" s="60">
        <f>SUM(E343:E345)</f>
        <v/>
      </c>
      <c r="F342" s="60">
        <f>SUM(F343:F345)</f>
        <v/>
      </c>
      <c r="G342" s="60">
        <f>SUM(G343:G345)</f>
        <v/>
      </c>
      <c r="H342" s="60">
        <f>SUM(H343:H345)</f>
        <v/>
      </c>
      <c r="I342" s="60">
        <f>SUM(I343:I345)</f>
        <v/>
      </c>
      <c r="J342" s="60">
        <f>SUM(J343:J345)</f>
        <v/>
      </c>
      <c r="K342" s="60">
        <f>SUM(K343:K345)</f>
        <v/>
      </c>
      <c r="L342" s="60">
        <f>SUM(L343:L345)</f>
        <v/>
      </c>
      <c r="M342" s="60">
        <f>SUM(M343:M345)</f>
        <v/>
      </c>
      <c r="N342" s="60">
        <f>SUM(N343:N345)</f>
        <v/>
      </c>
      <c r="O342" s="60">
        <f>SUM(O343:O345)</f>
        <v/>
      </c>
      <c r="P342" s="60">
        <f>SUM(P343:P345)</f>
        <v/>
      </c>
    </row>
    <row r="343" ht="15.75" customHeight="1" s="45">
      <c r="A343" s="61" t="n">
        <v>46200</v>
      </c>
      <c r="B343" s="82" t="inlineStr">
        <is>
          <t>Pós-Projeto</t>
        </is>
      </c>
      <c r="C343" s="83" t="inlineStr">
        <is>
          <t>Acolhimento c/ Classif. de Risco</t>
        </is>
      </c>
      <c r="D343" s="64" t="n">
        <v>154</v>
      </c>
      <c r="E343" s="64" t="n">
        <v>86</v>
      </c>
      <c r="F343" s="64" t="n">
        <v>339</v>
      </c>
      <c r="G343" s="64" t="n">
        <v>90</v>
      </c>
      <c r="H343" s="64" t="n">
        <v>116</v>
      </c>
      <c r="I343" s="64" t="n">
        <v>181</v>
      </c>
      <c r="J343" s="64" t="n">
        <v>98</v>
      </c>
      <c r="K343" s="64" t="n">
        <v>246</v>
      </c>
      <c r="L343" s="64" t="n">
        <v>117</v>
      </c>
      <c r="M343" s="64" t="n">
        <v>190</v>
      </c>
      <c r="N343" s="64" t="n">
        <v>142</v>
      </c>
      <c r="O343" s="64" t="n">
        <v>225</v>
      </c>
      <c r="P343" s="64" t="n">
        <v>192</v>
      </c>
    </row>
    <row r="344" ht="15.75" customHeight="1" s="45">
      <c r="A344" s="61" t="n">
        <v>46200</v>
      </c>
      <c r="B344" s="82" t="inlineStr">
        <is>
          <t>Pós-Projeto</t>
        </is>
      </c>
      <c r="C344" s="84" t="inlineStr">
        <is>
          <t>Atend. Urgência Obs. ≤ 24h</t>
        </is>
      </c>
      <c r="D344" s="66" t="n">
        <v>41</v>
      </c>
      <c r="E344" s="66" t="n">
        <v>21</v>
      </c>
      <c r="F344" s="66" t="n">
        <v>404</v>
      </c>
      <c r="G344" s="66" t="n">
        <v>32</v>
      </c>
      <c r="H344" s="66" t="n">
        <v>15</v>
      </c>
      <c r="I344" s="66" t="n">
        <v>17</v>
      </c>
      <c r="J344" s="66" t="n">
        <v>3</v>
      </c>
      <c r="K344" s="66" t="n">
        <v>82</v>
      </c>
      <c r="L344" s="66" t="n">
        <v>43</v>
      </c>
      <c r="M344" s="66" t="n">
        <v>15</v>
      </c>
      <c r="N344" s="66" t="n">
        <v>30</v>
      </c>
      <c r="O344" s="66" t="n">
        <v>9</v>
      </c>
      <c r="P344" s="66" t="n">
        <v>7</v>
      </c>
    </row>
    <row r="345" ht="15.75" customHeight="1" s="45">
      <c r="A345" s="61" t="n">
        <v>46200</v>
      </c>
      <c r="B345" s="82" t="inlineStr">
        <is>
          <t>Pós-Projeto</t>
        </is>
      </c>
      <c r="C345" s="83" t="inlineStr">
        <is>
          <t>Atend. Médico em UPA</t>
        </is>
      </c>
      <c r="D345" s="64" t="n">
        <v>180</v>
      </c>
      <c r="E345" s="64" t="n">
        <v>27</v>
      </c>
      <c r="F345" s="67" t="n">
        <v>0</v>
      </c>
      <c r="G345" s="64" t="n">
        <v>60</v>
      </c>
      <c r="H345" s="64" t="n">
        <v>108</v>
      </c>
      <c r="I345" s="64" t="n">
        <v>150</v>
      </c>
      <c r="J345" s="64" t="n">
        <v>69</v>
      </c>
      <c r="K345" s="64" t="n">
        <v>212</v>
      </c>
      <c r="L345" s="64" t="n">
        <v>87</v>
      </c>
      <c r="M345" s="64" t="n">
        <v>122</v>
      </c>
      <c r="N345" s="64" t="n">
        <v>81</v>
      </c>
      <c r="O345" s="64" t="n">
        <v>174</v>
      </c>
      <c r="P345" s="64" t="n">
        <v>128</v>
      </c>
    </row>
    <row r="346" ht="15.75" customHeight="1" s="45">
      <c r="A346" s="61" t="n">
        <v>46200</v>
      </c>
      <c r="B346" s="82" t="inlineStr">
        <is>
          <t>Pós-Projeto</t>
        </is>
      </c>
      <c r="C346" s="84" t="inlineStr">
        <is>
          <t>Exames Laboratoriais</t>
        </is>
      </c>
      <c r="D346" s="66" t="n">
        <v>593</v>
      </c>
      <c r="E346" s="66" t="n">
        <v>253</v>
      </c>
      <c r="F346" s="66" t="n">
        <v>653</v>
      </c>
      <c r="G346" s="66" t="n">
        <v>300</v>
      </c>
      <c r="H346" s="66" t="n">
        <v>295</v>
      </c>
      <c r="I346" s="66" t="n">
        <v>346</v>
      </c>
      <c r="J346" s="66" t="n">
        <v>220</v>
      </c>
      <c r="K346" s="66" t="n">
        <v>798</v>
      </c>
      <c r="L346" s="66" t="n">
        <v>497</v>
      </c>
      <c r="M346" s="66" t="n">
        <v>546</v>
      </c>
      <c r="N346" s="66" t="n">
        <v>472</v>
      </c>
      <c r="O346" s="66" t="n">
        <v>340</v>
      </c>
      <c r="P346" s="66" t="n">
        <v>404</v>
      </c>
    </row>
    <row r="347" ht="15.75" customHeight="1" s="45">
      <c r="A347" s="61" t="n">
        <v>46200</v>
      </c>
      <c r="B347" s="82" t="inlineStr">
        <is>
          <t>Pós-Projeto</t>
        </is>
      </c>
      <c r="C347" s="83" t="inlineStr">
        <is>
          <t>Radiografias</t>
        </is>
      </c>
      <c r="D347" s="64" t="n">
        <v>25</v>
      </c>
      <c r="E347" s="64" t="n">
        <v>14</v>
      </c>
      <c r="F347" s="64" t="n">
        <v>318</v>
      </c>
      <c r="G347" s="64" t="n">
        <v>30</v>
      </c>
      <c r="H347" s="64" t="n">
        <v>16</v>
      </c>
      <c r="I347" s="64" t="n">
        <v>22</v>
      </c>
      <c r="J347" s="64" t="n">
        <v>15</v>
      </c>
      <c r="K347" s="64" t="n">
        <v>53</v>
      </c>
      <c r="L347" s="64" t="n">
        <v>13</v>
      </c>
      <c r="M347" s="64" t="n">
        <v>60</v>
      </c>
      <c r="N347" s="64" t="n">
        <v>21</v>
      </c>
      <c r="O347" s="64" t="n">
        <v>23</v>
      </c>
      <c r="P347" s="64" t="n">
        <v>43</v>
      </c>
    </row>
    <row r="348" ht="15.75" customHeight="1" s="45">
      <c r="A348" s="61" t="n">
        <v>46200</v>
      </c>
      <c r="B348" s="82" t="inlineStr">
        <is>
          <t>Pós-Projeto</t>
        </is>
      </c>
      <c r="C348" s="84" t="inlineStr">
        <is>
          <t>Eletrocardiogramas</t>
        </is>
      </c>
      <c r="D348" s="67" t="n">
        <v>0</v>
      </c>
      <c r="E348" s="67" t="n">
        <v>0</v>
      </c>
      <c r="F348" s="66" t="n">
        <v>4</v>
      </c>
      <c r="G348" s="66" t="n">
        <v>7</v>
      </c>
      <c r="H348" s="67" t="n">
        <v>0</v>
      </c>
      <c r="I348" s="66" t="n">
        <v>1</v>
      </c>
      <c r="J348" s="67" t="n">
        <v>0</v>
      </c>
      <c r="K348" s="66" t="n">
        <v>2</v>
      </c>
      <c r="L348" s="66" t="n">
        <v>16</v>
      </c>
      <c r="M348" s="67" t="n">
        <v>0</v>
      </c>
      <c r="N348" s="66" t="n">
        <v>3</v>
      </c>
      <c r="O348" s="66" t="n">
        <v>7</v>
      </c>
      <c r="P348" s="67" t="n">
        <v>0</v>
      </c>
    </row>
    <row r="349" ht="15.75" customHeight="1" s="45">
      <c r="A349" s="61" t="n">
        <v>46200</v>
      </c>
      <c r="B349" s="82" t="inlineStr">
        <is>
          <t>Pós-Projeto</t>
        </is>
      </c>
      <c r="C349" s="85" t="inlineStr">
        <is>
          <t>GAEs Abertas</t>
        </is>
      </c>
      <c r="D349" s="69" t="n">
        <v>161</v>
      </c>
      <c r="E349" s="69" t="n">
        <v>100</v>
      </c>
      <c r="F349" s="69" t="n">
        <v>143</v>
      </c>
      <c r="G349" s="69" t="n">
        <v>94</v>
      </c>
      <c r="H349" s="69" t="n">
        <v>118</v>
      </c>
      <c r="I349" s="69" t="n">
        <v>195</v>
      </c>
      <c r="J349" s="69" t="n">
        <v>100</v>
      </c>
      <c r="K349" s="69" t="n">
        <v>287</v>
      </c>
      <c r="L349" s="69" t="n">
        <v>127</v>
      </c>
      <c r="M349" s="69" t="n">
        <v>198</v>
      </c>
      <c r="N349" s="69" t="n">
        <v>146</v>
      </c>
      <c r="O349" s="69" t="n">
        <v>241</v>
      </c>
      <c r="P349" s="69" t="n">
        <v>197</v>
      </c>
    </row>
    <row r="350" ht="15.75" customHeight="1" s="45">
      <c r="A350" s="61" t="n">
        <v>46200</v>
      </c>
      <c r="B350" s="82" t="inlineStr">
        <is>
          <t>Pós-Projeto</t>
        </is>
      </c>
      <c r="C350" s="85" t="inlineStr">
        <is>
          <t>GAEs Classificadas</t>
        </is>
      </c>
      <c r="D350" s="69" t="n">
        <v>153</v>
      </c>
      <c r="E350" s="69" t="n">
        <v>88</v>
      </c>
      <c r="F350" s="69" t="n">
        <v>141</v>
      </c>
      <c r="G350" s="69" t="n">
        <v>91</v>
      </c>
      <c r="H350" s="69" t="n">
        <v>115</v>
      </c>
      <c r="I350" s="69" t="n">
        <v>179</v>
      </c>
      <c r="J350" s="69" t="n">
        <v>98</v>
      </c>
      <c r="K350" s="69" t="n">
        <v>245</v>
      </c>
      <c r="L350" s="69" t="n">
        <v>118</v>
      </c>
      <c r="M350" s="69" t="n">
        <v>195</v>
      </c>
      <c r="N350" s="69" t="n">
        <v>144</v>
      </c>
      <c r="O350" s="69" t="n">
        <v>225</v>
      </c>
      <c r="P350" s="69" t="n">
        <v>190</v>
      </c>
    </row>
    <row r="351" ht="15.75" customHeight="1" s="45">
      <c r="A351" s="61" t="n">
        <v>46200</v>
      </c>
      <c r="B351" s="82" t="inlineStr">
        <is>
          <t>Pós-Projeto</t>
        </is>
      </c>
      <c r="C351" s="86" t="inlineStr">
        <is>
          <t>Percentual de GAEs abertas classificadas</t>
        </is>
      </c>
      <c r="D351" s="71">
        <f>IFERROR(D350/D349,"-")</f>
        <v/>
      </c>
      <c r="E351" s="71">
        <f>IFERROR(E350/E349,"-")</f>
        <v/>
      </c>
      <c r="F351" s="71">
        <f>IFERROR(F350/F349,"-")</f>
        <v/>
      </c>
      <c r="G351" s="71">
        <f>IFERROR(G350/G349,"-")</f>
        <v/>
      </c>
      <c r="H351" s="71">
        <f>IFERROR(H350/H349,"-")</f>
        <v/>
      </c>
      <c r="I351" s="71">
        <f>IFERROR(I350/I349,"-")</f>
        <v/>
      </c>
      <c r="J351" s="71">
        <f>IFERROR(J350/J349,"-")</f>
        <v/>
      </c>
      <c r="K351" s="71">
        <f>IFERROR(K350/K349,"-")</f>
        <v/>
      </c>
      <c r="L351" s="71">
        <f>IFERROR(L350/L349,"-")</f>
        <v/>
      </c>
      <c r="M351" s="71">
        <f>IFERROR(M350/M349,"-")</f>
        <v/>
      </c>
      <c r="N351" s="71">
        <f>IFERROR(N350/N349,"-")</f>
        <v/>
      </c>
      <c r="O351" s="71">
        <f>IFERROR(O350/O349,"-")</f>
        <v/>
      </c>
      <c r="P351" s="71">
        <f>IFERROR(P350/P349,"-")</f>
        <v/>
      </c>
    </row>
    <row r="352" ht="15.75" customHeight="1" s="45">
      <c r="A352" s="61" t="n">
        <v>46200</v>
      </c>
      <c r="B352" s="82" t="inlineStr">
        <is>
          <t>Pós-Projeto</t>
        </is>
      </c>
      <c r="C352" s="87" t="inlineStr">
        <is>
          <t>Tempo Médio — 🟡 Amarelo (hh:mm)</t>
        </is>
      </c>
      <c r="D352" s="73" t="n">
        <v>0.05386574074074074</v>
      </c>
      <c r="E352" s="73" t="n">
        <v>0.07694444444444444</v>
      </c>
      <c r="F352" s="73" t="n">
        <v>0.09115740740740741</v>
      </c>
      <c r="G352" s="73" t="n">
        <v>0.03237268518518518</v>
      </c>
      <c r="H352" s="73" t="n">
        <v>0.04899305555555555</v>
      </c>
      <c r="I352" s="73" t="n">
        <v>0.03329861111111111</v>
      </c>
      <c r="J352" s="73" t="n">
        <v>0.03991898148148148</v>
      </c>
      <c r="K352" s="73" t="n">
        <v>0.08883101851851852</v>
      </c>
      <c r="L352" s="73" t="n">
        <v>0.1138773148148148</v>
      </c>
      <c r="M352" s="73" t="n">
        <v>0.04275462962962963</v>
      </c>
      <c r="N352" s="73" t="n">
        <v>0.04164351851851852</v>
      </c>
      <c r="O352" s="73" t="n">
        <v>0.03583333333333334</v>
      </c>
      <c r="P352" s="73" t="n">
        <v>0.04456018518518518</v>
      </c>
    </row>
    <row r="353" ht="15.75" customHeight="1" s="45">
      <c r="A353" s="61" t="n">
        <v>46200</v>
      </c>
      <c r="B353" s="82" t="inlineStr">
        <is>
          <t>Pós-Projeto</t>
        </is>
      </c>
      <c r="C353" s="88" t="inlineStr">
        <is>
          <t>Tempo Médio — 🟠 Laranja (hh:mm)</t>
        </is>
      </c>
      <c r="D353" s="75" t="n">
        <v>0.007685185185185186</v>
      </c>
      <c r="E353" s="75" t="n">
        <v>0.006203703703703703</v>
      </c>
      <c r="F353" s="75" t="n">
        <v>0.007048611111111111</v>
      </c>
      <c r="G353" s="75" t="n">
        <v>0.009548611111111112</v>
      </c>
      <c r="H353" s="75" t="n">
        <v>0.009166666666666667</v>
      </c>
      <c r="I353" s="75" t="n">
        <v>0.007523148148148148</v>
      </c>
      <c r="J353" s="75" t="n">
        <v>0.009050925925925926</v>
      </c>
      <c r="K353" s="75" t="n">
        <v>0.01390046296296296</v>
      </c>
      <c r="L353" s="75" t="n">
        <v>0.008888888888888889</v>
      </c>
      <c r="M353" s="75" t="n">
        <v>0.0116087962962963</v>
      </c>
      <c r="N353" s="75" t="n">
        <v>0.009027777777777777</v>
      </c>
      <c r="O353" s="75" t="n">
        <v>0.01048611111111111</v>
      </c>
      <c r="P353" s="75" t="n">
        <v>0.007696759259259259</v>
      </c>
    </row>
    <row r="354" ht="15.75" customHeight="1" s="45">
      <c r="A354" s="76" t="n">
        <v>46200</v>
      </c>
      <c r="B354" s="82" t="inlineStr">
        <is>
          <t>Pós-Projeto</t>
        </is>
      </c>
      <c r="C354" s="91" t="inlineStr">
        <is>
          <t>Tempo Médio — 🟢 Verde   (hh:mm)</t>
        </is>
      </c>
      <c r="D354" s="79" t="n">
        <v>0.12375</v>
      </c>
      <c r="E354" s="79" t="n">
        <v>0.1555439814814815</v>
      </c>
      <c r="F354" s="79" t="n">
        <v>0.1467592592592593</v>
      </c>
      <c r="G354" s="79" t="n">
        <v>0.04231481481481481</v>
      </c>
      <c r="H354" s="79" t="n">
        <v>0.126412037037037</v>
      </c>
      <c r="I354" s="79" t="n">
        <v>0.1055787037037037</v>
      </c>
      <c r="J354" s="79" t="n">
        <v>0.1045833333333333</v>
      </c>
      <c r="K354" s="79" t="n">
        <v>0.1192708333333333</v>
      </c>
      <c r="L354" s="79" t="n">
        <v>0.128275462962963</v>
      </c>
      <c r="M354" s="79" t="n">
        <v>0.09775462962962964</v>
      </c>
      <c r="N354" s="79" t="n">
        <v>0.09583333333333334</v>
      </c>
      <c r="O354" s="79" t="n">
        <v>0.0871875</v>
      </c>
      <c r="P354" s="79" t="n">
        <v>0.04767361111111111</v>
      </c>
    </row>
    <row r="355" ht="15.75" customHeight="1" s="45">
      <c r="A355" s="57" t="n">
        <v>46201</v>
      </c>
      <c r="B355" s="81" t="inlineStr">
        <is>
          <t>Pós-Projeto</t>
        </is>
      </c>
      <c r="C355" s="59" t="inlineStr">
        <is>
          <t>Acolhim. + Atend. Urgência + Atend. UPA</t>
        </is>
      </c>
      <c r="D355" s="60">
        <f>SUM(D356:D358)</f>
        <v/>
      </c>
      <c r="E355" s="60">
        <f>SUM(E356:E358)</f>
        <v/>
      </c>
      <c r="F355" s="60">
        <f>SUM(F356:F358)</f>
        <v/>
      </c>
      <c r="G355" s="60">
        <f>SUM(G356:G358)</f>
        <v/>
      </c>
      <c r="H355" s="60">
        <f>SUM(H356:H358)</f>
        <v/>
      </c>
      <c r="I355" s="60">
        <f>SUM(I356:I358)</f>
        <v/>
      </c>
      <c r="J355" s="60">
        <f>SUM(J356:J358)</f>
        <v/>
      </c>
      <c r="K355" s="60">
        <f>SUM(K356:K358)</f>
        <v/>
      </c>
      <c r="L355" s="60">
        <f>SUM(L356:L358)</f>
        <v/>
      </c>
      <c r="M355" s="60">
        <f>SUM(M356:M358)</f>
        <v/>
      </c>
      <c r="N355" s="60">
        <f>SUM(N356:N358)</f>
        <v/>
      </c>
      <c r="O355" s="60">
        <f>SUM(O356:O358)</f>
        <v/>
      </c>
      <c r="P355" s="60">
        <f>SUM(P356:P358)</f>
        <v/>
      </c>
    </row>
    <row r="356" ht="15.75" customHeight="1" s="45">
      <c r="A356" s="61" t="n">
        <v>46201</v>
      </c>
      <c r="B356" s="82" t="inlineStr">
        <is>
          <t>Pós-Projeto</t>
        </is>
      </c>
      <c r="C356" s="83" t="inlineStr">
        <is>
          <t>Acolhimento c/ Classif. de Risco</t>
        </is>
      </c>
      <c r="D356" s="64" t="n">
        <v>149</v>
      </c>
      <c r="E356" s="64" t="n">
        <v>139</v>
      </c>
      <c r="F356" s="64" t="n">
        <v>120</v>
      </c>
      <c r="G356" s="64" t="n">
        <v>137</v>
      </c>
      <c r="H356" s="64" t="n">
        <v>114</v>
      </c>
      <c r="I356" s="64" t="n">
        <v>175</v>
      </c>
      <c r="J356" s="64" t="n">
        <v>74</v>
      </c>
      <c r="K356" s="64" t="n">
        <v>239</v>
      </c>
      <c r="L356" s="64" t="n">
        <v>130</v>
      </c>
      <c r="M356" s="64" t="n">
        <v>196</v>
      </c>
      <c r="N356" s="64" t="n">
        <v>176</v>
      </c>
      <c r="O356" s="64" t="n">
        <v>233</v>
      </c>
      <c r="P356" s="64" t="n">
        <v>204</v>
      </c>
    </row>
    <row r="357" ht="15.75" customHeight="1" s="45">
      <c r="A357" s="61" t="n">
        <v>46201</v>
      </c>
      <c r="B357" s="82" t="inlineStr">
        <is>
          <t>Pós-Projeto</t>
        </is>
      </c>
      <c r="C357" s="84" t="inlineStr">
        <is>
          <t>Atend. Urgência Obs. ≤ 24h</t>
        </is>
      </c>
      <c r="D357" s="66" t="n">
        <v>33</v>
      </c>
      <c r="E357" s="66" t="n">
        <v>24</v>
      </c>
      <c r="F357" s="66" t="n">
        <v>18</v>
      </c>
      <c r="G357" s="66" t="n">
        <v>38</v>
      </c>
      <c r="H357" s="66" t="n">
        <v>9</v>
      </c>
      <c r="I357" s="66" t="n">
        <v>26</v>
      </c>
      <c r="J357" s="66" t="n">
        <v>12</v>
      </c>
      <c r="K357" s="66" t="n">
        <v>58</v>
      </c>
      <c r="L357" s="66" t="n">
        <v>72</v>
      </c>
      <c r="M357" s="66" t="n">
        <v>15</v>
      </c>
      <c r="N357" s="66" t="n">
        <v>42</v>
      </c>
      <c r="O357" s="66" t="n">
        <v>8</v>
      </c>
      <c r="P357" s="66" t="n">
        <v>21</v>
      </c>
    </row>
    <row r="358" ht="15.75" customHeight="1" s="45">
      <c r="A358" s="61" t="n">
        <v>46201</v>
      </c>
      <c r="B358" s="82" t="inlineStr">
        <is>
          <t>Pós-Projeto</t>
        </is>
      </c>
      <c r="C358" s="83" t="inlineStr">
        <is>
          <t>Atend. Médico em UPA</t>
        </is>
      </c>
      <c r="D358" s="64" t="n">
        <v>105</v>
      </c>
      <c r="E358" s="64" t="n">
        <v>96</v>
      </c>
      <c r="F358" s="64" t="n">
        <v>119</v>
      </c>
      <c r="G358" s="64" t="n">
        <v>109</v>
      </c>
      <c r="H358" s="64" t="n">
        <v>45</v>
      </c>
      <c r="I358" s="64" t="n">
        <v>149</v>
      </c>
      <c r="J358" s="64" t="n">
        <v>67</v>
      </c>
      <c r="K358" s="64" t="n">
        <v>171</v>
      </c>
      <c r="L358" s="64" t="n">
        <v>67</v>
      </c>
      <c r="M358" s="64" t="n">
        <v>107</v>
      </c>
      <c r="N358" s="64" t="n">
        <v>107</v>
      </c>
      <c r="O358" s="64" t="n">
        <v>208</v>
      </c>
      <c r="P358" s="64" t="n">
        <v>129</v>
      </c>
    </row>
    <row r="359" ht="15.75" customHeight="1" s="45">
      <c r="A359" s="61" t="n">
        <v>46201</v>
      </c>
      <c r="B359" s="82" t="inlineStr">
        <is>
          <t>Pós-Projeto</t>
        </is>
      </c>
      <c r="C359" s="84" t="inlineStr">
        <is>
          <t>Exames Laboratoriais</t>
        </is>
      </c>
      <c r="D359" s="66" t="n">
        <v>410</v>
      </c>
      <c r="E359" s="66" t="n">
        <v>388</v>
      </c>
      <c r="F359" s="66" t="n">
        <v>435</v>
      </c>
      <c r="G359" s="66" t="n">
        <v>397</v>
      </c>
      <c r="H359" s="66" t="n">
        <v>344</v>
      </c>
      <c r="I359" s="66" t="n">
        <v>1</v>
      </c>
      <c r="J359" s="66" t="n">
        <v>202</v>
      </c>
      <c r="K359" s="66" t="n">
        <v>705</v>
      </c>
      <c r="L359" s="66" t="n">
        <v>504</v>
      </c>
      <c r="M359" s="66" t="n">
        <v>659</v>
      </c>
      <c r="N359" s="66" t="n">
        <v>465</v>
      </c>
      <c r="O359" s="66" t="n">
        <v>509</v>
      </c>
      <c r="P359" s="66" t="n">
        <v>442</v>
      </c>
    </row>
    <row r="360" ht="15.75" customHeight="1" s="45">
      <c r="A360" s="61" t="n">
        <v>46201</v>
      </c>
      <c r="B360" s="82" t="inlineStr">
        <is>
          <t>Pós-Projeto</t>
        </is>
      </c>
      <c r="C360" s="83" t="inlineStr">
        <is>
          <t>Radiografias</t>
        </is>
      </c>
      <c r="D360" s="64" t="n">
        <v>13</v>
      </c>
      <c r="E360" s="64" t="n">
        <v>22</v>
      </c>
      <c r="F360" s="64" t="n">
        <v>25</v>
      </c>
      <c r="G360" s="64" t="n">
        <v>33</v>
      </c>
      <c r="H360" s="64" t="n">
        <v>11</v>
      </c>
      <c r="I360" s="64" t="n">
        <v>34</v>
      </c>
      <c r="J360" s="64" t="n">
        <v>7</v>
      </c>
      <c r="K360" s="64" t="n">
        <v>32</v>
      </c>
      <c r="L360" s="64" t="n">
        <v>13</v>
      </c>
      <c r="M360" s="64" t="n">
        <v>48</v>
      </c>
      <c r="N360" s="64" t="n">
        <v>29</v>
      </c>
      <c r="O360" s="64" t="n">
        <v>52</v>
      </c>
      <c r="P360" s="64" t="n">
        <v>50</v>
      </c>
    </row>
    <row r="361" ht="15.75" customHeight="1" s="45">
      <c r="A361" s="61" t="n">
        <v>46201</v>
      </c>
      <c r="B361" s="82" t="inlineStr">
        <is>
          <t>Pós-Projeto</t>
        </is>
      </c>
      <c r="C361" s="84" t="inlineStr">
        <is>
          <t>Eletrocardiogramas</t>
        </is>
      </c>
      <c r="D361" s="66" t="n">
        <v>8</v>
      </c>
      <c r="E361" s="67" t="n">
        <v>0</v>
      </c>
      <c r="F361" s="66" t="n">
        <v>15</v>
      </c>
      <c r="G361" s="66" t="n">
        <v>1</v>
      </c>
      <c r="H361" s="67" t="n">
        <v>0</v>
      </c>
      <c r="I361" s="66" t="n">
        <v>1</v>
      </c>
      <c r="J361" s="67" t="n">
        <v>0</v>
      </c>
      <c r="K361" s="66" t="n">
        <v>2</v>
      </c>
      <c r="L361" s="66" t="n">
        <v>10</v>
      </c>
      <c r="M361" s="67" t="n">
        <v>0</v>
      </c>
      <c r="N361" s="66" t="n">
        <v>5</v>
      </c>
      <c r="O361" s="66" t="n">
        <v>8</v>
      </c>
      <c r="P361" s="66" t="n">
        <v>6</v>
      </c>
    </row>
    <row r="362" ht="15.75" customHeight="1" s="45">
      <c r="A362" s="61" t="n">
        <v>46201</v>
      </c>
      <c r="B362" s="82" t="inlineStr">
        <is>
          <t>Pós-Projeto</t>
        </is>
      </c>
      <c r="C362" s="85" t="inlineStr">
        <is>
          <t>GAEs Abertas</t>
        </is>
      </c>
      <c r="D362" s="69" t="n">
        <v>158</v>
      </c>
      <c r="E362" s="69" t="n">
        <v>147</v>
      </c>
      <c r="F362" s="69" t="n">
        <v>124</v>
      </c>
      <c r="G362" s="69" t="n">
        <v>112</v>
      </c>
      <c r="H362" s="69" t="n">
        <v>122</v>
      </c>
      <c r="I362" s="69" t="n">
        <v>187</v>
      </c>
      <c r="J362" s="69" t="n">
        <v>75</v>
      </c>
      <c r="K362" s="69" t="n">
        <v>250</v>
      </c>
      <c r="L362" s="69" t="n">
        <v>132</v>
      </c>
      <c r="M362" s="69" t="n">
        <v>205</v>
      </c>
      <c r="N362" s="69" t="n">
        <v>183</v>
      </c>
      <c r="O362" s="69" t="n">
        <v>244</v>
      </c>
      <c r="P362" s="69" t="n">
        <v>213</v>
      </c>
    </row>
    <row r="363" ht="15.75" customHeight="1" s="45">
      <c r="A363" s="61" t="n">
        <v>46201</v>
      </c>
      <c r="B363" s="82" t="inlineStr">
        <is>
          <t>Pós-Projeto</t>
        </is>
      </c>
      <c r="C363" s="85" t="inlineStr">
        <is>
          <t>GAEs Classificadas</t>
        </is>
      </c>
      <c r="D363" s="69" t="n">
        <v>150</v>
      </c>
      <c r="E363" s="69" t="n">
        <v>138</v>
      </c>
      <c r="F363" s="69" t="n">
        <v>121</v>
      </c>
      <c r="G363" s="69" t="n">
        <v>112</v>
      </c>
      <c r="H363" s="69" t="n">
        <v>115</v>
      </c>
      <c r="I363" s="69" t="n">
        <v>175</v>
      </c>
      <c r="J363" s="69" t="n">
        <v>74</v>
      </c>
      <c r="K363" s="69" t="n">
        <v>236</v>
      </c>
      <c r="L363" s="69" t="n">
        <v>127</v>
      </c>
      <c r="M363" s="69" t="n">
        <v>196</v>
      </c>
      <c r="N363" s="69" t="n">
        <v>173</v>
      </c>
      <c r="O363" s="69" t="n">
        <v>238</v>
      </c>
      <c r="P363" s="69" t="n">
        <v>205</v>
      </c>
    </row>
    <row r="364" ht="15.75" customHeight="1" s="45">
      <c r="A364" s="61" t="n">
        <v>46201</v>
      </c>
      <c r="B364" s="82" t="inlineStr">
        <is>
          <t>Pós-Projeto</t>
        </is>
      </c>
      <c r="C364" s="86" t="inlineStr">
        <is>
          <t>Percentual de GAEs abertas classificadas</t>
        </is>
      </c>
      <c r="D364" s="71">
        <f>IFERROR(D363/D362,"-")</f>
        <v/>
      </c>
      <c r="E364" s="71">
        <f>IFERROR(E363/E362,"-")</f>
        <v/>
      </c>
      <c r="F364" s="71">
        <f>IFERROR(F363/F362,"-")</f>
        <v/>
      </c>
      <c r="G364" s="71">
        <f>IFERROR(G363/G362,"-")</f>
        <v/>
      </c>
      <c r="H364" s="71">
        <f>IFERROR(H363/H362,"-")</f>
        <v/>
      </c>
      <c r="I364" s="71">
        <f>IFERROR(I363/I362,"-")</f>
        <v/>
      </c>
      <c r="J364" s="71">
        <f>IFERROR(J363/J362,"-")</f>
        <v/>
      </c>
      <c r="K364" s="71">
        <f>IFERROR(K363/K362,"-")</f>
        <v/>
      </c>
      <c r="L364" s="71">
        <f>IFERROR(L363/L362,"-")</f>
        <v/>
      </c>
      <c r="M364" s="71">
        <f>IFERROR(M363/M362,"-")</f>
        <v/>
      </c>
      <c r="N364" s="71">
        <f>IFERROR(N363/N362,"-")</f>
        <v/>
      </c>
      <c r="O364" s="71">
        <f>IFERROR(O363/O362,"-")</f>
        <v/>
      </c>
      <c r="P364" s="71">
        <f>IFERROR(P363/P362,"-")</f>
        <v/>
      </c>
    </row>
    <row r="365" ht="15.75" customHeight="1" s="45">
      <c r="A365" s="61" t="n">
        <v>46201</v>
      </c>
      <c r="B365" s="82" t="inlineStr">
        <is>
          <t>Pós-Projeto</t>
        </is>
      </c>
      <c r="C365" s="87" t="inlineStr">
        <is>
          <t>Tempo Médio — 🟡 Amarelo (hh:mm)</t>
        </is>
      </c>
      <c r="D365" s="73" t="n">
        <v>0.07043981481481482</v>
      </c>
      <c r="E365" s="73" t="n">
        <v>0.03229166666666667</v>
      </c>
      <c r="F365" s="73" t="n">
        <v>0.01121527777777778</v>
      </c>
      <c r="G365" s="73" t="n">
        <v>0.01883101851851852</v>
      </c>
      <c r="H365" s="73" t="n">
        <v>0.05959490740740741</v>
      </c>
      <c r="I365" s="73" t="n">
        <v>0.01704861111111111</v>
      </c>
      <c r="J365" s="73" t="n">
        <v>0.06456018518518518</v>
      </c>
      <c r="K365" s="73" t="n">
        <v>0.1227083333333333</v>
      </c>
      <c r="L365" s="73" t="n">
        <v>0.1014583333333333</v>
      </c>
      <c r="M365" s="73" t="n">
        <v>0.04682870370370371</v>
      </c>
      <c r="N365" s="73" t="n">
        <v>0.0739699074074074</v>
      </c>
      <c r="O365" s="73" t="n">
        <v>0.02261574074074074</v>
      </c>
      <c r="P365" s="73" t="n">
        <v>0.07712962962962963</v>
      </c>
    </row>
    <row r="366" ht="15.75" customHeight="1" s="45">
      <c r="A366" s="61" t="n">
        <v>46201</v>
      </c>
      <c r="B366" s="82" t="inlineStr">
        <is>
          <t>Pós-Projeto</t>
        </is>
      </c>
      <c r="C366" s="88" t="inlineStr">
        <is>
          <t>Tempo Médio — 🟠 Laranja (hh:mm)</t>
        </is>
      </c>
      <c r="D366" s="75" t="n">
        <v>0.02923611111111111</v>
      </c>
      <c r="E366" s="75" t="n">
        <v>0.006724537037037037</v>
      </c>
      <c r="F366" s="75" t="n">
        <v>0.009791666666666667</v>
      </c>
      <c r="G366" s="75" t="n">
        <v>0.006550925925925926</v>
      </c>
      <c r="H366" s="75" t="n">
        <v>0.01479166666666667</v>
      </c>
      <c r="I366" s="75" t="n">
        <v>0.005451388888888889</v>
      </c>
      <c r="J366" s="75" t="n">
        <v>0.005081018518518519</v>
      </c>
      <c r="K366" s="75" t="n">
        <v>0.0178125</v>
      </c>
      <c r="L366" s="75" t="n">
        <v>0.01238425925925926</v>
      </c>
      <c r="M366" s="75" t="n">
        <v>0.01143518518518519</v>
      </c>
      <c r="N366" s="75" t="n">
        <v>0.009398148148148149</v>
      </c>
      <c r="O366" s="75" t="n">
        <v>0.00625</v>
      </c>
      <c r="P366" s="75" t="n">
        <v>0.01104166666666667</v>
      </c>
    </row>
    <row r="367" ht="15.75" customHeight="1" s="45">
      <c r="A367" s="76" t="n">
        <v>46201</v>
      </c>
      <c r="B367" s="82" t="inlineStr">
        <is>
          <t>Pós-Projeto</t>
        </is>
      </c>
      <c r="C367" s="91" t="inlineStr">
        <is>
          <t>Tempo Médio — 🟢 Verde   (hh:mm)</t>
        </is>
      </c>
      <c r="D367" s="79" t="n">
        <v>0.0893287037037037</v>
      </c>
      <c r="E367" s="79" t="n">
        <v>0.0725</v>
      </c>
      <c r="F367" s="79" t="n">
        <v>0.03503472222222222</v>
      </c>
      <c r="G367" s="79" t="n">
        <v>0.08319444444444445</v>
      </c>
      <c r="H367" s="79" t="n">
        <v>0.1556365740740741</v>
      </c>
      <c r="I367" s="79" t="n">
        <v>0.05231481481481481</v>
      </c>
      <c r="J367" s="79" t="n">
        <v>0.08818287037037037</v>
      </c>
      <c r="K367" s="79" t="n">
        <v>0.1499652777777778</v>
      </c>
      <c r="L367" s="79" t="n">
        <v>0.1208333333333333</v>
      </c>
      <c r="M367" s="79" t="n">
        <v>0.1025694444444444</v>
      </c>
      <c r="N367" s="79" t="n">
        <v>0.1070717592592593</v>
      </c>
      <c r="O367" s="79" t="n">
        <v>0.08392361111111112</v>
      </c>
      <c r="P367" s="79" t="n">
        <v>0.0909837962962963</v>
      </c>
    </row>
    <row r="368" ht="15.75" customHeight="1" s="45">
      <c r="A368" s="57" t="n">
        <v>46202</v>
      </c>
      <c r="B368" s="81" t="inlineStr">
        <is>
          <t>Pós-Projeto</t>
        </is>
      </c>
      <c r="C368" s="59" t="inlineStr">
        <is>
          <t>Acolhim. + Atend. Urgência + Atend. UPA</t>
        </is>
      </c>
      <c r="D368" s="60">
        <f>SUM(D369:D371)</f>
        <v/>
      </c>
      <c r="E368" s="60">
        <f>SUM(E369:E371)</f>
        <v/>
      </c>
      <c r="F368" s="60">
        <f>SUM(F369:F371)</f>
        <v/>
      </c>
      <c r="G368" s="60">
        <f>SUM(G369:G371)</f>
        <v/>
      </c>
      <c r="H368" s="60">
        <f>SUM(H369:H371)</f>
        <v/>
      </c>
      <c r="I368" s="60">
        <f>SUM(I369:I371)</f>
        <v/>
      </c>
      <c r="J368" s="60">
        <f>SUM(J369:J371)</f>
        <v/>
      </c>
      <c r="K368" s="60">
        <f>SUM(K369:K371)</f>
        <v/>
      </c>
      <c r="L368" s="60">
        <f>SUM(L369:L371)</f>
        <v/>
      </c>
      <c r="M368" s="60">
        <f>SUM(M369:M371)</f>
        <v/>
      </c>
      <c r="N368" s="60">
        <f>SUM(N369:N371)</f>
        <v/>
      </c>
      <c r="O368" s="60">
        <f>SUM(O369:O371)</f>
        <v/>
      </c>
      <c r="P368" s="60">
        <f>SUM(P369:P371)</f>
        <v/>
      </c>
    </row>
    <row r="369" ht="15.75" customHeight="1" s="45">
      <c r="A369" s="61" t="n">
        <v>46202</v>
      </c>
      <c r="B369" s="82" t="inlineStr">
        <is>
          <t>Pós-Projeto</t>
        </is>
      </c>
      <c r="C369" s="83" t="inlineStr">
        <is>
          <t>Acolhimento c/ Classif. de Risco</t>
        </is>
      </c>
      <c r="D369" s="64" t="n">
        <v>184</v>
      </c>
      <c r="E369" s="64" t="n">
        <v>149</v>
      </c>
      <c r="F369" s="64" t="n">
        <v>148</v>
      </c>
      <c r="G369" s="64" t="n">
        <v>137</v>
      </c>
      <c r="H369" s="64" t="n">
        <v>117</v>
      </c>
      <c r="I369" s="64" t="n">
        <v>178</v>
      </c>
      <c r="J369" s="64" t="n">
        <v>101</v>
      </c>
      <c r="K369" s="64" t="n">
        <v>282</v>
      </c>
      <c r="L369" s="64" t="n">
        <v>110</v>
      </c>
      <c r="M369" s="64" t="n">
        <v>212</v>
      </c>
      <c r="N369" s="64" t="n">
        <v>184</v>
      </c>
      <c r="O369" s="64" t="n">
        <v>315</v>
      </c>
      <c r="P369" s="64" t="n">
        <v>208</v>
      </c>
    </row>
    <row r="370" ht="15.75" customHeight="1" s="45">
      <c r="A370" s="61" t="n">
        <v>46202</v>
      </c>
      <c r="B370" s="82" t="inlineStr">
        <is>
          <t>Pós-Projeto</t>
        </is>
      </c>
      <c r="C370" s="84" t="inlineStr">
        <is>
          <t>Atend. Urgência Obs. ≤ 24h</t>
        </is>
      </c>
      <c r="D370" s="66" t="n">
        <v>41</v>
      </c>
      <c r="E370" s="66" t="n">
        <v>14</v>
      </c>
      <c r="F370" s="66" t="n">
        <v>22</v>
      </c>
      <c r="G370" s="66" t="n">
        <v>38</v>
      </c>
      <c r="H370" s="66" t="n">
        <v>7</v>
      </c>
      <c r="I370" s="66" t="n">
        <v>14</v>
      </c>
      <c r="J370" s="66" t="n">
        <v>2</v>
      </c>
      <c r="K370" s="66" t="n">
        <v>40</v>
      </c>
      <c r="L370" s="66" t="n">
        <v>44</v>
      </c>
      <c r="M370" s="66" t="n">
        <v>43</v>
      </c>
      <c r="N370" s="66" t="n">
        <v>97</v>
      </c>
      <c r="O370" s="66" t="n">
        <v>11</v>
      </c>
      <c r="P370" s="66" t="n">
        <v>10</v>
      </c>
    </row>
    <row r="371" ht="15.75" customHeight="1" s="45">
      <c r="A371" s="61" t="n">
        <v>46202</v>
      </c>
      <c r="B371" s="82" t="inlineStr">
        <is>
          <t>Pós-Projeto</t>
        </is>
      </c>
      <c r="C371" s="83" t="inlineStr">
        <is>
          <t>Atend. Médico em UPA</t>
        </is>
      </c>
      <c r="D371" s="64" t="n">
        <v>165</v>
      </c>
      <c r="E371" s="64" t="n">
        <v>115</v>
      </c>
      <c r="F371" s="64" t="n">
        <v>136</v>
      </c>
      <c r="G371" s="64" t="n">
        <v>109</v>
      </c>
      <c r="H371" s="64" t="n">
        <v>78</v>
      </c>
      <c r="I371" s="64" t="n">
        <v>163</v>
      </c>
      <c r="J371" s="64" t="n">
        <v>74</v>
      </c>
      <c r="K371" s="64" t="n">
        <v>261</v>
      </c>
      <c r="L371" s="64" t="n">
        <v>47</v>
      </c>
      <c r="M371" s="64" t="n">
        <v>153</v>
      </c>
      <c r="N371" s="64" t="n">
        <v>129</v>
      </c>
      <c r="O371" s="64" t="n">
        <v>225</v>
      </c>
      <c r="P371" s="64" t="n">
        <v>159</v>
      </c>
    </row>
    <row r="372" ht="15.75" customHeight="1" s="45">
      <c r="A372" s="61" t="n">
        <v>46202</v>
      </c>
      <c r="B372" s="82" t="inlineStr">
        <is>
          <t>Pós-Projeto</t>
        </is>
      </c>
      <c r="C372" s="84" t="inlineStr">
        <is>
          <t>Exames Laboratoriais</t>
        </is>
      </c>
      <c r="D372" s="66" t="n">
        <v>536</v>
      </c>
      <c r="E372" s="66" t="n">
        <v>321</v>
      </c>
      <c r="F372" s="66" t="n">
        <v>536</v>
      </c>
      <c r="G372" s="66" t="n">
        <v>397</v>
      </c>
      <c r="H372" s="66" t="n">
        <v>276</v>
      </c>
      <c r="I372" s="66" t="n">
        <v>430</v>
      </c>
      <c r="J372" s="66" t="n">
        <v>245</v>
      </c>
      <c r="K372" s="66" t="n">
        <v>806</v>
      </c>
      <c r="L372" s="66" t="n">
        <v>385</v>
      </c>
      <c r="M372" s="66" t="n">
        <v>610</v>
      </c>
      <c r="N372" s="66" t="n">
        <v>693</v>
      </c>
      <c r="O372" s="66" t="n">
        <v>469</v>
      </c>
      <c r="P372" s="66" t="n">
        <v>586</v>
      </c>
    </row>
    <row r="373" ht="15.75" customHeight="1" s="45">
      <c r="A373" s="61" t="n">
        <v>46202</v>
      </c>
      <c r="B373" s="82" t="inlineStr">
        <is>
          <t>Pós-Projeto</t>
        </is>
      </c>
      <c r="C373" s="83" t="inlineStr">
        <is>
          <t>Radiografias</t>
        </is>
      </c>
      <c r="D373" s="64" t="n">
        <v>24</v>
      </c>
      <c r="E373" s="64" t="n">
        <v>23</v>
      </c>
      <c r="F373" s="64" t="n">
        <v>36</v>
      </c>
      <c r="G373" s="64" t="n">
        <v>33</v>
      </c>
      <c r="H373" s="64" t="n">
        <v>19</v>
      </c>
      <c r="I373" s="64" t="n">
        <v>22</v>
      </c>
      <c r="J373" s="64" t="n">
        <v>12</v>
      </c>
      <c r="K373" s="64" t="n">
        <v>53</v>
      </c>
      <c r="L373" s="64" t="n">
        <v>17</v>
      </c>
      <c r="M373" s="64" t="n">
        <v>47</v>
      </c>
      <c r="N373" s="64" t="n">
        <v>23</v>
      </c>
      <c r="O373" s="64" t="n">
        <v>63</v>
      </c>
      <c r="P373" s="64" t="n">
        <v>58</v>
      </c>
    </row>
    <row r="374" ht="15.75" customHeight="1" s="45">
      <c r="A374" s="61" t="n">
        <v>46202</v>
      </c>
      <c r="B374" s="82" t="inlineStr">
        <is>
          <t>Pós-Projeto</t>
        </is>
      </c>
      <c r="C374" s="84" t="inlineStr">
        <is>
          <t>Eletrocardiogramas</t>
        </is>
      </c>
      <c r="D374" s="67" t="n">
        <v>0</v>
      </c>
      <c r="E374" s="67" t="n">
        <v>0</v>
      </c>
      <c r="F374" s="66" t="n">
        <v>8</v>
      </c>
      <c r="G374" s="66" t="n">
        <v>1</v>
      </c>
      <c r="H374" s="67" t="n">
        <v>0</v>
      </c>
      <c r="I374" s="66" t="n">
        <v>5</v>
      </c>
      <c r="J374" s="67" t="n">
        <v>0</v>
      </c>
      <c r="K374" s="67" t="n">
        <v>0</v>
      </c>
      <c r="L374" s="67" t="n">
        <v>0</v>
      </c>
      <c r="M374" s="67" t="n">
        <v>0</v>
      </c>
      <c r="N374" s="66" t="n">
        <v>2</v>
      </c>
      <c r="O374" s="66" t="n">
        <v>20</v>
      </c>
      <c r="P374" s="66" t="n">
        <v>2</v>
      </c>
    </row>
    <row r="375" ht="15.75" customHeight="1" s="45">
      <c r="A375" s="61" t="n">
        <v>46202</v>
      </c>
      <c r="B375" s="82" t="inlineStr">
        <is>
          <t>Pós-Projeto</t>
        </is>
      </c>
      <c r="C375" s="85" t="inlineStr">
        <is>
          <t>GAEs Abertas</t>
        </is>
      </c>
      <c r="D375" s="69" t="n">
        <v>189</v>
      </c>
      <c r="E375" s="69" t="n">
        <v>155</v>
      </c>
      <c r="F375" s="69" t="n">
        <v>148</v>
      </c>
      <c r="G375" s="69" t="n">
        <v>137</v>
      </c>
      <c r="H375" s="69" t="n">
        <v>119</v>
      </c>
      <c r="I375" s="69" t="n">
        <v>196</v>
      </c>
      <c r="J375" s="69" t="n">
        <v>102</v>
      </c>
      <c r="K375" s="69" t="n">
        <v>307</v>
      </c>
      <c r="L375" s="69" t="n">
        <v>118</v>
      </c>
      <c r="M375" s="69" t="n">
        <v>219</v>
      </c>
      <c r="N375" s="69" t="n">
        <v>194</v>
      </c>
      <c r="O375" s="69" t="n">
        <v>316</v>
      </c>
      <c r="P375" s="69" t="n">
        <v>217</v>
      </c>
    </row>
    <row r="376" ht="15.75" customHeight="1" s="45">
      <c r="A376" s="61" t="n">
        <v>46202</v>
      </c>
      <c r="B376" s="82" t="inlineStr">
        <is>
          <t>Pós-Projeto</t>
        </is>
      </c>
      <c r="C376" s="85" t="inlineStr">
        <is>
          <t>GAEs Classificadas</t>
        </is>
      </c>
      <c r="D376" s="69" t="n">
        <v>184</v>
      </c>
      <c r="E376" s="69" t="n">
        <v>148</v>
      </c>
      <c r="F376" s="69" t="n">
        <v>147</v>
      </c>
      <c r="G376" s="69" t="n">
        <v>135</v>
      </c>
      <c r="H376" s="69" t="n">
        <v>116</v>
      </c>
      <c r="I376" s="69" t="n">
        <v>180</v>
      </c>
      <c r="J376" s="69" t="n">
        <v>102</v>
      </c>
      <c r="K376" s="69" t="n">
        <v>282</v>
      </c>
      <c r="L376" s="69" t="n">
        <v>110</v>
      </c>
      <c r="M376" s="69" t="n">
        <v>209</v>
      </c>
      <c r="N376" s="69" t="n">
        <v>183</v>
      </c>
      <c r="O376" s="69" t="n">
        <v>307</v>
      </c>
      <c r="P376" s="69" t="n">
        <v>208</v>
      </c>
    </row>
    <row r="377" ht="15.75" customHeight="1" s="45">
      <c r="A377" s="61" t="n">
        <v>46202</v>
      </c>
      <c r="B377" s="82" t="inlineStr">
        <is>
          <t>Pós-Projeto</t>
        </is>
      </c>
      <c r="C377" s="86" t="inlineStr">
        <is>
          <t>Percentual de GAEs abertas classificadas</t>
        </is>
      </c>
      <c r="D377" s="71">
        <f>IFERROR(D376/D375,"-")</f>
        <v/>
      </c>
      <c r="E377" s="71">
        <f>IFERROR(E376/E375,"-")</f>
        <v/>
      </c>
      <c r="F377" s="71">
        <f>IFERROR(F376/F375,"-")</f>
        <v/>
      </c>
      <c r="G377" s="71">
        <f>IFERROR(G376/G375,"-")</f>
        <v/>
      </c>
      <c r="H377" s="71">
        <f>IFERROR(H376/H375,"-")</f>
        <v/>
      </c>
      <c r="I377" s="71">
        <f>IFERROR(I376/I375,"-")</f>
        <v/>
      </c>
      <c r="J377" s="71">
        <f>IFERROR(J376/J375,"-")</f>
        <v/>
      </c>
      <c r="K377" s="71">
        <f>IFERROR(K376/K375,"-")</f>
        <v/>
      </c>
      <c r="L377" s="71">
        <f>IFERROR(L376/L375,"-")</f>
        <v/>
      </c>
      <c r="M377" s="71">
        <f>IFERROR(M376/M375,"-")</f>
        <v/>
      </c>
      <c r="N377" s="71">
        <f>IFERROR(N376/N375,"-")</f>
        <v/>
      </c>
      <c r="O377" s="71">
        <f>IFERROR(O376/O375,"-")</f>
        <v/>
      </c>
      <c r="P377" s="71">
        <f>IFERROR(P376/P375,"-")</f>
        <v/>
      </c>
    </row>
    <row r="378" ht="15.75" customHeight="1" s="45">
      <c r="A378" s="61" t="n">
        <v>46202</v>
      </c>
      <c r="B378" s="82" t="inlineStr">
        <is>
          <t>Pós-Projeto</t>
        </is>
      </c>
      <c r="C378" s="87" t="inlineStr">
        <is>
          <t>Tempo Médio — 🟡 Amarelo (hh:mm)</t>
        </is>
      </c>
      <c r="D378" s="73" t="n">
        <v>0.0490162037037037</v>
      </c>
      <c r="E378" s="73" t="n">
        <v>0.04233796296296297</v>
      </c>
      <c r="F378" s="73" t="n">
        <v>0.02010416666666667</v>
      </c>
      <c r="G378" s="73" t="n">
        <v>0.02210648148148148</v>
      </c>
      <c r="H378" s="73" t="n">
        <v>0.03783564814814815</v>
      </c>
      <c r="I378" s="73" t="n">
        <v>0.01743055555555556</v>
      </c>
      <c r="J378" s="73" t="n">
        <v>0.04128472222222222</v>
      </c>
      <c r="K378" s="73" t="n">
        <v>0.07898148148148149</v>
      </c>
      <c r="L378" s="73" t="n">
        <v>0.07641203703703704</v>
      </c>
      <c r="M378" s="73" t="n">
        <v>0.02446759259259259</v>
      </c>
      <c r="N378" s="73" t="n">
        <v>0.05084490740740741</v>
      </c>
      <c r="O378" s="73" t="n">
        <v>0.05255787037037037</v>
      </c>
      <c r="P378" s="73" t="n">
        <v>0.04652777777777778</v>
      </c>
    </row>
    <row r="379" ht="15.75" customHeight="1" s="45">
      <c r="A379" s="61" t="n">
        <v>46202</v>
      </c>
      <c r="B379" s="82" t="inlineStr">
        <is>
          <t>Pós-Projeto</t>
        </is>
      </c>
      <c r="C379" s="88" t="inlineStr">
        <is>
          <t>Tempo Médio — 🟠 Laranja (hh:mm)</t>
        </is>
      </c>
      <c r="D379" s="75" t="n">
        <v>0.01768518518518519</v>
      </c>
      <c r="E379" s="75" t="n">
        <v>0.005277777777777778</v>
      </c>
      <c r="F379" s="75" t="n">
        <v>0.006006944444444444</v>
      </c>
      <c r="G379" s="75" t="n">
        <v>0.006643518518518518</v>
      </c>
      <c r="H379" s="75" t="n">
        <v>0.003043981481481481</v>
      </c>
      <c r="I379" s="75" t="n">
        <v>0.006886574074074074</v>
      </c>
      <c r="J379" s="75" t="n">
        <v>0.006469907407407408</v>
      </c>
      <c r="K379" s="75" t="n">
        <v>0.01224537037037037</v>
      </c>
      <c r="L379" s="75" t="n">
        <v>0.01175925925925926</v>
      </c>
      <c r="M379" s="75" t="n">
        <v>0.01293981481481482</v>
      </c>
      <c r="N379" s="75" t="n">
        <v>0.01127314814814815</v>
      </c>
      <c r="O379" s="75" t="n">
        <v>0.008310185185185184</v>
      </c>
      <c r="P379" s="75" t="n">
        <v>0.01542824074074074</v>
      </c>
    </row>
    <row r="380" ht="15.75" customHeight="1" s="45">
      <c r="A380" s="76" t="n">
        <v>46202</v>
      </c>
      <c r="B380" s="82" t="inlineStr">
        <is>
          <t>Pós-Projeto</t>
        </is>
      </c>
      <c r="C380" s="91" t="inlineStr">
        <is>
          <t>Tempo Médio — 🟢 Verde   (hh:mm)</t>
        </is>
      </c>
      <c r="D380" s="79" t="n">
        <v>0.05618055555555555</v>
      </c>
      <c r="E380" s="79" t="n">
        <v>0.06184027777777778</v>
      </c>
      <c r="F380" s="79" t="n">
        <v>0.04771990740740741</v>
      </c>
      <c r="G380" s="79" t="n">
        <v>0.07538194444444445</v>
      </c>
      <c r="H380" s="79" t="n">
        <v>0.07606481481481482</v>
      </c>
      <c r="I380" s="79" t="n">
        <v>0.04392361111111111</v>
      </c>
      <c r="J380" s="79" t="n">
        <v>0.08244212962962963</v>
      </c>
      <c r="K380" s="79" t="n">
        <v>0.1022106481481481</v>
      </c>
      <c r="L380" s="79" t="n">
        <v>0.1202546296296296</v>
      </c>
      <c r="M380" s="79" t="n">
        <v>0.04975694444444444</v>
      </c>
      <c r="N380" s="79" t="n">
        <v>0.08167824074074075</v>
      </c>
      <c r="O380" s="79" t="n">
        <v>0.08831018518518519</v>
      </c>
      <c r="P380" s="79" t="n">
        <v>0.05982638888888889</v>
      </c>
    </row>
    <row r="381" ht="15.75" customHeight="1" s="45">
      <c r="A381" s="57" t="n">
        <v>46203</v>
      </c>
      <c r="B381" s="81" t="inlineStr">
        <is>
          <t>Pós-Projeto</t>
        </is>
      </c>
      <c r="C381" s="59" t="inlineStr">
        <is>
          <t>Acolhim. + Atend. Urgência + Atend. UPA</t>
        </is>
      </c>
      <c r="D381" s="60">
        <f>SUM(D382:D384)</f>
        <v/>
      </c>
      <c r="E381" s="60">
        <f>SUM(E382:E384)</f>
        <v/>
      </c>
      <c r="F381" s="60">
        <f>SUM(F382:F384)</f>
        <v/>
      </c>
      <c r="G381" s="60">
        <f>SUM(G382:G384)</f>
        <v/>
      </c>
      <c r="H381" s="60">
        <f>SUM(H382:H384)</f>
        <v/>
      </c>
      <c r="I381" s="60">
        <f>SUM(I382:I384)</f>
        <v/>
      </c>
      <c r="J381" s="60">
        <f>SUM(J382:J384)</f>
        <v/>
      </c>
      <c r="K381" s="60">
        <f>SUM(K382:K384)</f>
        <v/>
      </c>
      <c r="L381" s="60">
        <f>SUM(L382:L384)</f>
        <v/>
      </c>
      <c r="M381" s="60">
        <f>SUM(M382:M384)</f>
        <v/>
      </c>
      <c r="N381" s="60">
        <f>SUM(N382:N384)</f>
        <v/>
      </c>
      <c r="O381" s="60">
        <f>SUM(O382:O384)</f>
        <v/>
      </c>
      <c r="P381" s="60">
        <f>SUM(P382:P384)</f>
        <v/>
      </c>
    </row>
    <row r="382" ht="15.75" customHeight="1" s="45">
      <c r="A382" s="61" t="n">
        <v>46203</v>
      </c>
      <c r="B382" s="82" t="inlineStr">
        <is>
          <t>Pós-Projeto</t>
        </is>
      </c>
      <c r="C382" s="83" t="inlineStr">
        <is>
          <t>Acolhimento c/ Classif. de Risco</t>
        </is>
      </c>
      <c r="D382" s="64" t="n">
        <v>211</v>
      </c>
      <c r="E382" s="64" t="n">
        <v>171</v>
      </c>
      <c r="F382" s="64" t="n">
        <v>165</v>
      </c>
      <c r="G382" s="64" t="n">
        <v>157</v>
      </c>
      <c r="H382" s="64" t="n">
        <v>120</v>
      </c>
      <c r="I382" s="64" t="n">
        <v>234</v>
      </c>
      <c r="J382" s="64" t="n">
        <v>132</v>
      </c>
      <c r="K382" s="64" t="n">
        <v>211</v>
      </c>
      <c r="L382" s="64" t="n">
        <v>141</v>
      </c>
      <c r="M382" s="64" t="n">
        <v>263</v>
      </c>
      <c r="N382" s="64" t="n">
        <v>204</v>
      </c>
      <c r="O382" s="64" t="n">
        <v>340</v>
      </c>
      <c r="P382" s="64" t="n">
        <v>204</v>
      </c>
    </row>
    <row r="383" ht="15.75" customHeight="1" s="45">
      <c r="A383" s="61" t="n">
        <v>46203</v>
      </c>
      <c r="B383" s="82" t="inlineStr">
        <is>
          <t>Pós-Projeto</t>
        </is>
      </c>
      <c r="C383" s="84" t="inlineStr">
        <is>
          <t>Atend. Urgência Obs. ≤ 24h</t>
        </is>
      </c>
      <c r="D383" s="66" t="n">
        <v>20</v>
      </c>
      <c r="E383" s="66" t="n">
        <v>11</v>
      </c>
      <c r="F383" s="66" t="n">
        <v>23</v>
      </c>
      <c r="G383" s="66" t="n">
        <v>7</v>
      </c>
      <c r="H383" s="67" t="n">
        <v>0</v>
      </c>
      <c r="I383" s="66" t="n">
        <v>16</v>
      </c>
      <c r="J383" s="66" t="n">
        <v>1</v>
      </c>
      <c r="K383" s="66" t="n">
        <v>20</v>
      </c>
      <c r="L383" s="66" t="n">
        <v>40</v>
      </c>
      <c r="M383" s="66" t="n">
        <v>11</v>
      </c>
      <c r="N383" s="66" t="n">
        <v>15</v>
      </c>
      <c r="O383" s="66" t="n">
        <v>10</v>
      </c>
      <c r="P383" s="66" t="n">
        <v>15</v>
      </c>
    </row>
    <row r="384" ht="15.75" customHeight="1" s="45">
      <c r="A384" s="61" t="n">
        <v>46203</v>
      </c>
      <c r="B384" s="82" t="inlineStr">
        <is>
          <t>Pós-Projeto</t>
        </is>
      </c>
      <c r="C384" s="83" t="inlineStr">
        <is>
          <t>Atend. Médico em UPA</t>
        </is>
      </c>
      <c r="D384" s="64" t="n">
        <v>143</v>
      </c>
      <c r="E384" s="64" t="n">
        <v>114</v>
      </c>
      <c r="F384" s="64" t="n">
        <v>132</v>
      </c>
      <c r="G384" s="64" t="n">
        <v>73</v>
      </c>
      <c r="H384" s="64" t="n">
        <v>81</v>
      </c>
      <c r="I384" s="64" t="n">
        <v>174</v>
      </c>
      <c r="J384" s="64" t="n">
        <v>102</v>
      </c>
      <c r="K384" s="64" t="n">
        <v>143</v>
      </c>
      <c r="L384" s="64" t="n">
        <v>48</v>
      </c>
      <c r="M384" s="64" t="n">
        <v>197</v>
      </c>
      <c r="N384" s="64" t="n">
        <v>97</v>
      </c>
      <c r="O384" s="64" t="n">
        <v>227</v>
      </c>
      <c r="P384" s="64" t="n">
        <v>97</v>
      </c>
    </row>
    <row r="385" ht="15.75" customHeight="1" s="45">
      <c r="A385" s="61" t="n">
        <v>46203</v>
      </c>
      <c r="B385" s="82" t="inlineStr">
        <is>
          <t>Pós-Projeto</t>
        </is>
      </c>
      <c r="C385" s="84" t="inlineStr">
        <is>
          <t>Exames Laboratoriais</t>
        </is>
      </c>
      <c r="D385" s="66" t="n">
        <v>612</v>
      </c>
      <c r="E385" s="66" t="n">
        <v>576</v>
      </c>
      <c r="F385" s="66" t="n">
        <v>640</v>
      </c>
      <c r="G385" s="66" t="n">
        <v>314</v>
      </c>
      <c r="H385" s="66" t="n">
        <v>225</v>
      </c>
      <c r="I385" s="66" t="n">
        <v>496</v>
      </c>
      <c r="J385" s="66" t="n">
        <v>343</v>
      </c>
      <c r="K385" s="66" t="n">
        <v>612</v>
      </c>
      <c r="L385" s="66" t="n">
        <v>527</v>
      </c>
      <c r="M385" s="66" t="n">
        <v>772</v>
      </c>
      <c r="N385" s="66" t="n">
        <v>620</v>
      </c>
      <c r="O385" s="66" t="n">
        <v>454</v>
      </c>
      <c r="P385" s="66" t="n">
        <v>620</v>
      </c>
    </row>
    <row r="386" ht="15.75" customHeight="1" s="45">
      <c r="A386" s="61" t="n">
        <v>46203</v>
      </c>
      <c r="B386" s="82" t="inlineStr">
        <is>
          <t>Pós-Projeto</t>
        </is>
      </c>
      <c r="C386" s="83" t="inlineStr">
        <is>
          <t>Radiografias</t>
        </is>
      </c>
      <c r="D386" s="64" t="n">
        <v>30</v>
      </c>
      <c r="E386" s="64" t="n">
        <v>42</v>
      </c>
      <c r="F386" s="64" t="n">
        <v>40</v>
      </c>
      <c r="G386" s="64" t="n">
        <v>22</v>
      </c>
      <c r="H386" s="64" t="n">
        <v>23</v>
      </c>
      <c r="I386" s="64" t="n">
        <v>30</v>
      </c>
      <c r="J386" s="64" t="n">
        <v>30</v>
      </c>
      <c r="K386" s="64" t="n">
        <v>30</v>
      </c>
      <c r="L386" s="64" t="n">
        <v>14</v>
      </c>
      <c r="M386" s="64" t="n">
        <v>73</v>
      </c>
      <c r="N386" s="64" t="n">
        <v>29</v>
      </c>
      <c r="O386" s="64" t="n">
        <v>65</v>
      </c>
      <c r="P386" s="64" t="n">
        <v>29</v>
      </c>
    </row>
    <row r="387" ht="15.75" customHeight="1" s="45">
      <c r="A387" s="61" t="n">
        <v>46203</v>
      </c>
      <c r="B387" s="82" t="inlineStr">
        <is>
          <t>Pós-Projeto</t>
        </is>
      </c>
      <c r="C387" s="84" t="inlineStr">
        <is>
          <t>Eletrocardiogramas</t>
        </is>
      </c>
      <c r="D387" s="66" t="n">
        <v>21</v>
      </c>
      <c r="E387" s="66" t="n">
        <v>14</v>
      </c>
      <c r="F387" s="66" t="n">
        <v>27</v>
      </c>
      <c r="G387" s="66" t="n">
        <v>17</v>
      </c>
      <c r="H387" s="66" t="n">
        <v>13</v>
      </c>
      <c r="I387" s="66" t="n">
        <v>12</v>
      </c>
      <c r="J387" s="66" t="n">
        <v>12</v>
      </c>
      <c r="K387" s="66" t="n">
        <v>21</v>
      </c>
      <c r="L387" s="66" t="n">
        <v>10</v>
      </c>
      <c r="M387" s="66" t="n">
        <v>9</v>
      </c>
      <c r="N387" s="66" t="n">
        <v>24</v>
      </c>
      <c r="O387" s="66" t="n">
        <v>14</v>
      </c>
      <c r="P387" s="66" t="n">
        <v>24</v>
      </c>
    </row>
    <row r="388" ht="15.75" customHeight="1" s="45">
      <c r="A388" s="61" t="n">
        <v>46203</v>
      </c>
      <c r="B388" s="82" t="inlineStr">
        <is>
          <t>Pós-Projeto</t>
        </is>
      </c>
      <c r="C388" s="85" t="inlineStr">
        <is>
          <t>GAEs Abertas</t>
        </is>
      </c>
      <c r="D388" s="69" t="n">
        <v>244</v>
      </c>
      <c r="E388" s="69" t="n">
        <v>177</v>
      </c>
      <c r="F388" s="69" t="n">
        <v>171</v>
      </c>
      <c r="G388" s="69" t="n">
        <v>165</v>
      </c>
      <c r="H388" s="69" t="n">
        <v>130</v>
      </c>
      <c r="I388" s="69" t="n">
        <v>255</v>
      </c>
      <c r="J388" s="69" t="n">
        <v>134</v>
      </c>
      <c r="K388" s="69" t="n">
        <v>369</v>
      </c>
      <c r="L388" s="69" t="n">
        <v>153</v>
      </c>
      <c r="M388" s="69" t="n">
        <v>261</v>
      </c>
      <c r="N388" s="69" t="n">
        <v>221</v>
      </c>
      <c r="O388" s="69" t="n">
        <v>350</v>
      </c>
      <c r="P388" s="69" t="n">
        <v>245</v>
      </c>
    </row>
    <row r="389" ht="15.75" customHeight="1" s="45">
      <c r="A389" s="61" t="n">
        <v>46203</v>
      </c>
      <c r="B389" s="82" t="inlineStr">
        <is>
          <t>Pós-Projeto</t>
        </is>
      </c>
      <c r="C389" s="85" t="inlineStr">
        <is>
          <t>GAEs Classificadas</t>
        </is>
      </c>
      <c r="D389" s="69" t="n">
        <v>210</v>
      </c>
      <c r="E389" s="69" t="n">
        <v>169</v>
      </c>
      <c r="F389" s="69" t="n">
        <v>165</v>
      </c>
      <c r="G389" s="69" t="n">
        <v>157</v>
      </c>
      <c r="H389" s="69" t="n">
        <v>120</v>
      </c>
      <c r="I389" s="69" t="n">
        <v>229</v>
      </c>
      <c r="J389" s="69" t="n">
        <v>131</v>
      </c>
      <c r="K389" s="69" t="n">
        <v>325</v>
      </c>
      <c r="L389" s="69" t="n">
        <v>141</v>
      </c>
      <c r="M389" s="69" t="n">
        <v>197</v>
      </c>
      <c r="N389" s="69" t="n">
        <v>204</v>
      </c>
      <c r="O389" s="69" t="n">
        <v>339</v>
      </c>
      <c r="P389" s="69" t="n">
        <v>230</v>
      </c>
    </row>
    <row r="390" ht="15.75" customHeight="1" s="45">
      <c r="A390" s="61" t="n">
        <v>46203</v>
      </c>
      <c r="B390" s="82" t="inlineStr">
        <is>
          <t>Pós-Projeto</t>
        </is>
      </c>
      <c r="C390" s="86" t="inlineStr">
        <is>
          <t>Percentual de GAEs abertas classificadas</t>
        </is>
      </c>
      <c r="D390" s="71">
        <f>IFERROR(D389/D388,"-")</f>
        <v/>
      </c>
      <c r="E390" s="71">
        <f>IFERROR(E389/E388,"-")</f>
        <v/>
      </c>
      <c r="F390" s="71">
        <f>IFERROR(F389/F388,"-")</f>
        <v/>
      </c>
      <c r="G390" s="71">
        <f>IFERROR(G389/G388,"-")</f>
        <v/>
      </c>
      <c r="H390" s="71">
        <f>IFERROR(H389/H388,"-")</f>
        <v/>
      </c>
      <c r="I390" s="71">
        <f>IFERROR(I389/I388,"-")</f>
        <v/>
      </c>
      <c r="J390" s="71">
        <f>IFERROR(J389/J388,"-")</f>
        <v/>
      </c>
      <c r="K390" s="71">
        <f>IFERROR(K389/K388,"-")</f>
        <v/>
      </c>
      <c r="L390" s="71">
        <f>IFERROR(L389/L388,"-")</f>
        <v/>
      </c>
      <c r="M390" s="71">
        <f>IFERROR(M389/M388,"-")</f>
        <v/>
      </c>
      <c r="N390" s="71">
        <f>IFERROR(N389/N388,"-")</f>
        <v/>
      </c>
      <c r="O390" s="71">
        <f>IFERROR(O389/O388,"-")</f>
        <v/>
      </c>
      <c r="P390" s="71">
        <f>IFERROR(P389/P388,"-")</f>
        <v/>
      </c>
    </row>
    <row r="391" ht="15.75" customHeight="1" s="45">
      <c r="A391" s="61" t="n">
        <v>46203</v>
      </c>
      <c r="B391" s="82" t="inlineStr">
        <is>
          <t>Pós-Projeto</t>
        </is>
      </c>
      <c r="C391" s="87" t="inlineStr">
        <is>
          <t>Tempo Médio — 🟡 Amarelo (hh:mm)</t>
        </is>
      </c>
      <c r="D391" s="73" t="n">
        <v>0.05504629629629629</v>
      </c>
      <c r="E391" s="73" t="n">
        <v>0.03452546296296297</v>
      </c>
      <c r="F391" s="73" t="n">
        <v>0.04319444444444445</v>
      </c>
      <c r="G391" s="73" t="n">
        <v>0.0391550925925926</v>
      </c>
      <c r="H391" s="73" t="n">
        <v>0.05787037037037037</v>
      </c>
      <c r="I391" s="73" t="n">
        <v>0.02444444444444445</v>
      </c>
      <c r="J391" s="73" t="n">
        <v>0.04511574074074074</v>
      </c>
      <c r="K391" s="73" t="n">
        <v>0.1087847222222222</v>
      </c>
      <c r="L391" s="73" t="n">
        <v>0.1062037037037037</v>
      </c>
      <c r="M391" s="73" t="n">
        <v>0.07379629629629629</v>
      </c>
      <c r="N391" s="73" t="n">
        <v>0.126087962962963</v>
      </c>
      <c r="O391" s="73" t="n">
        <v>0.03644675925925926</v>
      </c>
      <c r="P391" s="73" t="n">
        <v>0.07447916666666667</v>
      </c>
    </row>
    <row r="392" ht="15.75" customHeight="1" s="45">
      <c r="A392" s="61" t="n">
        <v>46203</v>
      </c>
      <c r="B392" s="82" t="inlineStr">
        <is>
          <t>Pós-Projeto</t>
        </is>
      </c>
      <c r="C392" s="88" t="inlineStr">
        <is>
          <t>Tempo Médio — 🟠 Laranja (hh:mm)</t>
        </is>
      </c>
      <c r="D392" s="75" t="n">
        <v>0.006956018518518518</v>
      </c>
      <c r="E392" s="75" t="n">
        <v>0.009212962962962963</v>
      </c>
      <c r="F392" s="75" t="n">
        <v>0.003090277777777778</v>
      </c>
      <c r="G392" s="75" t="n">
        <v>0.007106481481481482</v>
      </c>
      <c r="H392" s="75" t="n">
        <v>0.006377314814814815</v>
      </c>
      <c r="I392" s="75" t="n">
        <v>0.004375</v>
      </c>
      <c r="J392" s="75" t="n">
        <v>0.0096875</v>
      </c>
      <c r="K392" s="75" t="n">
        <v>0.009606481481481481</v>
      </c>
      <c r="L392" s="75" t="n">
        <v>0.02236111111111111</v>
      </c>
      <c r="M392" s="75" t="n">
        <v>0.008043981481481482</v>
      </c>
      <c r="N392" s="75" t="n">
        <v>0.01517361111111111</v>
      </c>
      <c r="O392" s="75" t="n">
        <v>0.01228009259259259</v>
      </c>
      <c r="P392" s="75" t="n">
        <v>0.01893518518518519</v>
      </c>
    </row>
    <row r="393" ht="15.75" customHeight="1" s="45">
      <c r="A393" s="76" t="n">
        <v>46203</v>
      </c>
      <c r="B393" s="82" t="inlineStr">
        <is>
          <t>Pós-Projeto</t>
        </is>
      </c>
      <c r="C393" s="91" t="inlineStr">
        <is>
          <t>Tempo Médio — 🟢 Verde   (hh:mm)</t>
        </is>
      </c>
      <c r="D393" s="79" t="n">
        <v>0.08582175925925926</v>
      </c>
      <c r="E393" s="79" t="n">
        <v>0.1597685185185185</v>
      </c>
      <c r="F393" s="79" t="n">
        <v>0.09099537037037037</v>
      </c>
      <c r="G393" s="79" t="n">
        <v>0.1645833333333333</v>
      </c>
      <c r="H393" s="79" t="n">
        <v>0.120162037037037</v>
      </c>
      <c r="I393" s="79" t="n">
        <v>0.1272569444444444</v>
      </c>
      <c r="J393" s="79" t="n">
        <v>0.1040509259259259</v>
      </c>
      <c r="K393" s="79" t="n">
        <v>0.2000694444444444</v>
      </c>
      <c r="L393" s="79" t="n">
        <v>0.1948148148148148</v>
      </c>
      <c r="M393" s="79" t="n">
        <v>0.1392013888888889</v>
      </c>
      <c r="N393" s="79" t="n">
        <v>0.1596759259259259</v>
      </c>
      <c r="O393" s="79" t="n">
        <v>0.1078009259259259</v>
      </c>
      <c r="P393" s="79" t="n">
        <v>0.1175810185185185</v>
      </c>
    </row>
  </sheetData>
  <autoFilter ref="A3:P393"/>
  <mergeCells count="4">
    <mergeCell ref="K2:P2"/>
    <mergeCell ref="A1:P1"/>
    <mergeCell ref="A2:C2"/>
    <mergeCell ref="D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P4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E412" activeCellId="0" sqref="E412"/>
    </sheetView>
  </sheetViews>
  <sheetFormatPr baseColWidth="8" defaultColWidth="8.6796875" defaultRowHeight="15" zeroHeight="0" outlineLevelRow="0"/>
  <cols>
    <col width="13" customWidth="1" style="44" min="1" max="1"/>
    <col width="12" customWidth="1" style="44" min="2" max="2"/>
    <col width="36.71" customWidth="1" style="44" min="3" max="3"/>
    <col width="15" customWidth="1" style="44" min="4" max="16"/>
  </cols>
  <sheetData>
    <row r="1" ht="31.5" customHeight="1" s="45">
      <c r="A1" s="46" t="inlineStr">
        <is>
          <t>ANÁLISE COMPARATIVA DE INDICADORES — UPAs PORTE I e PORTE III — ANTES e APÓS O PROJETO</t>
        </is>
      </c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8" t="n"/>
    </row>
    <row r="2" ht="25.5" customHeight="1" s="45">
      <c r="A2" s="49" t="inlineStr">
        <is>
          <t>Obs.: O indicador TAXA DE MORTALIDADE é de responsabilidade da SUPPH.</t>
        </is>
      </c>
      <c r="B2" s="47" t="n"/>
      <c r="C2" s="50" t="n"/>
      <c r="D2" s="51" t="inlineStr">
        <is>
          <t>— PORTE I —</t>
        </is>
      </c>
      <c r="E2" s="47" t="n"/>
      <c r="F2" s="47" t="n"/>
      <c r="G2" s="47" t="n"/>
      <c r="H2" s="47" t="n"/>
      <c r="I2" s="47" t="n"/>
      <c r="J2" s="50" t="n"/>
      <c r="K2" s="52" t="inlineStr">
        <is>
          <t>— PORTE III —</t>
        </is>
      </c>
      <c r="L2" s="47" t="n"/>
      <c r="M2" s="47" t="n"/>
      <c r="N2" s="47" t="n"/>
      <c r="O2" s="47" t="n"/>
      <c r="P2" s="53" t="n"/>
    </row>
    <row r="3" ht="36" customHeight="1" s="45">
      <c r="A3" s="54" t="inlineStr">
        <is>
          <t>Data</t>
        </is>
      </c>
      <c r="B3" s="54" t="inlineStr">
        <is>
          <t>Fase</t>
        </is>
      </c>
      <c r="C3" s="54" t="inlineStr">
        <is>
          <t>Indicador</t>
        </is>
      </c>
      <c r="D3" s="55" t="inlineStr">
        <is>
          <t>UPA
CEILÂNDIA II</t>
        </is>
      </c>
      <c r="E3" s="55" t="inlineStr">
        <is>
          <t>UPA
PARANOÁ</t>
        </is>
      </c>
      <c r="F3" s="55" t="inlineStr">
        <is>
          <t>UPA
GAMA</t>
        </is>
      </c>
      <c r="G3" s="55" t="inlineStr">
        <is>
          <t>UPA
PLANALTINA</t>
        </is>
      </c>
      <c r="H3" s="55" t="inlineStr">
        <is>
          <t>UPA RIACHO FUNDO II</t>
        </is>
      </c>
      <c r="I3" s="55" t="inlineStr">
        <is>
          <t>UPA VICENTE PIRES</t>
        </is>
      </c>
      <c r="J3" s="55" t="inlineStr">
        <is>
          <t>UPA BRAZLÂNDIA</t>
        </is>
      </c>
      <c r="K3" s="56" t="inlineStr">
        <is>
          <t>UPA
CEILÂNDIA</t>
        </is>
      </c>
      <c r="L3" s="56" t="inlineStr">
        <is>
          <t>UPA NÚCLEO BANDEIRANTE</t>
        </is>
      </c>
      <c r="M3" s="56" t="inlineStr">
        <is>
          <t>UPA RECANTO DAS EMAS</t>
        </is>
      </c>
      <c r="N3" s="56" t="inlineStr">
        <is>
          <t>UPA SAMAMBAIA</t>
        </is>
      </c>
      <c r="O3" s="56" t="inlineStr">
        <is>
          <t>UPA
SÃO SEBASTIÃO</t>
        </is>
      </c>
      <c r="P3" s="56" t="inlineStr">
        <is>
          <t>UPA SOBRADINHO</t>
        </is>
      </c>
    </row>
    <row r="4" ht="15.75" customHeight="1" s="45">
      <c r="A4" s="57" t="n">
        <v>46204</v>
      </c>
      <c r="B4" s="81" t="inlineStr">
        <is>
          <t>Pós-Projeto</t>
        </is>
      </c>
      <c r="C4" s="59" t="inlineStr">
        <is>
          <t>Acolhim. + Atend. Urgência + Atend. UPA</t>
        </is>
      </c>
      <c r="D4" s="60">
        <f>SUM(D5:D7)</f>
        <v/>
      </c>
      <c r="E4" s="60">
        <f>SUM(E5:E7)</f>
        <v/>
      </c>
      <c r="F4" s="60">
        <f>SUM(F5:F7)</f>
        <v/>
      </c>
      <c r="G4" s="60">
        <f>SUM(G5:G7)</f>
        <v/>
      </c>
      <c r="H4" s="60">
        <f>SUM(H5:H7)</f>
        <v/>
      </c>
      <c r="I4" s="60">
        <f>SUM(I5:I7)</f>
        <v/>
      </c>
      <c r="J4" s="60">
        <f>SUM(J5:J7)</f>
        <v/>
      </c>
      <c r="K4" s="60">
        <f>SUM(K5:K7)</f>
        <v/>
      </c>
      <c r="L4" s="60">
        <f>SUM(L5:L7)</f>
        <v/>
      </c>
      <c r="M4" s="60">
        <f>SUM(M5:M7)</f>
        <v/>
      </c>
      <c r="N4" s="60">
        <f>SUM(N5:N7)</f>
        <v/>
      </c>
      <c r="O4" s="60">
        <f>SUM(O5:O7)</f>
        <v/>
      </c>
      <c r="P4" s="60">
        <f>SUM(P5:P7)</f>
        <v/>
      </c>
    </row>
    <row r="5" ht="15.75" customHeight="1" s="45">
      <c r="A5" s="61" t="n">
        <v>46204</v>
      </c>
      <c r="B5" s="82" t="inlineStr">
        <is>
          <t>Pós-Projeto</t>
        </is>
      </c>
      <c r="C5" s="83" t="inlineStr">
        <is>
          <t>Acolhimento c/ Classif. de Risco</t>
        </is>
      </c>
      <c r="D5" s="64" t="n">
        <v>246</v>
      </c>
      <c r="E5" s="64" t="n">
        <v>186</v>
      </c>
      <c r="F5" s="64" t="n">
        <v>172</v>
      </c>
      <c r="G5" s="64" t="n">
        <v>138</v>
      </c>
      <c r="H5" s="64" t="n">
        <v>176</v>
      </c>
      <c r="I5" s="64" t="n">
        <v>239</v>
      </c>
      <c r="J5" s="64" t="n">
        <v>153</v>
      </c>
      <c r="K5" s="64" t="n">
        <v>337</v>
      </c>
      <c r="L5" s="64" t="n">
        <v>171</v>
      </c>
      <c r="M5" s="64" t="n">
        <v>261</v>
      </c>
      <c r="N5" s="64" t="n">
        <v>240</v>
      </c>
      <c r="O5" s="64" t="n">
        <v>340</v>
      </c>
      <c r="P5" s="64" t="n">
        <v>273</v>
      </c>
    </row>
    <row r="6" ht="15.75" customHeight="1" s="45">
      <c r="A6" s="61" t="n">
        <v>46204</v>
      </c>
      <c r="B6" s="82" t="inlineStr">
        <is>
          <t>Pós-Projeto</t>
        </is>
      </c>
      <c r="C6" s="84" t="inlineStr">
        <is>
          <t>Atend. Urgência Obs. ≤ 24h</t>
        </is>
      </c>
      <c r="D6" s="66" t="n">
        <v>62</v>
      </c>
      <c r="E6" s="66" t="n">
        <v>36</v>
      </c>
      <c r="F6" s="66" t="n">
        <v>7</v>
      </c>
      <c r="G6" s="66" t="n">
        <v>34</v>
      </c>
      <c r="H6" s="66" t="n">
        <v>28</v>
      </c>
      <c r="I6" s="66" t="n">
        <v>15</v>
      </c>
      <c r="J6" s="66" t="n">
        <v>34</v>
      </c>
      <c r="K6" s="66" t="n">
        <v>46</v>
      </c>
      <c r="L6" s="66" t="n">
        <v>22</v>
      </c>
      <c r="M6" s="66" t="n">
        <v>60</v>
      </c>
      <c r="N6" s="66" t="n">
        <v>59</v>
      </c>
      <c r="O6" s="66" t="n">
        <v>60</v>
      </c>
      <c r="P6" s="66" t="n">
        <v>63</v>
      </c>
    </row>
    <row r="7" ht="15.75" customHeight="1" s="45">
      <c r="A7" s="61" t="n">
        <v>46204</v>
      </c>
      <c r="B7" s="82" t="inlineStr">
        <is>
          <t>Pós-Projeto</t>
        </is>
      </c>
      <c r="C7" s="83" t="inlineStr">
        <is>
          <t>Atend. Médico em UPA</t>
        </is>
      </c>
      <c r="D7" s="64" t="n">
        <v>177</v>
      </c>
      <c r="E7" s="64" t="n">
        <v>94</v>
      </c>
      <c r="F7" s="64" t="n">
        <v>120</v>
      </c>
      <c r="G7" s="64" t="n">
        <v>97</v>
      </c>
      <c r="H7" s="64" t="n">
        <v>141</v>
      </c>
      <c r="I7" s="64" t="n">
        <v>210</v>
      </c>
      <c r="J7" s="64" t="n">
        <v>101</v>
      </c>
      <c r="K7" s="64" t="n">
        <v>241</v>
      </c>
      <c r="L7" s="64" t="n">
        <v>127</v>
      </c>
      <c r="M7" s="64" t="n">
        <v>134</v>
      </c>
      <c r="N7" s="64" t="n">
        <v>110</v>
      </c>
      <c r="O7" s="64" t="n">
        <v>255</v>
      </c>
      <c r="P7" s="64" t="n">
        <v>169</v>
      </c>
    </row>
    <row r="8" ht="15.75" customHeight="1" s="45">
      <c r="A8" s="61" t="n">
        <v>46204</v>
      </c>
      <c r="B8" s="82" t="inlineStr">
        <is>
          <t>Pós-Projeto</t>
        </is>
      </c>
      <c r="C8" s="84" t="inlineStr">
        <is>
          <t>Exames Laboratoriais</t>
        </is>
      </c>
      <c r="D8" s="66" t="n">
        <v>631</v>
      </c>
      <c r="E8" s="66" t="n">
        <v>319</v>
      </c>
      <c r="F8" s="66" t="n">
        <v>471</v>
      </c>
      <c r="G8" s="66" t="n">
        <v>330</v>
      </c>
      <c r="H8" s="66" t="n">
        <v>368</v>
      </c>
      <c r="I8" s="66" t="n">
        <v>604</v>
      </c>
      <c r="J8" s="66" t="n">
        <v>403</v>
      </c>
      <c r="K8" s="66" t="n">
        <v>987</v>
      </c>
      <c r="L8" s="66" t="n">
        <v>538</v>
      </c>
      <c r="M8" s="66" t="n">
        <v>489</v>
      </c>
      <c r="N8" s="66" t="n">
        <v>669</v>
      </c>
      <c r="O8" s="66" t="n">
        <v>646</v>
      </c>
      <c r="P8" s="66" t="n">
        <v>615</v>
      </c>
    </row>
    <row r="9" ht="15.75" customHeight="1" s="45">
      <c r="A9" s="61" t="n">
        <v>46204</v>
      </c>
      <c r="B9" s="82" t="inlineStr">
        <is>
          <t>Pós-Projeto</t>
        </is>
      </c>
      <c r="C9" s="83" t="inlineStr">
        <is>
          <t>Radiografias</t>
        </is>
      </c>
      <c r="D9" s="64" t="n">
        <v>16</v>
      </c>
      <c r="E9" s="64" t="n">
        <v>14</v>
      </c>
      <c r="F9" s="64" t="n">
        <v>28</v>
      </c>
      <c r="G9" s="64" t="n">
        <v>28</v>
      </c>
      <c r="H9" s="64" t="n">
        <v>25</v>
      </c>
      <c r="I9" s="64" t="n">
        <v>30</v>
      </c>
      <c r="J9" s="64" t="n">
        <v>25</v>
      </c>
      <c r="K9" s="64" t="n">
        <v>47</v>
      </c>
      <c r="L9" s="64" t="n">
        <v>12</v>
      </c>
      <c r="M9" s="64" t="n">
        <v>41</v>
      </c>
      <c r="N9" s="64" t="n">
        <v>24</v>
      </c>
      <c r="O9" s="64" t="n">
        <v>59</v>
      </c>
      <c r="P9" s="64" t="n">
        <v>46</v>
      </c>
    </row>
    <row r="10" ht="15.75" customHeight="1" s="45">
      <c r="A10" s="61" t="n">
        <v>46204</v>
      </c>
      <c r="B10" s="82" t="inlineStr">
        <is>
          <t>Pós-Projeto</t>
        </is>
      </c>
      <c r="C10" s="84" t="inlineStr">
        <is>
          <t>Eletrocardiogramas</t>
        </is>
      </c>
      <c r="D10" s="66" t="n">
        <v>16</v>
      </c>
      <c r="E10" s="66" t="n">
        <v>4</v>
      </c>
      <c r="F10" s="66" t="n">
        <v>1</v>
      </c>
      <c r="G10" s="66" t="n">
        <v>1</v>
      </c>
      <c r="H10" s="67" t="n">
        <v>0</v>
      </c>
      <c r="I10" s="66" t="n">
        <v>9</v>
      </c>
      <c r="J10" s="67" t="n">
        <v>0</v>
      </c>
      <c r="K10" s="67" t="n">
        <v>0</v>
      </c>
      <c r="L10" s="67" t="n">
        <v>0</v>
      </c>
      <c r="M10" s="66" t="n">
        <v>1</v>
      </c>
      <c r="N10" s="66" t="n">
        <v>8</v>
      </c>
      <c r="O10" s="67" t="n">
        <v>0</v>
      </c>
      <c r="P10" s="66" t="n">
        <v>4</v>
      </c>
    </row>
    <row r="11" ht="15.75" customHeight="1" s="45">
      <c r="A11" s="61" t="n">
        <v>46204</v>
      </c>
      <c r="B11" s="82" t="inlineStr">
        <is>
          <t>Pós-Projeto</t>
        </is>
      </c>
      <c r="C11" s="85" t="inlineStr">
        <is>
          <t>GAEs Abertas</t>
        </is>
      </c>
      <c r="D11" s="69" t="n">
        <v>274</v>
      </c>
      <c r="E11" s="69" t="n">
        <v>194</v>
      </c>
      <c r="F11" s="69" t="n">
        <v>179</v>
      </c>
      <c r="G11" s="69" t="n">
        <v>143</v>
      </c>
      <c r="H11" s="69" t="n">
        <v>184</v>
      </c>
      <c r="I11" s="69" t="n">
        <v>250</v>
      </c>
      <c r="J11" s="69" t="n">
        <v>154</v>
      </c>
      <c r="K11" s="69" t="n">
        <v>356</v>
      </c>
      <c r="L11" s="69" t="n">
        <v>181</v>
      </c>
      <c r="M11" s="69" t="n">
        <v>311</v>
      </c>
      <c r="N11" s="69" t="n">
        <v>253</v>
      </c>
      <c r="O11" s="69" t="n">
        <v>357</v>
      </c>
      <c r="P11" s="69" t="n">
        <v>281</v>
      </c>
    </row>
    <row r="12" ht="15.75" customHeight="1" s="45">
      <c r="A12" s="61" t="n">
        <v>46204</v>
      </c>
      <c r="B12" s="82" t="inlineStr">
        <is>
          <t>Pós-Projeto</t>
        </is>
      </c>
      <c r="C12" s="85" t="inlineStr">
        <is>
          <t>GAEs Classificadas</t>
        </is>
      </c>
      <c r="D12" s="69" t="n">
        <v>246</v>
      </c>
      <c r="E12" s="69" t="n">
        <v>187</v>
      </c>
      <c r="F12" s="69" t="n">
        <v>175</v>
      </c>
      <c r="G12" s="69" t="n">
        <v>138</v>
      </c>
      <c r="H12" s="69" t="n">
        <v>176</v>
      </c>
      <c r="I12" s="69" t="n">
        <v>236</v>
      </c>
      <c r="J12" s="69" t="n">
        <v>153</v>
      </c>
      <c r="K12" s="69" t="n">
        <v>338</v>
      </c>
      <c r="L12" s="69" t="n">
        <v>171</v>
      </c>
      <c r="M12" s="69" t="n">
        <v>264</v>
      </c>
      <c r="N12" s="69" t="n">
        <v>243</v>
      </c>
      <c r="O12" s="69" t="n">
        <v>342</v>
      </c>
      <c r="P12" s="69" t="n">
        <v>274</v>
      </c>
    </row>
    <row r="13" ht="15.75" customHeight="1" s="45">
      <c r="A13" s="61" t="n">
        <v>46204</v>
      </c>
      <c r="B13" s="82" t="inlineStr">
        <is>
          <t>Pós-Projeto</t>
        </is>
      </c>
      <c r="C13" s="86" t="inlineStr">
        <is>
          <t>Percentual de GAEs abertas classificadas</t>
        </is>
      </c>
      <c r="D13" s="71">
        <f>IFERROR(D12/D11,"-")</f>
        <v/>
      </c>
      <c r="E13" s="71">
        <f>IFERROR(E12/E11,"-")</f>
        <v/>
      </c>
      <c r="F13" s="71">
        <f>IFERROR(F12/F11,"-")</f>
        <v/>
      </c>
      <c r="G13" s="71">
        <f>IFERROR(G12/G11,"-")</f>
        <v/>
      </c>
      <c r="H13" s="71">
        <f>IFERROR(H12/H11,"-")</f>
        <v/>
      </c>
      <c r="I13" s="71">
        <f>IFERROR(I12/I11,"-")</f>
        <v/>
      </c>
      <c r="J13" s="71">
        <f>IFERROR(J12/J11,"-")</f>
        <v/>
      </c>
      <c r="K13" s="71">
        <f>IFERROR(K12/K11,"-")</f>
        <v/>
      </c>
      <c r="L13" s="71">
        <f>IFERROR(L12/L11,"-")</f>
        <v/>
      </c>
      <c r="M13" s="71">
        <f>IFERROR(M12/M11,"-")</f>
        <v/>
      </c>
      <c r="N13" s="71">
        <f>IFERROR(N12/N11,"-")</f>
        <v/>
      </c>
      <c r="O13" s="71">
        <f>IFERROR(O12/O11,"-")</f>
        <v/>
      </c>
      <c r="P13" s="71">
        <f>IFERROR(P12/P11,"-")</f>
        <v/>
      </c>
    </row>
    <row r="14" ht="15.75" customHeight="1" s="45">
      <c r="A14" s="61" t="n">
        <v>46204</v>
      </c>
      <c r="B14" s="82" t="inlineStr">
        <is>
          <t>Pós-Projeto</t>
        </is>
      </c>
      <c r="C14" s="87" t="inlineStr">
        <is>
          <t>Tempo Médio — 🟡 Amarelo (hh:mm)</t>
        </is>
      </c>
      <c r="D14" s="73" t="n">
        <v>0.1031828703703704</v>
      </c>
      <c r="E14" s="73" t="n">
        <v>0.05917824074074074</v>
      </c>
      <c r="F14" s="73" t="n">
        <v>0.03325231481481482</v>
      </c>
      <c r="G14" s="73" t="n">
        <v>0.02028935185185185</v>
      </c>
      <c r="H14" s="73" t="n">
        <v>0.04375</v>
      </c>
      <c r="I14" s="73" t="n">
        <v>0.03418981481481481</v>
      </c>
      <c r="J14" s="73" t="n">
        <v>0.08668981481481482</v>
      </c>
      <c r="K14" s="73" t="n">
        <v>0.09359953703703704</v>
      </c>
      <c r="L14" s="73" t="n">
        <v>0.1297685185185185</v>
      </c>
      <c r="M14" s="73" t="n">
        <v>0.05820601851851852</v>
      </c>
      <c r="N14" s="73" t="n">
        <v>0.06869212962962963</v>
      </c>
      <c r="O14" s="73" t="n">
        <v>0.06177083333333333</v>
      </c>
      <c r="P14" s="73" t="n">
        <v>0.03556712962962963</v>
      </c>
    </row>
    <row r="15" ht="15.75" customHeight="1" s="45">
      <c r="A15" s="61" t="n">
        <v>46204</v>
      </c>
      <c r="B15" s="82" t="inlineStr">
        <is>
          <t>Pós-Projeto</t>
        </is>
      </c>
      <c r="C15" s="88" t="inlineStr">
        <is>
          <t>Tempo Médio — 🟠 Laranja (hh:mm)</t>
        </is>
      </c>
      <c r="D15" s="75" t="n">
        <v>0.009953703703703704</v>
      </c>
      <c r="E15" s="75" t="n">
        <v>0.01256944444444444</v>
      </c>
      <c r="F15" s="75" t="n">
        <v>0.00449074074074074</v>
      </c>
      <c r="G15" s="75" t="n">
        <v>0.003564814814814815</v>
      </c>
      <c r="H15" s="75" t="n">
        <v>0.01256944444444444</v>
      </c>
      <c r="I15" s="75" t="n">
        <v>0.005798611111111111</v>
      </c>
      <c r="J15" s="75" t="n">
        <v>0.01550925925925926</v>
      </c>
      <c r="K15" s="75" t="n">
        <v>0.007291666666666667</v>
      </c>
      <c r="L15" s="75" t="n">
        <v>0.02215277777777778</v>
      </c>
      <c r="M15" s="75" t="n">
        <v>0.01425925925925926</v>
      </c>
      <c r="N15" s="75" t="n">
        <v>0.009409722222222222</v>
      </c>
      <c r="O15" s="75" t="n">
        <v>0.01414351851851852</v>
      </c>
      <c r="P15" s="75" t="n">
        <v>0.008437500000000001</v>
      </c>
    </row>
    <row r="16" ht="15.75" customHeight="1" s="45">
      <c r="A16" s="76" t="n">
        <v>46204</v>
      </c>
      <c r="B16" s="89" t="inlineStr">
        <is>
          <t>Pós-Projeto</t>
        </is>
      </c>
      <c r="C16" s="90" t="inlineStr">
        <is>
          <t>Tempo Médio — 🟢 Verde   (hh:mm)</t>
        </is>
      </c>
      <c r="D16" s="79" t="n">
        <v>0.06032407407407407</v>
      </c>
      <c r="E16" s="79" t="n">
        <v>0.09452546296296296</v>
      </c>
      <c r="F16" s="79" t="n">
        <v>0.07471064814814815</v>
      </c>
      <c r="G16" s="79" t="n">
        <v>0.04202546296296297</v>
      </c>
      <c r="H16" s="79" t="n">
        <v>0.06175925925925926</v>
      </c>
      <c r="I16" s="79" t="n">
        <v>0.1501851851851852</v>
      </c>
      <c r="J16" s="79" t="n">
        <v>0.07538194444444445</v>
      </c>
      <c r="K16" s="79" t="n">
        <v>0.1299189814814815</v>
      </c>
      <c r="L16" s="79" t="n">
        <v>0.06609953703703704</v>
      </c>
      <c r="M16" s="79" t="n">
        <v>0.1336342592592593</v>
      </c>
      <c r="N16" s="79" t="n">
        <v>0.08886574074074075</v>
      </c>
      <c r="O16" s="79" t="n">
        <v>0.09302083333333333</v>
      </c>
      <c r="P16" s="79" t="n">
        <v>0.07649305555555555</v>
      </c>
    </row>
    <row r="17" ht="15.75" customHeight="1" s="45">
      <c r="A17" s="57" t="n">
        <v>46205</v>
      </c>
      <c r="B17" s="81" t="inlineStr">
        <is>
          <t>Pós-Projeto</t>
        </is>
      </c>
      <c r="C17" s="59" t="inlineStr">
        <is>
          <t>Acolhim. + Atend. Urgência + Atend. UPA</t>
        </is>
      </c>
      <c r="D17" s="60">
        <f>SUM(D18:D20)</f>
        <v/>
      </c>
      <c r="E17" s="60">
        <f>SUM(E18:E20)</f>
        <v/>
      </c>
      <c r="F17" s="60">
        <f>SUM(F18:F20)</f>
        <v/>
      </c>
      <c r="G17" s="60">
        <f>SUM(G18:G20)</f>
        <v/>
      </c>
      <c r="H17" s="60">
        <f>SUM(H18:H20)</f>
        <v/>
      </c>
      <c r="I17" s="60">
        <f>SUM(I18:I20)</f>
        <v/>
      </c>
      <c r="J17" s="60">
        <f>SUM(J18:J20)</f>
        <v/>
      </c>
      <c r="K17" s="60">
        <f>SUM(K18:K20)</f>
        <v/>
      </c>
      <c r="L17" s="60">
        <f>SUM(L18:L20)</f>
        <v/>
      </c>
      <c r="M17" s="60">
        <f>SUM(M18:M20)</f>
        <v/>
      </c>
      <c r="N17" s="60">
        <f>SUM(N18:N20)</f>
        <v/>
      </c>
      <c r="O17" s="60">
        <f>SUM(O18:O20)</f>
        <v/>
      </c>
      <c r="P17" s="60">
        <f>SUM(P18:P20)</f>
        <v/>
      </c>
    </row>
    <row r="18" ht="15.75" customHeight="1" s="45">
      <c r="A18" s="61" t="n">
        <v>46205</v>
      </c>
      <c r="B18" s="82" t="inlineStr">
        <is>
          <t>Pós-Projeto</t>
        </is>
      </c>
      <c r="C18" s="84" t="inlineStr">
        <is>
          <t>Acolhimento c/ Classif. de Risco</t>
        </is>
      </c>
      <c r="D18" s="66" t="n">
        <v>196</v>
      </c>
      <c r="E18" s="66" t="n">
        <v>148</v>
      </c>
      <c r="F18" s="66" t="n">
        <v>131</v>
      </c>
      <c r="G18" s="66" t="n">
        <v>133</v>
      </c>
      <c r="H18" s="66" t="n">
        <v>106</v>
      </c>
      <c r="I18" s="66" t="n">
        <v>225</v>
      </c>
      <c r="J18" s="66" t="n">
        <v>108</v>
      </c>
      <c r="K18" s="66" t="n">
        <v>273</v>
      </c>
      <c r="L18" s="66" t="n">
        <v>142</v>
      </c>
      <c r="M18" s="66" t="n">
        <v>227</v>
      </c>
      <c r="N18" s="66" t="n">
        <v>213</v>
      </c>
      <c r="O18" s="66" t="n">
        <v>261</v>
      </c>
      <c r="P18" s="66" t="n">
        <v>234</v>
      </c>
    </row>
    <row r="19" ht="15.75" customHeight="1" s="45">
      <c r="A19" s="61" t="n">
        <v>46205</v>
      </c>
      <c r="B19" s="82" t="inlineStr">
        <is>
          <t>Pós-Projeto</t>
        </is>
      </c>
      <c r="C19" s="83" t="inlineStr">
        <is>
          <t>Atend. Urgência Obs. ≤ 24h</t>
        </is>
      </c>
      <c r="D19" s="64" t="n">
        <v>39</v>
      </c>
      <c r="E19" s="64" t="n">
        <v>32</v>
      </c>
      <c r="F19" s="64" t="n">
        <v>31</v>
      </c>
      <c r="G19" s="64" t="n">
        <v>22</v>
      </c>
      <c r="H19" s="64" t="n">
        <v>13</v>
      </c>
      <c r="I19" s="64" t="n">
        <v>16</v>
      </c>
      <c r="J19" s="64" t="n">
        <v>19</v>
      </c>
      <c r="K19" s="64" t="n">
        <v>46</v>
      </c>
      <c r="L19" s="64" t="n">
        <v>47</v>
      </c>
      <c r="M19" s="64" t="n">
        <v>30</v>
      </c>
      <c r="N19" s="64" t="n">
        <v>39</v>
      </c>
      <c r="O19" s="64" t="n">
        <v>3</v>
      </c>
      <c r="P19" s="64" t="n">
        <v>36</v>
      </c>
    </row>
    <row r="20" ht="15.75" customHeight="1" s="45">
      <c r="A20" s="61" t="n">
        <v>46205</v>
      </c>
      <c r="B20" s="82" t="inlineStr">
        <is>
          <t>Pós-Projeto</t>
        </is>
      </c>
      <c r="C20" s="84" t="inlineStr">
        <is>
          <t>Atend. Médico em UPA</t>
        </is>
      </c>
      <c r="D20" s="66" t="n">
        <v>128</v>
      </c>
      <c r="E20" s="66" t="n">
        <v>74</v>
      </c>
      <c r="F20" s="66" t="n">
        <v>87</v>
      </c>
      <c r="G20" s="66" t="n">
        <v>117</v>
      </c>
      <c r="H20" s="66" t="n">
        <v>94</v>
      </c>
      <c r="I20" s="66" t="n">
        <v>189</v>
      </c>
      <c r="J20" s="66" t="n">
        <v>90</v>
      </c>
      <c r="K20" s="66" t="n">
        <v>184</v>
      </c>
      <c r="L20" s="66" t="n">
        <v>106</v>
      </c>
      <c r="M20" s="66" t="n">
        <v>113</v>
      </c>
      <c r="N20" s="66" t="n">
        <v>160</v>
      </c>
      <c r="O20" s="66" t="n">
        <v>178</v>
      </c>
      <c r="P20" s="66" t="n">
        <v>147</v>
      </c>
    </row>
    <row r="21" ht="15.75" customHeight="1" s="45">
      <c r="A21" s="61" t="n">
        <v>46205</v>
      </c>
      <c r="B21" s="82" t="inlineStr">
        <is>
          <t>Pós-Projeto</t>
        </is>
      </c>
      <c r="C21" s="83" t="inlineStr">
        <is>
          <t>Exames Laboratoriais</t>
        </is>
      </c>
      <c r="D21" s="64" t="n">
        <v>571</v>
      </c>
      <c r="E21" s="64" t="n">
        <v>446</v>
      </c>
      <c r="F21" s="64" t="n">
        <v>608</v>
      </c>
      <c r="G21" s="64" t="n">
        <v>516</v>
      </c>
      <c r="H21" s="64" t="n">
        <v>252</v>
      </c>
      <c r="I21" s="64" t="n">
        <v>548</v>
      </c>
      <c r="J21" s="64" t="n">
        <v>254</v>
      </c>
      <c r="K21" s="64" t="n">
        <v>905</v>
      </c>
      <c r="L21" s="64" t="n">
        <v>551</v>
      </c>
      <c r="M21" s="64" t="n">
        <v>631</v>
      </c>
      <c r="N21" s="64" t="n">
        <v>631</v>
      </c>
      <c r="O21" s="64" t="n">
        <v>343</v>
      </c>
      <c r="P21" s="64" t="n">
        <v>85</v>
      </c>
    </row>
    <row r="22" ht="15.75" customHeight="1" s="45">
      <c r="A22" s="61" t="n">
        <v>46205</v>
      </c>
      <c r="B22" s="82" t="inlineStr">
        <is>
          <t>Pós-Projeto</t>
        </is>
      </c>
      <c r="C22" s="84" t="inlineStr">
        <is>
          <t>Radiografias</t>
        </is>
      </c>
      <c r="D22" s="66" t="n">
        <v>12</v>
      </c>
      <c r="E22" s="66" t="n">
        <v>2</v>
      </c>
      <c r="F22" s="66" t="n">
        <v>27</v>
      </c>
      <c r="G22" s="66" t="n">
        <v>19</v>
      </c>
      <c r="H22" s="66" t="n">
        <v>7</v>
      </c>
      <c r="I22" s="66" t="n">
        <v>21</v>
      </c>
      <c r="J22" s="66" t="n">
        <v>23</v>
      </c>
      <c r="K22" s="66" t="n">
        <v>51</v>
      </c>
      <c r="L22" s="66" t="n">
        <v>14</v>
      </c>
      <c r="M22" s="66" t="n">
        <v>62</v>
      </c>
      <c r="N22" s="66" t="n">
        <v>38</v>
      </c>
      <c r="O22" s="66" t="n">
        <v>38</v>
      </c>
      <c r="P22" s="66" t="n">
        <v>49</v>
      </c>
    </row>
    <row r="23" ht="15.75" customHeight="1" s="45">
      <c r="A23" s="61" t="n">
        <v>46205</v>
      </c>
      <c r="B23" s="82" t="inlineStr">
        <is>
          <t>Pós-Projeto</t>
        </is>
      </c>
      <c r="C23" s="83" t="inlineStr">
        <is>
          <t>Eletrocardiogramas</t>
        </is>
      </c>
      <c r="D23" s="64" t="n">
        <v>5</v>
      </c>
      <c r="E23" s="67" t="n">
        <v>0</v>
      </c>
      <c r="F23" s="67" t="n">
        <v>0</v>
      </c>
      <c r="G23" s="64" t="n">
        <v>6</v>
      </c>
      <c r="H23" s="67" t="n">
        <v>0</v>
      </c>
      <c r="I23" s="67" t="n">
        <v>0</v>
      </c>
      <c r="J23" s="64" t="n">
        <v>2</v>
      </c>
      <c r="K23" s="64" t="n">
        <v>13</v>
      </c>
      <c r="L23" s="67" t="n">
        <v>0</v>
      </c>
      <c r="M23" s="67" t="n">
        <v>0</v>
      </c>
      <c r="N23" s="64" t="n">
        <v>6</v>
      </c>
      <c r="O23" s="64" t="n">
        <v>10</v>
      </c>
      <c r="P23" s="64" t="n">
        <v>2</v>
      </c>
    </row>
    <row r="24" ht="15.75" customHeight="1" s="45">
      <c r="A24" s="61" t="n">
        <v>46205</v>
      </c>
      <c r="B24" s="82" t="inlineStr">
        <is>
          <t>Pós-Projeto</t>
        </is>
      </c>
      <c r="C24" s="85" t="inlineStr">
        <is>
          <t>GAEs Abertas</t>
        </is>
      </c>
      <c r="D24" s="69" t="n">
        <v>222</v>
      </c>
      <c r="E24" s="69" t="n">
        <v>157</v>
      </c>
      <c r="F24" s="69" t="n">
        <v>133</v>
      </c>
      <c r="G24" s="69" t="n">
        <v>135</v>
      </c>
      <c r="H24" s="69" t="n">
        <v>109</v>
      </c>
      <c r="I24" s="69" t="n">
        <v>229</v>
      </c>
      <c r="J24" s="69" t="n">
        <v>112</v>
      </c>
      <c r="K24" s="69" t="n">
        <v>297</v>
      </c>
      <c r="L24" s="69" t="n">
        <v>147</v>
      </c>
      <c r="M24" s="69" t="n">
        <v>229</v>
      </c>
      <c r="N24" s="69" t="n">
        <v>219</v>
      </c>
      <c r="O24" s="69" t="n">
        <v>284</v>
      </c>
      <c r="P24" s="69" t="n">
        <v>238</v>
      </c>
    </row>
    <row r="25" ht="15.75" customHeight="1" s="45">
      <c r="A25" s="61" t="n">
        <v>46205</v>
      </c>
      <c r="B25" s="82" t="inlineStr">
        <is>
          <t>Pós-Projeto</t>
        </is>
      </c>
      <c r="C25" s="85" t="inlineStr">
        <is>
          <t>GAEs Classificadas</t>
        </is>
      </c>
      <c r="D25" s="69" t="n">
        <v>200</v>
      </c>
      <c r="E25" s="69" t="n">
        <v>147</v>
      </c>
      <c r="F25" s="69" t="n">
        <v>132</v>
      </c>
      <c r="G25" s="69" t="n">
        <v>133</v>
      </c>
      <c r="H25" s="69" t="n">
        <v>106</v>
      </c>
      <c r="I25" s="69" t="n">
        <v>226</v>
      </c>
      <c r="J25" s="69" t="n">
        <v>108</v>
      </c>
      <c r="K25" s="69" t="n">
        <v>272</v>
      </c>
      <c r="L25" s="69" t="n">
        <v>142</v>
      </c>
      <c r="M25" s="69" t="n">
        <v>225</v>
      </c>
      <c r="N25" s="69" t="n">
        <v>211</v>
      </c>
      <c r="O25" s="69" t="n">
        <v>258</v>
      </c>
      <c r="P25" s="69" t="n">
        <v>233</v>
      </c>
    </row>
    <row r="26" ht="15.75" customHeight="1" s="45">
      <c r="A26" s="61" t="n">
        <v>46205</v>
      </c>
      <c r="B26" s="82" t="inlineStr">
        <is>
          <t>Pós-Projeto</t>
        </is>
      </c>
      <c r="C26" s="86" t="inlineStr">
        <is>
          <t>Percentual de GAEs abertas classificadas</t>
        </is>
      </c>
      <c r="D26" s="71">
        <f>IFERROR(D25/D24,"-")</f>
        <v/>
      </c>
      <c r="E26" s="71">
        <f>IFERROR(E25/E24,"-")</f>
        <v/>
      </c>
      <c r="F26" s="71">
        <f>IFERROR(F25/F24,"-")</f>
        <v/>
      </c>
      <c r="G26" s="71">
        <f>IFERROR(G25/G24,"-")</f>
        <v/>
      </c>
      <c r="H26" s="71">
        <f>IFERROR(H25/H24,"-")</f>
        <v/>
      </c>
      <c r="I26" s="71">
        <f>IFERROR(I25/I24,"-")</f>
        <v/>
      </c>
      <c r="J26" s="71">
        <f>IFERROR(J25/J24,"-")</f>
        <v/>
      </c>
      <c r="K26" s="71">
        <f>IFERROR(K25/K24,"-")</f>
        <v/>
      </c>
      <c r="L26" s="71">
        <f>IFERROR(L25/L24,"-")</f>
        <v/>
      </c>
      <c r="M26" s="71">
        <f>IFERROR(M25/M24,"-")</f>
        <v/>
      </c>
      <c r="N26" s="71">
        <f>IFERROR(N25/N24,"-")</f>
        <v/>
      </c>
      <c r="O26" s="71">
        <f>IFERROR(O25/O24,"-")</f>
        <v/>
      </c>
      <c r="P26" s="71">
        <f>IFERROR(P25/P24,"-")</f>
        <v/>
      </c>
    </row>
    <row r="27" ht="15.75" customHeight="1" s="45">
      <c r="A27" s="61" t="n">
        <v>46205</v>
      </c>
      <c r="B27" s="82" t="inlineStr">
        <is>
          <t>Pós-Projeto</t>
        </is>
      </c>
      <c r="C27" s="87" t="inlineStr">
        <is>
          <t>Tempo Médio — 🟡 Amarelo (hh:mm)</t>
        </is>
      </c>
      <c r="D27" s="73" t="n">
        <v>0.04489583333333334</v>
      </c>
      <c r="E27" s="73" t="n">
        <v>0.04902777777777778</v>
      </c>
      <c r="F27" s="73" t="n">
        <v>0.0434375</v>
      </c>
      <c r="G27" s="73" t="n">
        <v>0.03855324074074074</v>
      </c>
      <c r="H27" s="73" t="n">
        <v>0.03422453703703704</v>
      </c>
      <c r="I27" s="73" t="n">
        <v>0.02165509259259259</v>
      </c>
      <c r="J27" s="73" t="n">
        <v>0.04716435185185185</v>
      </c>
      <c r="K27" s="73" t="n">
        <v>0.1284375</v>
      </c>
      <c r="L27" s="73" t="n">
        <v>0.1141666666666667</v>
      </c>
      <c r="M27" s="73" t="n">
        <v>0.08016203703703703</v>
      </c>
      <c r="N27" s="73" t="n">
        <v>0.07958333333333334</v>
      </c>
      <c r="O27" s="73" t="n">
        <v>0.03722222222222222</v>
      </c>
      <c r="P27" s="73" t="n">
        <v>0.08133101851851852</v>
      </c>
    </row>
    <row r="28" ht="15.75" customHeight="1" s="45">
      <c r="A28" s="61" t="n">
        <v>46205</v>
      </c>
      <c r="B28" s="82" t="inlineStr">
        <is>
          <t>Pós-Projeto</t>
        </is>
      </c>
      <c r="C28" s="88" t="inlineStr">
        <is>
          <t>Tempo Médio — 🟠 Laranja (hh:mm)</t>
        </is>
      </c>
      <c r="D28" s="75" t="n">
        <v>0.007962962962962963</v>
      </c>
      <c r="E28" s="75" t="n">
        <v>0.01983796296296296</v>
      </c>
      <c r="F28" s="75" t="n">
        <v>0.01028935185185185</v>
      </c>
      <c r="G28" s="75" t="n">
        <v>0.01378472222222222</v>
      </c>
      <c r="H28" s="75" t="n">
        <v>0.002511574074074074</v>
      </c>
      <c r="I28" s="75" t="n">
        <v>0.004155092592592592</v>
      </c>
      <c r="J28" s="75" t="n">
        <v>0.004131944444444444</v>
      </c>
      <c r="K28" s="75" t="n">
        <v>0.03178240740740741</v>
      </c>
      <c r="L28" s="75" t="n">
        <v>0.01023148148148148</v>
      </c>
      <c r="M28" s="75" t="n">
        <v>0.01181712962962963</v>
      </c>
      <c r="N28" s="75" t="n">
        <v>0.01049768518518518</v>
      </c>
      <c r="O28" s="75" t="n">
        <v>0.01311342592592593</v>
      </c>
      <c r="P28" s="75" t="n">
        <v>0.01309027777777778</v>
      </c>
    </row>
    <row r="29" ht="15.75" customHeight="1" s="45">
      <c r="A29" s="76" t="n">
        <v>46205</v>
      </c>
      <c r="B29" s="89" t="inlineStr">
        <is>
          <t>Pós-Projeto</t>
        </is>
      </c>
      <c r="C29" s="90" t="inlineStr">
        <is>
          <t>Tempo Médio — 🟢 Verde   (hh:mm)</t>
        </is>
      </c>
      <c r="D29" s="79" t="n">
        <v>0.07366898148148149</v>
      </c>
      <c r="E29" s="79" t="n">
        <v>0.06981481481481482</v>
      </c>
      <c r="F29" s="79" t="n">
        <v>0.1084027777777778</v>
      </c>
      <c r="G29" s="79" t="n">
        <v>0.08819444444444445</v>
      </c>
      <c r="H29" s="79" t="n">
        <v>0.05921296296296296</v>
      </c>
      <c r="I29" s="79" t="n">
        <v>0.08104166666666666</v>
      </c>
      <c r="J29" s="79" t="n">
        <v>0.08734953703703703</v>
      </c>
      <c r="K29" s="79" t="n">
        <v>0.1177893518518519</v>
      </c>
      <c r="L29" s="79" t="n">
        <v>0.1728935185185185</v>
      </c>
      <c r="M29" s="79" t="n">
        <v>0.1205208333333333</v>
      </c>
      <c r="N29" s="79" t="n">
        <v>0.1104282407407407</v>
      </c>
      <c r="O29" s="79" t="n">
        <v>0.1288194444444444</v>
      </c>
      <c r="P29" s="79" t="n">
        <v>0.09152777777777778</v>
      </c>
    </row>
    <row r="30" ht="15.75" customHeight="1" s="45">
      <c r="A30" s="57" t="n">
        <v>46206</v>
      </c>
      <c r="B30" s="81" t="inlineStr">
        <is>
          <t>Pós-Projeto</t>
        </is>
      </c>
      <c r="C30" s="59" t="inlineStr">
        <is>
          <t>Acolhim. + Atend. Urgência + Atend. UPA</t>
        </is>
      </c>
      <c r="D30" s="60">
        <f>SUM(D31:D33)</f>
        <v/>
      </c>
      <c r="E30" s="60">
        <f>SUM(E31:E33)</f>
        <v/>
      </c>
      <c r="F30" s="60">
        <f>SUM(F31:F33)</f>
        <v/>
      </c>
      <c r="G30" s="60">
        <f>SUM(G31:G33)</f>
        <v/>
      </c>
      <c r="H30" s="60">
        <f>SUM(H31:H33)</f>
        <v/>
      </c>
      <c r="I30" s="60">
        <f>SUM(I31:I33)</f>
        <v/>
      </c>
      <c r="J30" s="60">
        <f>SUM(J31:J33)</f>
        <v/>
      </c>
      <c r="K30" s="60">
        <f>SUM(K31:K33)</f>
        <v/>
      </c>
      <c r="L30" s="60">
        <f>SUM(L31:L33)</f>
        <v/>
      </c>
      <c r="M30" s="60">
        <f>SUM(M31:M33)</f>
        <v/>
      </c>
      <c r="N30" s="60">
        <f>SUM(N31:N33)</f>
        <v/>
      </c>
      <c r="O30" s="60">
        <f>SUM(O31:O33)</f>
        <v/>
      </c>
      <c r="P30" s="60">
        <f>SUM(P31:P33)</f>
        <v/>
      </c>
    </row>
    <row r="31" ht="15.75" customHeight="1" s="45">
      <c r="A31" s="61" t="n">
        <v>46206</v>
      </c>
      <c r="B31" s="82" t="inlineStr">
        <is>
          <t>Pós-Projeto</t>
        </is>
      </c>
      <c r="C31" s="83" t="inlineStr">
        <is>
          <t>Acolhimento c/ Classif. de Risco</t>
        </is>
      </c>
      <c r="D31" s="64" t="n">
        <v>208</v>
      </c>
      <c r="E31" s="64" t="n">
        <v>136</v>
      </c>
      <c r="F31" s="64" t="n">
        <v>147</v>
      </c>
      <c r="G31" s="64" t="n">
        <v>136</v>
      </c>
      <c r="H31" s="64" t="n">
        <v>130</v>
      </c>
      <c r="I31" s="64" t="n">
        <v>204</v>
      </c>
      <c r="J31" s="64" t="n">
        <v>108</v>
      </c>
      <c r="K31" s="64" t="n">
        <v>268</v>
      </c>
      <c r="L31" s="64" t="n">
        <v>154</v>
      </c>
      <c r="M31" s="64" t="n">
        <v>204</v>
      </c>
      <c r="N31" s="64" t="n">
        <v>187</v>
      </c>
      <c r="O31" s="64" t="n">
        <v>253</v>
      </c>
      <c r="P31" s="64" t="n">
        <v>185</v>
      </c>
    </row>
    <row r="32" ht="15.75" customHeight="1" s="45">
      <c r="A32" s="61" t="n">
        <v>46206</v>
      </c>
      <c r="B32" s="82" t="inlineStr">
        <is>
          <t>Pós-Projeto</t>
        </is>
      </c>
      <c r="C32" s="84" t="inlineStr">
        <is>
          <t>Atend. Urgência Obs. ≤ 24h</t>
        </is>
      </c>
      <c r="D32" s="66" t="n">
        <v>22</v>
      </c>
      <c r="E32" s="66" t="n">
        <v>24</v>
      </c>
      <c r="F32" s="66" t="n">
        <v>32</v>
      </c>
      <c r="G32" s="66" t="n">
        <v>4</v>
      </c>
      <c r="H32" s="66" t="n">
        <v>12</v>
      </c>
      <c r="I32" s="66" t="n">
        <v>20</v>
      </c>
      <c r="J32" s="66" t="n">
        <v>12</v>
      </c>
      <c r="K32" s="66" t="n">
        <v>50</v>
      </c>
      <c r="L32" s="66" t="n">
        <v>35</v>
      </c>
      <c r="M32" s="66" t="n">
        <v>14</v>
      </c>
      <c r="N32" s="66" t="n">
        <v>69</v>
      </c>
      <c r="O32" s="66" t="n">
        <v>27</v>
      </c>
      <c r="P32" s="66" t="n">
        <v>27</v>
      </c>
    </row>
    <row r="33" ht="15.75" customHeight="1" s="45">
      <c r="A33" s="61" t="n">
        <v>46206</v>
      </c>
      <c r="B33" s="82" t="inlineStr">
        <is>
          <t>Pós-Projeto</t>
        </is>
      </c>
      <c r="C33" s="83" t="inlineStr">
        <is>
          <t>Atend. Médico em UPA</t>
        </is>
      </c>
      <c r="D33" s="64" t="n">
        <v>105</v>
      </c>
      <c r="E33" s="64" t="n">
        <v>78</v>
      </c>
      <c r="F33" s="64" t="n">
        <v>92</v>
      </c>
      <c r="G33" s="64" t="n">
        <v>84</v>
      </c>
      <c r="H33" s="64" t="n">
        <v>94</v>
      </c>
      <c r="I33" s="64" t="n">
        <v>172</v>
      </c>
      <c r="J33" s="64" t="n">
        <v>59</v>
      </c>
      <c r="K33" s="64" t="n">
        <v>228</v>
      </c>
      <c r="L33" s="64" t="n">
        <v>110</v>
      </c>
      <c r="M33" s="64" t="n">
        <v>157</v>
      </c>
      <c r="N33" s="64" t="n">
        <v>151</v>
      </c>
      <c r="O33" s="64" t="n">
        <v>228</v>
      </c>
      <c r="P33" s="64" t="n">
        <v>130</v>
      </c>
    </row>
    <row r="34" ht="15.75" customHeight="1" s="45">
      <c r="A34" s="61" t="n">
        <v>46206</v>
      </c>
      <c r="B34" s="82" t="inlineStr">
        <is>
          <t>Pós-Projeto</t>
        </is>
      </c>
      <c r="C34" s="84" t="inlineStr">
        <is>
          <t>Exames Laboratoriais</t>
        </is>
      </c>
      <c r="D34" s="66" t="n">
        <v>535</v>
      </c>
      <c r="E34" s="66" t="n">
        <v>320</v>
      </c>
      <c r="F34" s="66" t="n">
        <v>463</v>
      </c>
      <c r="G34" s="66" t="n">
        <v>376</v>
      </c>
      <c r="H34" s="66" t="n">
        <v>377</v>
      </c>
      <c r="I34" s="66" t="n">
        <v>523</v>
      </c>
      <c r="J34" s="66" t="n">
        <v>319</v>
      </c>
      <c r="K34" s="66" t="n">
        <v>952</v>
      </c>
      <c r="L34" s="66" t="n">
        <v>680</v>
      </c>
      <c r="M34" s="66" t="n">
        <v>656</v>
      </c>
      <c r="N34" s="66" t="n">
        <v>495</v>
      </c>
      <c r="O34" s="66" t="n">
        <v>420</v>
      </c>
      <c r="P34" s="66" t="n">
        <v>275</v>
      </c>
    </row>
    <row r="35" ht="15.75" customHeight="1" s="45">
      <c r="A35" s="61" t="n">
        <v>46206</v>
      </c>
      <c r="B35" s="82" t="inlineStr">
        <is>
          <t>Pós-Projeto</t>
        </is>
      </c>
      <c r="C35" s="83" t="inlineStr">
        <is>
          <t>Radiografias</t>
        </is>
      </c>
      <c r="D35" s="64" t="n">
        <v>14</v>
      </c>
      <c r="E35" s="64" t="n">
        <v>21</v>
      </c>
      <c r="F35" s="64" t="n">
        <v>12</v>
      </c>
      <c r="G35" s="64" t="n">
        <v>21</v>
      </c>
      <c r="H35" s="64" t="n">
        <v>17</v>
      </c>
      <c r="I35" s="64" t="n">
        <v>21</v>
      </c>
      <c r="J35" s="64" t="n">
        <v>20</v>
      </c>
      <c r="K35" s="64" t="n">
        <v>42</v>
      </c>
      <c r="L35" s="64" t="n">
        <v>19</v>
      </c>
      <c r="M35" s="64" t="n">
        <v>36</v>
      </c>
      <c r="N35" s="64" t="n">
        <v>23</v>
      </c>
      <c r="O35" s="64" t="n">
        <v>32</v>
      </c>
      <c r="P35" s="64" t="n">
        <v>51</v>
      </c>
    </row>
    <row r="36" ht="15.75" customHeight="1" s="45">
      <c r="A36" s="61" t="n">
        <v>46206</v>
      </c>
      <c r="B36" s="82" t="inlineStr">
        <is>
          <t>Pós-Projeto</t>
        </is>
      </c>
      <c r="C36" s="84" t="inlineStr">
        <is>
          <t>Eletrocardiogramas</t>
        </is>
      </c>
      <c r="D36" s="67" t="n">
        <v>0</v>
      </c>
      <c r="E36" s="66" t="n">
        <v>12</v>
      </c>
      <c r="F36" s="67" t="n">
        <v>0</v>
      </c>
      <c r="G36" s="66" t="n">
        <v>1</v>
      </c>
      <c r="H36" s="67" t="n">
        <v>0</v>
      </c>
      <c r="I36" s="66" t="n">
        <v>4</v>
      </c>
      <c r="J36" s="67" t="n">
        <v>0</v>
      </c>
      <c r="K36" s="66" t="n">
        <v>1</v>
      </c>
      <c r="L36" s="67" t="n">
        <v>0</v>
      </c>
      <c r="M36" s="67" t="n">
        <v>0</v>
      </c>
      <c r="N36" s="66" t="n">
        <v>6</v>
      </c>
      <c r="O36" s="67" t="n">
        <v>0</v>
      </c>
      <c r="P36" s="66" t="n">
        <v>1</v>
      </c>
    </row>
    <row r="37" ht="15.75" customHeight="1" s="45">
      <c r="A37" s="61" t="n">
        <v>46206</v>
      </c>
      <c r="B37" s="82" t="inlineStr">
        <is>
          <t>Pós-Projeto</t>
        </is>
      </c>
      <c r="C37" s="85" t="inlineStr">
        <is>
          <t>GAEs Abertas</t>
        </is>
      </c>
      <c r="D37" s="69" t="n">
        <v>226</v>
      </c>
      <c r="E37" s="69" t="n">
        <v>149</v>
      </c>
      <c r="F37" s="69" t="n">
        <v>148</v>
      </c>
      <c r="G37" s="69" t="n">
        <v>139</v>
      </c>
      <c r="H37" s="69" t="n">
        <v>133</v>
      </c>
      <c r="I37" s="69" t="n">
        <v>218</v>
      </c>
      <c r="J37" s="69" t="n">
        <v>112</v>
      </c>
      <c r="K37" s="69" t="n">
        <v>311</v>
      </c>
      <c r="L37" s="69" t="n">
        <v>171</v>
      </c>
      <c r="M37" s="69" t="n">
        <v>207</v>
      </c>
      <c r="N37" s="69" t="n">
        <v>191</v>
      </c>
      <c r="O37" s="69" t="n">
        <v>269</v>
      </c>
      <c r="P37" s="69" t="n">
        <v>187</v>
      </c>
    </row>
    <row r="38" ht="15.75" customHeight="1" s="45">
      <c r="A38" s="61" t="n">
        <v>46206</v>
      </c>
      <c r="B38" s="82" t="inlineStr">
        <is>
          <t>Pós-Projeto</t>
        </is>
      </c>
      <c r="C38" s="85" t="inlineStr">
        <is>
          <t>GAEs Classificadas</t>
        </is>
      </c>
      <c r="D38" s="69" t="n">
        <v>206</v>
      </c>
      <c r="E38" s="69" t="n">
        <v>140</v>
      </c>
      <c r="F38" s="69" t="n">
        <v>146</v>
      </c>
      <c r="G38" s="69" t="n">
        <v>137</v>
      </c>
      <c r="H38" s="69" t="n">
        <v>130</v>
      </c>
      <c r="I38" s="69" t="n">
        <v>206</v>
      </c>
      <c r="J38" s="69" t="n">
        <v>110</v>
      </c>
      <c r="K38" s="69" t="n">
        <v>268</v>
      </c>
      <c r="L38" s="69" t="n">
        <v>154</v>
      </c>
      <c r="M38" s="69" t="n">
        <v>203</v>
      </c>
      <c r="N38" s="69" t="n">
        <v>187</v>
      </c>
      <c r="O38" s="69" t="n">
        <v>254</v>
      </c>
      <c r="P38" s="69" t="n">
        <v>185</v>
      </c>
    </row>
    <row r="39" ht="15.75" customHeight="1" s="45">
      <c r="A39" s="61" t="n">
        <v>46206</v>
      </c>
      <c r="B39" s="82" t="inlineStr">
        <is>
          <t>Pós-Projeto</t>
        </is>
      </c>
      <c r="C39" s="86" t="inlineStr">
        <is>
          <t>Percentual de GAEs abertas classificadas</t>
        </is>
      </c>
      <c r="D39" s="71">
        <f>IFERROR(D38/D37,"-")</f>
        <v/>
      </c>
      <c r="E39" s="71">
        <f>IFERROR(E38/E37,"-")</f>
        <v/>
      </c>
      <c r="F39" s="71">
        <f>IFERROR(F38/F37,"-")</f>
        <v/>
      </c>
      <c r="G39" s="71">
        <f>IFERROR(G38/G37,"-")</f>
        <v/>
      </c>
      <c r="H39" s="71">
        <f>IFERROR(H38/H37,"-")</f>
        <v/>
      </c>
      <c r="I39" s="71">
        <f>IFERROR(I38/I37,"-")</f>
        <v/>
      </c>
      <c r="J39" s="71">
        <f>IFERROR(J38/J37,"-")</f>
        <v/>
      </c>
      <c r="K39" s="71">
        <f>IFERROR(K38/K37,"-")</f>
        <v/>
      </c>
      <c r="L39" s="71">
        <f>IFERROR(L38/L37,"-")</f>
        <v/>
      </c>
      <c r="M39" s="71">
        <f>IFERROR(M38/M37,"-")</f>
        <v/>
      </c>
      <c r="N39" s="71">
        <f>IFERROR(N38/N37,"-")</f>
        <v/>
      </c>
      <c r="O39" s="71">
        <f>IFERROR(O38/O37,"-")</f>
        <v/>
      </c>
      <c r="P39" s="71">
        <f>IFERROR(P38/P37,"-")</f>
        <v/>
      </c>
    </row>
    <row r="40" ht="15.75" customHeight="1" s="45">
      <c r="A40" s="61" t="n">
        <v>46206</v>
      </c>
      <c r="B40" s="82" t="inlineStr">
        <is>
          <t>Pós-Projeto</t>
        </is>
      </c>
      <c r="C40" s="87" t="inlineStr">
        <is>
          <t>Tempo Médio — 🟡 Amarelo (hh:mm)</t>
        </is>
      </c>
      <c r="D40" s="73" t="n">
        <v>0.03524305555555556</v>
      </c>
      <c r="E40" s="73" t="n">
        <v>0.05104166666666667</v>
      </c>
      <c r="F40" s="73" t="n">
        <v>0.07274305555555556</v>
      </c>
      <c r="G40" s="73" t="n">
        <v>0.02039351851851852</v>
      </c>
      <c r="H40" s="73" t="n">
        <v>0.03583333333333334</v>
      </c>
      <c r="I40" s="73" t="n">
        <v>0.05734953703703704</v>
      </c>
      <c r="J40" s="73" t="n">
        <v>0.07738425925925926</v>
      </c>
      <c r="K40" s="73" t="n">
        <v>0.08189814814814815</v>
      </c>
      <c r="L40" s="73" t="n">
        <v>0.1577546296296296</v>
      </c>
      <c r="M40" s="73" t="n">
        <v>0.02618055555555555</v>
      </c>
      <c r="N40" s="73" t="n">
        <v>0.0903587962962963</v>
      </c>
      <c r="O40" s="73" t="n">
        <v>0.05587962962962963</v>
      </c>
      <c r="P40" s="73" t="n">
        <v>0.02987268518518519</v>
      </c>
    </row>
    <row r="41" ht="15.75" customHeight="1" s="45">
      <c r="A41" s="61" t="n">
        <v>46206</v>
      </c>
      <c r="B41" s="82" t="inlineStr">
        <is>
          <t>Pós-Projeto</t>
        </is>
      </c>
      <c r="C41" s="88" t="inlineStr">
        <is>
          <t>Tempo Médio — 🟠 Laranja (hh:mm)</t>
        </is>
      </c>
      <c r="D41" s="75" t="n">
        <v>0.004178240740740741</v>
      </c>
      <c r="E41" s="75" t="n">
        <v>0.04614583333333333</v>
      </c>
      <c r="F41" s="75" t="n">
        <v>0.006157407407407407</v>
      </c>
      <c r="G41" s="75" t="n">
        <v>0.004965277777777778</v>
      </c>
      <c r="H41" s="75" t="n">
        <v>0.006018518518518519</v>
      </c>
      <c r="I41" s="75" t="n">
        <v>0.005057870370370371</v>
      </c>
      <c r="J41" s="75" t="n">
        <v>0.02996527777777778</v>
      </c>
      <c r="K41" s="75" t="n">
        <v>0.01923611111111111</v>
      </c>
      <c r="L41" s="75" t="n">
        <v>0.0191087962962963</v>
      </c>
      <c r="M41" s="75" t="n">
        <v>0.01604166666666667</v>
      </c>
      <c r="N41" s="75" t="n">
        <v>0.01425925925925926</v>
      </c>
      <c r="O41" s="75" t="n">
        <v>0.01300925925925926</v>
      </c>
      <c r="P41" s="75" t="n">
        <v>0.008310185185185184</v>
      </c>
    </row>
    <row r="42" ht="15.75" customHeight="1" s="45">
      <c r="A42" s="76" t="n">
        <v>46206</v>
      </c>
      <c r="B42" s="89" t="inlineStr">
        <is>
          <t>Pós-Projeto</t>
        </is>
      </c>
      <c r="C42" s="90" t="inlineStr">
        <is>
          <t>Tempo Médio — 🟢 Verde   (hh:mm)</t>
        </is>
      </c>
      <c r="D42" s="79" t="n">
        <v>0.05766203703703704</v>
      </c>
      <c r="E42" s="79" t="n">
        <v>0.09252314814814815</v>
      </c>
      <c r="F42" s="79" t="n">
        <v>0.2515277777777778</v>
      </c>
      <c r="G42" s="79" t="n">
        <v>0.06376157407407407</v>
      </c>
      <c r="H42" s="79" t="n">
        <v>0.07369212962962964</v>
      </c>
      <c r="I42" s="79" t="n">
        <v>0.1392939814814815</v>
      </c>
      <c r="J42" s="79" t="n">
        <v>0.06917824074074073</v>
      </c>
      <c r="K42" s="79" t="n">
        <v>0.05608796296296296</v>
      </c>
      <c r="L42" s="79" t="n">
        <v>0.1463657407407407</v>
      </c>
      <c r="M42" s="79" t="n">
        <v>0.08335648148148148</v>
      </c>
      <c r="N42" s="79" t="n">
        <v>0.1279513888888889</v>
      </c>
      <c r="O42" s="79" t="n">
        <v>0.1246759259259259</v>
      </c>
      <c r="P42" s="79" t="n">
        <v>0.06438657407407407</v>
      </c>
    </row>
    <row r="43" ht="15.75" customHeight="1" s="45">
      <c r="A43" s="57" t="n">
        <v>46207</v>
      </c>
      <c r="B43" s="81" t="inlineStr">
        <is>
          <t>Pós-Projeto</t>
        </is>
      </c>
      <c r="C43" s="59" t="inlineStr">
        <is>
          <t>Acolhim. + Atend. Urgência + Atend. UPA</t>
        </is>
      </c>
      <c r="D43" s="60">
        <f>SUM(D44:D46)</f>
        <v/>
      </c>
      <c r="E43" s="60">
        <f>SUM(E44:E46)</f>
        <v/>
      </c>
      <c r="F43" s="60">
        <f>SUM(F44:F46)</f>
        <v/>
      </c>
      <c r="G43" s="60">
        <f>SUM(G44:G46)</f>
        <v/>
      </c>
      <c r="H43" s="60">
        <f>SUM(H44:H46)</f>
        <v/>
      </c>
      <c r="I43" s="60">
        <f>SUM(I44:I46)</f>
        <v/>
      </c>
      <c r="J43" s="60">
        <f>SUM(J44:J46)</f>
        <v/>
      </c>
      <c r="K43" s="60">
        <f>SUM(K44:K46)</f>
        <v/>
      </c>
      <c r="L43" s="60">
        <f>SUM(L44:L46)</f>
        <v/>
      </c>
      <c r="M43" s="60">
        <f>SUM(M44:M46)</f>
        <v/>
      </c>
      <c r="N43" s="60">
        <f>SUM(N44:N46)</f>
        <v/>
      </c>
      <c r="O43" s="60">
        <f>SUM(O44:O46)</f>
        <v/>
      </c>
      <c r="P43" s="60">
        <f>SUM(P44:P46)</f>
        <v/>
      </c>
    </row>
    <row r="44" ht="15.75" customHeight="1" s="45">
      <c r="A44" s="61" t="n">
        <v>46207</v>
      </c>
      <c r="B44" s="82" t="inlineStr">
        <is>
          <t>Pós-Projeto</t>
        </is>
      </c>
      <c r="C44" s="84" t="inlineStr">
        <is>
          <t>Acolhimento c/ Classif. de Risco</t>
        </is>
      </c>
      <c r="D44" s="66" t="n">
        <v>161</v>
      </c>
      <c r="E44" s="66" t="n">
        <v>147</v>
      </c>
      <c r="F44" s="66" t="n">
        <v>119</v>
      </c>
      <c r="G44" s="66" t="n">
        <v>116</v>
      </c>
      <c r="H44" s="66" t="n">
        <v>109</v>
      </c>
      <c r="I44" s="66" t="n">
        <v>200</v>
      </c>
      <c r="J44" s="66" t="n">
        <v>109</v>
      </c>
      <c r="K44" s="66" t="n">
        <v>205</v>
      </c>
      <c r="L44" s="66" t="n">
        <v>116</v>
      </c>
      <c r="M44" s="66" t="n">
        <v>192</v>
      </c>
      <c r="N44" s="66" t="n">
        <v>186</v>
      </c>
      <c r="O44" s="66" t="n">
        <v>232</v>
      </c>
      <c r="P44" s="66" t="n">
        <v>187</v>
      </c>
    </row>
    <row r="45" ht="15.75" customHeight="1" s="45">
      <c r="A45" s="61" t="n">
        <v>46207</v>
      </c>
      <c r="B45" s="82" t="inlineStr">
        <is>
          <t>Pós-Projeto</t>
        </is>
      </c>
      <c r="C45" s="83" t="inlineStr">
        <is>
          <t>Atend. Urgência Obs. ≤ 24h</t>
        </is>
      </c>
      <c r="D45" s="64" t="n">
        <v>45</v>
      </c>
      <c r="E45" s="64" t="n">
        <v>30</v>
      </c>
      <c r="F45" s="64" t="n">
        <v>20</v>
      </c>
      <c r="G45" s="64" t="n">
        <v>10</v>
      </c>
      <c r="H45" s="64" t="n">
        <v>7</v>
      </c>
      <c r="I45" s="64" t="n">
        <v>29</v>
      </c>
      <c r="J45" s="64" t="n">
        <v>15</v>
      </c>
      <c r="K45" s="64" t="n">
        <v>53</v>
      </c>
      <c r="L45" s="64" t="n">
        <v>30</v>
      </c>
      <c r="M45" s="64" t="n">
        <v>12</v>
      </c>
      <c r="N45" s="64" t="n">
        <v>52</v>
      </c>
      <c r="O45" s="64" t="n">
        <v>28</v>
      </c>
      <c r="P45" s="64" t="n">
        <v>31</v>
      </c>
    </row>
    <row r="46" ht="15.75" customHeight="1" s="45">
      <c r="A46" s="61" t="n">
        <v>46207</v>
      </c>
      <c r="B46" s="82" t="inlineStr">
        <is>
          <t>Pós-Projeto</t>
        </is>
      </c>
      <c r="C46" s="84" t="inlineStr">
        <is>
          <t>Atend. Médico em UPA</t>
        </is>
      </c>
      <c r="D46" s="66" t="n">
        <v>159</v>
      </c>
      <c r="E46" s="66" t="n">
        <v>47</v>
      </c>
      <c r="F46" s="66" t="n">
        <v>71</v>
      </c>
      <c r="G46" s="66" t="n">
        <v>57</v>
      </c>
      <c r="H46" s="66" t="n">
        <v>78</v>
      </c>
      <c r="I46" s="66" t="n">
        <v>187</v>
      </c>
      <c r="J46" s="66" t="n">
        <v>65</v>
      </c>
      <c r="K46" s="66" t="n">
        <v>85</v>
      </c>
      <c r="L46" s="66" t="n">
        <v>107</v>
      </c>
      <c r="M46" s="66" t="n">
        <v>136</v>
      </c>
      <c r="N46" s="66" t="n">
        <v>143</v>
      </c>
      <c r="O46" s="66" t="n">
        <v>208</v>
      </c>
      <c r="P46" s="66" t="n">
        <v>116</v>
      </c>
    </row>
    <row r="47" ht="15.75" customHeight="1" s="45">
      <c r="A47" s="61" t="n">
        <v>46207</v>
      </c>
      <c r="B47" s="82" t="inlineStr">
        <is>
          <t>Pós-Projeto</t>
        </is>
      </c>
      <c r="C47" s="83" t="inlineStr">
        <is>
          <t>Exames Laboratoriais</t>
        </is>
      </c>
      <c r="D47" s="64" t="n">
        <v>654</v>
      </c>
      <c r="E47" s="64" t="n">
        <v>314</v>
      </c>
      <c r="F47" s="64" t="n">
        <v>516</v>
      </c>
      <c r="G47" s="64" t="n">
        <v>439</v>
      </c>
      <c r="H47" s="64" t="n">
        <v>288</v>
      </c>
      <c r="I47" s="64" t="n">
        <v>741</v>
      </c>
      <c r="J47" s="64" t="n">
        <v>241</v>
      </c>
      <c r="K47" s="64" t="n">
        <v>637</v>
      </c>
      <c r="L47" s="64" t="n">
        <v>458</v>
      </c>
      <c r="M47" s="64" t="n">
        <v>550</v>
      </c>
      <c r="N47" s="64" t="n">
        <v>471</v>
      </c>
      <c r="O47" s="64" t="n">
        <v>304</v>
      </c>
      <c r="P47" s="64" t="n">
        <v>557</v>
      </c>
    </row>
    <row r="48" ht="15.75" customHeight="1" s="45">
      <c r="A48" s="61" t="n">
        <v>46207</v>
      </c>
      <c r="B48" s="82" t="inlineStr">
        <is>
          <t>Pós-Projeto</t>
        </is>
      </c>
      <c r="C48" s="84" t="inlineStr">
        <is>
          <t>Radiografias</t>
        </is>
      </c>
      <c r="D48" s="66" t="n">
        <v>24</v>
      </c>
      <c r="E48" s="66" t="n">
        <v>10</v>
      </c>
      <c r="F48" s="66" t="n">
        <v>14</v>
      </c>
      <c r="G48" s="66" t="n">
        <v>20</v>
      </c>
      <c r="H48" s="66" t="n">
        <v>10</v>
      </c>
      <c r="I48" s="66" t="n">
        <v>23</v>
      </c>
      <c r="J48" s="66" t="n">
        <v>15</v>
      </c>
      <c r="K48" s="66" t="n">
        <v>17</v>
      </c>
      <c r="L48" s="66" t="n">
        <v>16</v>
      </c>
      <c r="M48" s="66" t="n">
        <v>47</v>
      </c>
      <c r="N48" s="66" t="n">
        <v>23</v>
      </c>
      <c r="O48" s="66" t="n">
        <v>44</v>
      </c>
      <c r="P48" s="66" t="n">
        <v>28</v>
      </c>
    </row>
    <row r="49" ht="15.75" customHeight="1" s="45">
      <c r="A49" s="61" t="n">
        <v>46207</v>
      </c>
      <c r="B49" s="82" t="inlineStr">
        <is>
          <t>Pós-Projeto</t>
        </is>
      </c>
      <c r="C49" s="83" t="inlineStr">
        <is>
          <t>Eletrocardiogramas</t>
        </is>
      </c>
      <c r="D49" s="67" t="n">
        <v>0</v>
      </c>
      <c r="E49" s="64" t="n">
        <v>4</v>
      </c>
      <c r="F49" s="64" t="n">
        <v>3</v>
      </c>
      <c r="G49" s="64" t="n">
        <v>2</v>
      </c>
      <c r="H49" s="67" t="n">
        <v>0</v>
      </c>
      <c r="I49" s="67" t="n">
        <v>0</v>
      </c>
      <c r="J49" s="67" t="n">
        <v>0</v>
      </c>
      <c r="K49" s="64" t="n">
        <v>2</v>
      </c>
      <c r="L49" s="67" t="n">
        <v>0</v>
      </c>
      <c r="M49" s="67" t="n">
        <v>0</v>
      </c>
      <c r="N49" s="64" t="n">
        <v>5</v>
      </c>
      <c r="O49" s="67" t="n">
        <v>0</v>
      </c>
      <c r="P49" s="64" t="n">
        <v>3</v>
      </c>
    </row>
    <row r="50" ht="15.75" customHeight="1" s="45">
      <c r="A50" s="61" t="n">
        <v>46207</v>
      </c>
      <c r="B50" s="82" t="inlineStr">
        <is>
          <t>Pós-Projeto</t>
        </is>
      </c>
      <c r="C50" s="85" t="inlineStr">
        <is>
          <t>GAEs Abertas</t>
        </is>
      </c>
      <c r="D50" s="69" t="n">
        <v>171</v>
      </c>
      <c r="E50" s="69" t="n">
        <v>151</v>
      </c>
      <c r="F50" s="69" t="n">
        <v>122</v>
      </c>
      <c r="G50" s="69" t="n">
        <v>122</v>
      </c>
      <c r="H50" s="69" t="n">
        <v>113</v>
      </c>
      <c r="I50" s="69" t="n">
        <v>217</v>
      </c>
      <c r="J50" s="69" t="n">
        <v>111</v>
      </c>
      <c r="K50" s="69" t="n">
        <v>255</v>
      </c>
      <c r="L50" s="69" t="n">
        <v>121</v>
      </c>
      <c r="M50" s="69" t="n">
        <v>202</v>
      </c>
      <c r="N50" s="69" t="n">
        <v>191</v>
      </c>
      <c r="O50" s="69" t="n">
        <v>242</v>
      </c>
      <c r="P50" s="69" t="n">
        <v>193</v>
      </c>
    </row>
    <row r="51" ht="15.75" customHeight="1" s="45">
      <c r="A51" s="61" t="n">
        <v>46207</v>
      </c>
      <c r="B51" s="82" t="inlineStr">
        <is>
          <t>Pós-Projeto</t>
        </is>
      </c>
      <c r="C51" s="85" t="inlineStr">
        <is>
          <t>GAEs Classificadas</t>
        </is>
      </c>
      <c r="D51" s="69" t="n">
        <v>159</v>
      </c>
      <c r="E51" s="69" t="n">
        <v>143</v>
      </c>
      <c r="F51" s="69" t="n">
        <v>119</v>
      </c>
      <c r="G51" s="69" t="n">
        <v>116</v>
      </c>
      <c r="H51" s="69" t="n">
        <v>109</v>
      </c>
      <c r="I51" s="69" t="n">
        <v>195</v>
      </c>
      <c r="J51" s="69" t="n">
        <v>107</v>
      </c>
      <c r="K51" s="69" t="n">
        <v>205</v>
      </c>
      <c r="L51" s="69" t="n">
        <v>118</v>
      </c>
      <c r="M51" s="69" t="n">
        <v>191</v>
      </c>
      <c r="N51" s="69" t="n">
        <v>186</v>
      </c>
      <c r="O51" s="69" t="n">
        <v>233</v>
      </c>
      <c r="P51" s="69" t="n">
        <v>187</v>
      </c>
    </row>
    <row r="52" ht="15.75" customHeight="1" s="45">
      <c r="A52" s="61" t="n">
        <v>46207</v>
      </c>
      <c r="B52" s="82" t="inlineStr">
        <is>
          <t>Pós-Projeto</t>
        </is>
      </c>
      <c r="C52" s="86" t="inlineStr">
        <is>
          <t>Percentual de GAEs abertas classificadas</t>
        </is>
      </c>
      <c r="D52" s="71">
        <f>IFERROR(D51/D50,"-")</f>
        <v/>
      </c>
      <c r="E52" s="71">
        <f>IFERROR(E51/E50,"-")</f>
        <v/>
      </c>
      <c r="F52" s="71">
        <f>IFERROR(F51/F50,"-")</f>
        <v/>
      </c>
      <c r="G52" s="71">
        <f>IFERROR(G51/G50,"-")</f>
        <v/>
      </c>
      <c r="H52" s="71">
        <f>IFERROR(H51/H50,"-")</f>
        <v/>
      </c>
      <c r="I52" s="71">
        <f>IFERROR(I51/I50,"-")</f>
        <v/>
      </c>
      <c r="J52" s="71">
        <f>IFERROR(J51/J50,"-")</f>
        <v/>
      </c>
      <c r="K52" s="71">
        <f>IFERROR(K51/K50,"-")</f>
        <v/>
      </c>
      <c r="L52" s="71">
        <f>IFERROR(L51/L50,"-")</f>
        <v/>
      </c>
      <c r="M52" s="71">
        <f>IFERROR(M51/M50,"-")</f>
        <v/>
      </c>
      <c r="N52" s="71">
        <f>IFERROR(N51/N50,"-")</f>
        <v/>
      </c>
      <c r="O52" s="71">
        <f>IFERROR(O51/O50,"-")</f>
        <v/>
      </c>
      <c r="P52" s="71">
        <f>IFERROR(P51/P50,"-")</f>
        <v/>
      </c>
    </row>
    <row r="53" ht="15.75" customHeight="1" s="45">
      <c r="A53" s="61" t="n">
        <v>46207</v>
      </c>
      <c r="B53" s="82" t="inlineStr">
        <is>
          <t>Pós-Projeto</t>
        </is>
      </c>
      <c r="C53" s="87" t="inlineStr">
        <is>
          <t>Tempo Médio — 🟡 Amarelo (hh:mm)</t>
        </is>
      </c>
      <c r="D53" s="73" t="n">
        <v>0.05173611111111111</v>
      </c>
      <c r="E53" s="73" t="n">
        <v>0.04039351851851852</v>
      </c>
      <c r="F53" s="73" t="n">
        <v>0.1477430555555556</v>
      </c>
      <c r="G53" s="73" t="n">
        <v>0.04349537037037037</v>
      </c>
      <c r="H53" s="73" t="n">
        <v>0.03646990740740741</v>
      </c>
      <c r="I53" s="73" t="n">
        <v>0.04267361111111111</v>
      </c>
      <c r="J53" s="73" t="n">
        <v>0.08614583333333334</v>
      </c>
      <c r="K53" s="73" t="n">
        <v>0.06474537037037037</v>
      </c>
      <c r="L53" s="73" t="n">
        <v>0.09055555555555556</v>
      </c>
      <c r="M53" s="73" t="n">
        <v>0.03244212962962963</v>
      </c>
      <c r="N53" s="73" t="n">
        <v>0.0528125</v>
      </c>
      <c r="O53" s="73" t="n">
        <v>0.02023148148148148</v>
      </c>
      <c r="P53" s="73" t="n">
        <v>0.05303240740740741</v>
      </c>
    </row>
    <row r="54" ht="15.75" customHeight="1" s="45">
      <c r="A54" s="61" t="n">
        <v>46207</v>
      </c>
      <c r="B54" s="82" t="inlineStr">
        <is>
          <t>Pós-Projeto</t>
        </is>
      </c>
      <c r="C54" s="88" t="inlineStr">
        <is>
          <t>Tempo Médio — 🟠 Laranja (hh:mm)</t>
        </is>
      </c>
      <c r="D54" s="75" t="n">
        <v>0.009131944444444444</v>
      </c>
      <c r="E54" s="75" t="n">
        <v>0.02668981481481482</v>
      </c>
      <c r="F54" s="75" t="n">
        <v>0.005474537037037037</v>
      </c>
      <c r="G54" s="75" t="n">
        <v>0.00537037037037037</v>
      </c>
      <c r="H54" s="75" t="n">
        <v>0.001481481481481481</v>
      </c>
      <c r="I54" s="75" t="n">
        <v>0.005219907407407407</v>
      </c>
      <c r="J54" s="75" t="n">
        <v>0.01914351851851852</v>
      </c>
      <c r="K54" s="75" t="n">
        <v>0.02548611111111111</v>
      </c>
      <c r="L54" s="75" t="n">
        <v>0.01043981481481481</v>
      </c>
      <c r="M54" s="75" t="n">
        <v>0.009236111111111112</v>
      </c>
      <c r="N54" s="75" t="n">
        <v>0.008206018518518519</v>
      </c>
      <c r="O54" s="75" t="n">
        <v>0.008425925925925925</v>
      </c>
      <c r="P54" s="75" t="n">
        <v>0.0121875</v>
      </c>
    </row>
    <row r="55" ht="15.75" customHeight="1" s="45">
      <c r="A55" s="76" t="n">
        <v>46207</v>
      </c>
      <c r="B55" s="89" t="inlineStr">
        <is>
          <t>Pós-Projeto</t>
        </is>
      </c>
      <c r="C55" s="90" t="inlineStr">
        <is>
          <t>Tempo Médio — 🟢 Verde   (hh:mm)</t>
        </is>
      </c>
      <c r="D55" s="79" t="n">
        <v>0.1041666666666667</v>
      </c>
      <c r="E55" s="79" t="n">
        <v>0.05246527777777778</v>
      </c>
      <c r="F55" s="79" t="n">
        <v>0.2147800925925926</v>
      </c>
      <c r="G55" s="79" t="n">
        <v>0.1874768518518518</v>
      </c>
      <c r="H55" s="79" t="n">
        <v>0.1168865740740741</v>
      </c>
      <c r="I55" s="79" t="n">
        <v>0.1525</v>
      </c>
      <c r="J55" s="79" t="n">
        <v>0.1444444444444444</v>
      </c>
      <c r="K55" s="79" t="n">
        <v>0.1021875</v>
      </c>
      <c r="L55" s="79" t="n">
        <v>0.1308217592592593</v>
      </c>
      <c r="M55" s="79" t="n">
        <v>0.04844907407407407</v>
      </c>
      <c r="N55" s="79" t="n">
        <v>0.1120949074074074</v>
      </c>
      <c r="O55" s="79" t="n">
        <v>0.05417824074074074</v>
      </c>
      <c r="P55" s="79" t="n">
        <v>0.08883101851851852</v>
      </c>
    </row>
    <row r="56" ht="15.75" customHeight="1" s="45">
      <c r="A56" s="57" t="n">
        <v>46208</v>
      </c>
      <c r="B56" s="81" t="inlineStr">
        <is>
          <t>Pós-Projeto</t>
        </is>
      </c>
      <c r="C56" s="59" t="inlineStr">
        <is>
          <t>Acolhim. + Atend. Urgência + Atend. UPA</t>
        </is>
      </c>
      <c r="D56" s="60">
        <f>SUM(D57:D59)</f>
        <v/>
      </c>
      <c r="E56" s="60">
        <f>SUM(E57:E59)</f>
        <v/>
      </c>
      <c r="F56" s="60">
        <f>SUM(F57:F59)</f>
        <v/>
      </c>
      <c r="G56" s="60">
        <f>SUM(G57:G59)</f>
        <v/>
      </c>
      <c r="H56" s="60">
        <f>SUM(H57:H59)</f>
        <v/>
      </c>
      <c r="I56" s="60">
        <f>SUM(I57:I59)</f>
        <v/>
      </c>
      <c r="J56" s="60">
        <f>SUM(J57:J59)</f>
        <v/>
      </c>
      <c r="K56" s="60">
        <f>SUM(K57:K59)</f>
        <v/>
      </c>
      <c r="L56" s="60">
        <f>SUM(L57:L59)</f>
        <v/>
      </c>
      <c r="M56" s="60">
        <f>SUM(M57:M59)</f>
        <v/>
      </c>
      <c r="N56" s="60">
        <f>SUM(N57:N59)</f>
        <v/>
      </c>
      <c r="O56" s="60">
        <f>SUM(O57:O59)</f>
        <v/>
      </c>
      <c r="P56" s="60">
        <f>SUM(P57:P59)</f>
        <v/>
      </c>
    </row>
    <row r="57" ht="15.75" customHeight="1" s="45">
      <c r="A57" s="61" t="n">
        <v>46208</v>
      </c>
      <c r="B57" s="82" t="inlineStr">
        <is>
          <t>Pós-Projeto</t>
        </is>
      </c>
      <c r="C57" s="83" t="inlineStr">
        <is>
          <t>Acolhimento c/ Classif. de Risco</t>
        </is>
      </c>
      <c r="D57" s="64" t="n">
        <v>138</v>
      </c>
      <c r="E57" s="64" t="n">
        <v>121</v>
      </c>
      <c r="F57" s="64" t="n">
        <v>125</v>
      </c>
      <c r="G57" s="64" t="n">
        <v>96</v>
      </c>
      <c r="H57" s="64" t="n">
        <v>98</v>
      </c>
      <c r="I57" s="64" t="n">
        <v>157</v>
      </c>
      <c r="J57" s="64" t="n">
        <v>88</v>
      </c>
      <c r="K57" s="64" t="n">
        <v>166</v>
      </c>
      <c r="L57" s="64" t="n">
        <v>100</v>
      </c>
      <c r="M57" s="64" t="n">
        <v>182</v>
      </c>
      <c r="N57" s="64" t="n">
        <v>145</v>
      </c>
      <c r="O57" s="64" t="n">
        <v>155</v>
      </c>
      <c r="P57" s="64" t="n">
        <v>171</v>
      </c>
    </row>
    <row r="58" ht="15.75" customHeight="1" s="45">
      <c r="A58" s="61" t="n">
        <v>46208</v>
      </c>
      <c r="B58" s="82" t="inlineStr">
        <is>
          <t>Pós-Projeto</t>
        </is>
      </c>
      <c r="C58" s="84" t="inlineStr">
        <is>
          <t>Atend. Urgência Obs. ≤ 24h</t>
        </is>
      </c>
      <c r="D58" s="66" t="n">
        <v>39</v>
      </c>
      <c r="E58" s="66" t="n">
        <v>29</v>
      </c>
      <c r="F58" s="66" t="n">
        <v>36</v>
      </c>
      <c r="G58" s="66" t="n">
        <v>16</v>
      </c>
      <c r="H58" s="66" t="n">
        <v>4</v>
      </c>
      <c r="I58" s="66" t="n">
        <v>30</v>
      </c>
      <c r="J58" s="66" t="n">
        <v>20</v>
      </c>
      <c r="K58" s="66" t="n">
        <v>34</v>
      </c>
      <c r="L58" s="66" t="n">
        <v>59</v>
      </c>
      <c r="M58" s="66" t="n">
        <v>20</v>
      </c>
      <c r="N58" s="66" t="n">
        <v>71</v>
      </c>
      <c r="O58" s="66" t="n">
        <v>26</v>
      </c>
      <c r="P58" s="66" t="n">
        <v>16</v>
      </c>
    </row>
    <row r="59" ht="15.75" customHeight="1" s="45">
      <c r="A59" s="61" t="n">
        <v>46208</v>
      </c>
      <c r="B59" s="82" t="inlineStr">
        <is>
          <t>Pós-Projeto</t>
        </is>
      </c>
      <c r="C59" s="83" t="inlineStr">
        <is>
          <t>Atend. Médico em UPA</t>
        </is>
      </c>
      <c r="D59" s="64" t="n">
        <v>74</v>
      </c>
      <c r="E59" s="64" t="n">
        <v>53</v>
      </c>
      <c r="F59" s="64" t="n">
        <v>85</v>
      </c>
      <c r="G59" s="64" t="n">
        <v>59</v>
      </c>
      <c r="H59" s="64" t="n">
        <v>68</v>
      </c>
      <c r="I59" s="64" t="n">
        <v>153</v>
      </c>
      <c r="J59" s="64" t="n">
        <v>79</v>
      </c>
      <c r="K59" s="64" t="n">
        <v>78</v>
      </c>
      <c r="L59" s="64" t="n">
        <v>86</v>
      </c>
      <c r="M59" s="64" t="n">
        <v>144</v>
      </c>
      <c r="N59" s="64" t="n">
        <v>92</v>
      </c>
      <c r="O59" s="64" t="n">
        <v>133</v>
      </c>
      <c r="P59" s="64" t="n">
        <v>134</v>
      </c>
    </row>
    <row r="60" ht="15.75" customHeight="1" s="45">
      <c r="A60" s="61" t="n">
        <v>46208</v>
      </c>
      <c r="B60" s="82" t="inlineStr">
        <is>
          <t>Pós-Projeto</t>
        </is>
      </c>
      <c r="C60" s="84" t="inlineStr">
        <is>
          <t>Exames Laboratoriais</t>
        </is>
      </c>
      <c r="D60" s="66" t="n">
        <v>513</v>
      </c>
      <c r="E60" s="66" t="n">
        <v>311</v>
      </c>
      <c r="F60" s="66" t="n">
        <v>538</v>
      </c>
      <c r="G60" s="66" t="n">
        <v>444</v>
      </c>
      <c r="H60" s="66" t="n">
        <v>240</v>
      </c>
      <c r="I60" s="66" t="n">
        <v>610</v>
      </c>
      <c r="J60" s="66" t="n">
        <v>276</v>
      </c>
      <c r="K60" s="66" t="n">
        <v>536</v>
      </c>
      <c r="L60" s="66" t="n">
        <v>599</v>
      </c>
      <c r="M60" s="66" t="n">
        <v>532</v>
      </c>
      <c r="N60" s="66" t="n">
        <v>501</v>
      </c>
      <c r="O60" s="66" t="n">
        <v>268</v>
      </c>
      <c r="P60" s="66" t="n">
        <v>482</v>
      </c>
    </row>
    <row r="61" ht="15.75" customHeight="1" s="45">
      <c r="A61" s="61" t="n">
        <v>46208</v>
      </c>
      <c r="B61" s="82" t="inlineStr">
        <is>
          <t>Pós-Projeto</t>
        </is>
      </c>
      <c r="C61" s="83" t="inlineStr">
        <is>
          <t>Radiografias</t>
        </is>
      </c>
      <c r="D61" s="64" t="n">
        <v>13</v>
      </c>
      <c r="E61" s="64" t="n">
        <v>11</v>
      </c>
      <c r="F61" s="64" t="n">
        <v>19</v>
      </c>
      <c r="G61" s="64" t="n">
        <v>16</v>
      </c>
      <c r="H61" s="64" t="n">
        <v>18</v>
      </c>
      <c r="I61" s="64" t="n">
        <v>23</v>
      </c>
      <c r="J61" s="64" t="n">
        <v>12</v>
      </c>
      <c r="K61" s="64" t="n">
        <v>14</v>
      </c>
      <c r="L61" s="64" t="n">
        <v>2</v>
      </c>
      <c r="M61" s="64" t="n">
        <v>34</v>
      </c>
      <c r="N61" s="64" t="n">
        <v>15</v>
      </c>
      <c r="O61" s="64" t="n">
        <v>31</v>
      </c>
      <c r="P61" s="64" t="n">
        <v>32</v>
      </c>
    </row>
    <row r="62" ht="15.75" customHeight="1" s="45">
      <c r="A62" s="61" t="n">
        <v>46208</v>
      </c>
      <c r="B62" s="82" t="inlineStr">
        <is>
          <t>Pós-Projeto</t>
        </is>
      </c>
      <c r="C62" s="84" t="inlineStr">
        <is>
          <t>Eletrocardiogramas</t>
        </is>
      </c>
      <c r="D62" s="67" t="n">
        <v>0</v>
      </c>
      <c r="E62" s="66" t="n">
        <v>10</v>
      </c>
      <c r="F62" s="67" t="n">
        <v>0</v>
      </c>
      <c r="G62" s="67" t="n">
        <v>0</v>
      </c>
      <c r="H62" s="67" t="n">
        <v>0</v>
      </c>
      <c r="I62" s="66" t="n">
        <v>3</v>
      </c>
      <c r="J62" s="67" t="n">
        <v>0</v>
      </c>
      <c r="K62" s="67" t="n">
        <v>0</v>
      </c>
      <c r="L62" s="67" t="n">
        <v>0</v>
      </c>
      <c r="M62" s="67" t="n">
        <v>0</v>
      </c>
      <c r="N62" s="66" t="n">
        <v>13</v>
      </c>
      <c r="O62" s="67" t="n">
        <v>0</v>
      </c>
      <c r="P62" s="66" t="n">
        <v>2</v>
      </c>
    </row>
    <row r="63" ht="15.75" customHeight="1" s="45">
      <c r="A63" s="61" t="n">
        <v>46208</v>
      </c>
      <c r="B63" s="82" t="inlineStr">
        <is>
          <t>Pós-Projeto</t>
        </is>
      </c>
      <c r="C63" s="85" t="inlineStr">
        <is>
          <t>GAEs Abertas</t>
        </is>
      </c>
      <c r="D63" s="69" t="n">
        <v>148</v>
      </c>
      <c r="E63" s="69" t="n">
        <v>124</v>
      </c>
      <c r="F63" s="69" t="n">
        <v>132</v>
      </c>
      <c r="G63" s="69" t="n">
        <v>100</v>
      </c>
      <c r="H63" s="69" t="n">
        <v>101</v>
      </c>
      <c r="I63" s="69" t="n">
        <v>169</v>
      </c>
      <c r="J63" s="69" t="n">
        <v>90</v>
      </c>
      <c r="K63" s="69" t="n">
        <v>185</v>
      </c>
      <c r="L63" s="69" t="n">
        <v>104</v>
      </c>
      <c r="M63" s="69" t="n">
        <v>188</v>
      </c>
      <c r="N63" s="69" t="n">
        <v>156</v>
      </c>
      <c r="O63" s="69" t="n">
        <v>171</v>
      </c>
      <c r="P63" s="69" t="n">
        <v>175</v>
      </c>
    </row>
    <row r="64" ht="15.75" customHeight="1" s="45">
      <c r="A64" s="61" t="n">
        <v>46208</v>
      </c>
      <c r="B64" s="82" t="inlineStr">
        <is>
          <t>Pós-Projeto</t>
        </is>
      </c>
      <c r="C64" s="85" t="inlineStr">
        <is>
          <t>GAEs Classificadas</t>
        </is>
      </c>
      <c r="D64" s="69" t="n">
        <v>138</v>
      </c>
      <c r="E64" s="69" t="n">
        <v>123</v>
      </c>
      <c r="F64" s="69" t="n">
        <v>125</v>
      </c>
      <c r="G64" s="69" t="n">
        <v>96</v>
      </c>
      <c r="H64" s="69" t="n">
        <v>99</v>
      </c>
      <c r="I64" s="69" t="n">
        <v>156</v>
      </c>
      <c r="J64" s="69" t="n">
        <v>89</v>
      </c>
      <c r="K64" s="69" t="n">
        <v>169</v>
      </c>
      <c r="L64" s="69" t="n">
        <v>98</v>
      </c>
      <c r="M64" s="69" t="n">
        <v>189</v>
      </c>
      <c r="N64" s="69" t="n">
        <v>146</v>
      </c>
      <c r="O64" s="69" t="n">
        <v>159</v>
      </c>
      <c r="P64" s="69" t="n">
        <v>171</v>
      </c>
    </row>
    <row r="65" ht="15.75" customHeight="1" s="45">
      <c r="A65" s="61" t="n">
        <v>46208</v>
      </c>
      <c r="B65" s="82" t="inlineStr">
        <is>
          <t>Pós-Projeto</t>
        </is>
      </c>
      <c r="C65" s="86" t="inlineStr">
        <is>
          <t>Percentual de GAEs abertas classificadas</t>
        </is>
      </c>
      <c r="D65" s="71">
        <f>IFERROR(D64/D63,"-")</f>
        <v/>
      </c>
      <c r="E65" s="71">
        <f>IFERROR(E64/E63,"-")</f>
        <v/>
      </c>
      <c r="F65" s="71">
        <f>IFERROR(F64/F63,"-")</f>
        <v/>
      </c>
      <c r="G65" s="71">
        <f>IFERROR(G64/G63,"-")</f>
        <v/>
      </c>
      <c r="H65" s="71">
        <f>IFERROR(H64/H63,"-")</f>
        <v/>
      </c>
      <c r="I65" s="71">
        <f>IFERROR(I64/I63,"-")</f>
        <v/>
      </c>
      <c r="J65" s="71">
        <f>IFERROR(J64/J63,"-")</f>
        <v/>
      </c>
      <c r="K65" s="71">
        <f>IFERROR(K64/K63,"-")</f>
        <v/>
      </c>
      <c r="L65" s="71">
        <f>IFERROR(L64/L63,"-")</f>
        <v/>
      </c>
      <c r="M65" s="71">
        <f>IFERROR(M64/M63,"-")</f>
        <v/>
      </c>
      <c r="N65" s="71">
        <f>IFERROR(N64/N63,"-")</f>
        <v/>
      </c>
      <c r="O65" s="71">
        <f>IFERROR(O64/O63,"-")</f>
        <v/>
      </c>
      <c r="P65" s="71">
        <f>IFERROR(P64/P63,"-")</f>
        <v/>
      </c>
    </row>
    <row r="66" ht="15.75" customHeight="1" s="45">
      <c r="A66" s="61" t="n">
        <v>46208</v>
      </c>
      <c r="B66" s="82" t="inlineStr">
        <is>
          <t>Pós-Projeto</t>
        </is>
      </c>
      <c r="C66" s="87" t="inlineStr">
        <is>
          <t>Tempo Médio — 🟡 Amarelo (hh:mm)</t>
        </is>
      </c>
      <c r="D66" s="73" t="n">
        <v>0.06909722222222223</v>
      </c>
      <c r="E66" s="73" t="n">
        <v>0.05747685185185185</v>
      </c>
      <c r="F66" s="73" t="n">
        <v>0.05587962962962963</v>
      </c>
      <c r="G66" s="73" t="n">
        <v>0.02846064814814815</v>
      </c>
      <c r="H66" s="73" t="n">
        <v>0.02886574074074074</v>
      </c>
      <c r="I66" s="73" t="n">
        <v>0.02134259259259259</v>
      </c>
      <c r="J66" s="73" t="n">
        <v>0.06355324074074074</v>
      </c>
      <c r="K66" s="73" t="n">
        <v>0.04591435185185185</v>
      </c>
      <c r="L66" s="73" t="n">
        <v>0.1210416666666667</v>
      </c>
      <c r="M66" s="73" t="n">
        <v>0.02652777777777778</v>
      </c>
      <c r="N66" s="73" t="n">
        <v>0.06113425925925926</v>
      </c>
      <c r="O66" s="73" t="n">
        <v>0.01859953703703704</v>
      </c>
      <c r="P66" s="73" t="n">
        <v>0.05887731481481481</v>
      </c>
    </row>
    <row r="67" ht="15.75" customHeight="1" s="45">
      <c r="A67" s="61" t="n">
        <v>46208</v>
      </c>
      <c r="B67" s="82" t="inlineStr">
        <is>
          <t>Pós-Projeto</t>
        </is>
      </c>
      <c r="C67" s="88" t="inlineStr">
        <is>
          <t>Tempo Médio — 🟠 Laranja (hh:mm)</t>
        </is>
      </c>
      <c r="D67" s="75" t="n">
        <v>0.01091435185185185</v>
      </c>
      <c r="E67" s="75" t="n">
        <v>0.006006944444444444</v>
      </c>
      <c r="F67" s="75" t="n">
        <v>0.005844907407407407</v>
      </c>
      <c r="G67" s="75" t="n">
        <v>0.004502314814814815</v>
      </c>
      <c r="H67" s="75" t="n">
        <v>0.004108796296296296</v>
      </c>
      <c r="I67" s="75" t="n">
        <v>0.003252314814814815</v>
      </c>
      <c r="J67" s="75" t="n">
        <v>0.01459490740740741</v>
      </c>
      <c r="K67" s="75" t="n">
        <v>0.02011574074074074</v>
      </c>
      <c r="L67" s="75" t="n">
        <v>0.01461805555555556</v>
      </c>
      <c r="M67" s="75" t="n">
        <v>0.00730324074074074</v>
      </c>
      <c r="N67" s="75" t="n">
        <v>0.009525462962962963</v>
      </c>
      <c r="O67" s="75" t="n">
        <v>0.007511574074074074</v>
      </c>
      <c r="P67" s="75" t="n">
        <v>0.009756944444444445</v>
      </c>
    </row>
    <row r="68" ht="15.75" customHeight="1" s="45">
      <c r="A68" s="76" t="n">
        <v>46208</v>
      </c>
      <c r="B68" s="82" t="inlineStr">
        <is>
          <t>Pós-Projeto</t>
        </is>
      </c>
      <c r="C68" s="91" t="inlineStr">
        <is>
          <t>Tempo Médio — 🟢 Verde   (hh:mm)</t>
        </is>
      </c>
      <c r="D68" s="79" t="n">
        <v>0.06936342592592593</v>
      </c>
      <c r="E68" s="79" t="n">
        <v>0.08505787037037037</v>
      </c>
      <c r="F68" s="79" t="n">
        <v>0.108125</v>
      </c>
      <c r="G68" s="79" t="n">
        <v>0.1777893518518519</v>
      </c>
      <c r="H68" s="79" t="n">
        <v>0.0692013888888889</v>
      </c>
      <c r="I68" s="79" t="n">
        <v>0.09212962962962963</v>
      </c>
      <c r="J68" s="79" t="n">
        <v>0.1671990740740741</v>
      </c>
      <c r="K68" s="79" t="n">
        <v>0.08443287037037037</v>
      </c>
      <c r="L68" s="79" t="n">
        <v>0.1714351851851852</v>
      </c>
      <c r="M68" s="79" t="n">
        <v>0.06833333333333333</v>
      </c>
      <c r="N68" s="79" t="n">
        <v>0.09210648148148148</v>
      </c>
      <c r="O68" s="79" t="n">
        <v>0.04039351851851852</v>
      </c>
      <c r="P68" s="79" t="n">
        <v>0.09988425925925926</v>
      </c>
    </row>
    <row r="69" ht="15.75" customHeight="1" s="45">
      <c r="A69" s="57" t="n">
        <v>46209</v>
      </c>
      <c r="B69" s="81" t="inlineStr">
        <is>
          <t>Pós-Projeto</t>
        </is>
      </c>
      <c r="C69" s="59" t="inlineStr">
        <is>
          <t>Acolhim. + Atend. Urgência + Atend. UPA</t>
        </is>
      </c>
      <c r="D69" s="60">
        <f>SUM(D70:D72)</f>
        <v/>
      </c>
      <c r="E69" s="60">
        <f>SUM(E70:E72)</f>
        <v/>
      </c>
      <c r="F69" s="60">
        <f>SUM(F70:F72)</f>
        <v/>
      </c>
      <c r="G69" s="60">
        <f>SUM(G70:G72)</f>
        <v/>
      </c>
      <c r="H69" s="60">
        <f>SUM(H70:H72)</f>
        <v/>
      </c>
      <c r="I69" s="60">
        <f>SUM(I70:I72)</f>
        <v/>
      </c>
      <c r="J69" s="60">
        <f>SUM(J70:J72)</f>
        <v/>
      </c>
      <c r="K69" s="60">
        <f>SUM(K70:K72)</f>
        <v/>
      </c>
      <c r="L69" s="60">
        <f>SUM(L70:L72)</f>
        <v/>
      </c>
      <c r="M69" s="60">
        <f>SUM(M70:M72)</f>
        <v/>
      </c>
      <c r="N69" s="60">
        <f>SUM(N70:N72)</f>
        <v/>
      </c>
      <c r="O69" s="60">
        <f>SUM(O70:O72)</f>
        <v/>
      </c>
      <c r="P69" s="60">
        <f>SUM(P70:P72)</f>
        <v/>
      </c>
    </row>
    <row r="70" ht="15.75" customHeight="1" s="45">
      <c r="A70" s="61" t="n">
        <v>46209</v>
      </c>
      <c r="B70" s="82" t="inlineStr">
        <is>
          <t>Pós-Projeto</t>
        </is>
      </c>
      <c r="C70" s="83" t="inlineStr">
        <is>
          <t>Acolhimento c/ Classif. de Risco</t>
        </is>
      </c>
      <c r="D70" s="64" t="n">
        <v>237</v>
      </c>
      <c r="E70" s="64" t="n">
        <v>162</v>
      </c>
      <c r="F70" s="64" t="n">
        <v>194</v>
      </c>
      <c r="G70" s="64" t="n">
        <v>162</v>
      </c>
      <c r="H70" s="64" t="n">
        <v>176</v>
      </c>
      <c r="I70" s="64" t="n">
        <v>220</v>
      </c>
      <c r="J70" s="64" t="n">
        <v>154</v>
      </c>
      <c r="K70" s="64" t="n">
        <v>312</v>
      </c>
      <c r="L70" s="64" t="n">
        <v>155</v>
      </c>
      <c r="M70" s="64" t="n">
        <v>268</v>
      </c>
      <c r="N70" s="64" t="n">
        <v>223</v>
      </c>
      <c r="O70" s="64" t="n">
        <v>307</v>
      </c>
      <c r="P70" s="64" t="n">
        <v>254</v>
      </c>
    </row>
    <row r="71" ht="15.75" customHeight="1" s="45">
      <c r="A71" s="61" t="n">
        <v>46209</v>
      </c>
      <c r="B71" s="82" t="inlineStr">
        <is>
          <t>Pós-Projeto</t>
        </is>
      </c>
      <c r="C71" s="84" t="inlineStr">
        <is>
          <t>Atend. Urgência Obs. ≤ 24h</t>
        </is>
      </c>
      <c r="D71" s="66" t="n">
        <v>22</v>
      </c>
      <c r="E71" s="66" t="n">
        <v>30</v>
      </c>
      <c r="F71" s="66" t="n">
        <v>39</v>
      </c>
      <c r="G71" s="66" t="n">
        <v>10</v>
      </c>
      <c r="H71" s="66" t="n">
        <v>4</v>
      </c>
      <c r="I71" s="66" t="n">
        <v>26</v>
      </c>
      <c r="J71" s="66" t="n">
        <v>15</v>
      </c>
      <c r="K71" s="66" t="n">
        <v>44</v>
      </c>
      <c r="L71" s="66" t="n">
        <v>31</v>
      </c>
      <c r="M71" s="66" t="n">
        <v>16</v>
      </c>
      <c r="N71" s="66" t="n">
        <v>74</v>
      </c>
      <c r="O71" s="66" t="n">
        <v>16</v>
      </c>
      <c r="P71" s="66" t="n">
        <v>33</v>
      </c>
    </row>
    <row r="72" ht="15.75" customHeight="1" s="45">
      <c r="A72" s="61" t="n">
        <v>46209</v>
      </c>
      <c r="B72" s="82" t="inlineStr">
        <is>
          <t>Pós-Projeto</t>
        </is>
      </c>
      <c r="C72" s="83" t="inlineStr">
        <is>
          <t>Atend. Médico em UPA</t>
        </is>
      </c>
      <c r="D72" s="64" t="n">
        <v>162</v>
      </c>
      <c r="E72" s="64" t="n">
        <v>83</v>
      </c>
      <c r="F72" s="64" t="n">
        <v>149</v>
      </c>
      <c r="G72" s="64" t="n">
        <v>111</v>
      </c>
      <c r="H72" s="64" t="n">
        <v>149</v>
      </c>
      <c r="I72" s="64" t="n">
        <v>144</v>
      </c>
      <c r="J72" s="64" t="n">
        <v>104</v>
      </c>
      <c r="K72" s="64" t="n">
        <v>164</v>
      </c>
      <c r="L72" s="64" t="n">
        <v>101</v>
      </c>
      <c r="M72" s="64" t="n">
        <v>174</v>
      </c>
      <c r="N72" s="64" t="n">
        <v>117</v>
      </c>
      <c r="O72" s="64" t="n">
        <v>267</v>
      </c>
      <c r="P72" s="64" t="n">
        <v>128</v>
      </c>
    </row>
    <row r="73" ht="15.75" customHeight="1" s="45">
      <c r="A73" s="61" t="n">
        <v>46209</v>
      </c>
      <c r="B73" s="82" t="inlineStr">
        <is>
          <t>Pós-Projeto</t>
        </is>
      </c>
      <c r="C73" s="84" t="inlineStr">
        <is>
          <t>Exames Laboratoriais</t>
        </is>
      </c>
      <c r="D73" s="66" t="n">
        <v>597</v>
      </c>
      <c r="E73" s="66" t="n">
        <v>482</v>
      </c>
      <c r="F73" s="66" t="n">
        <v>858</v>
      </c>
      <c r="G73" s="66" t="n">
        <v>332</v>
      </c>
      <c r="H73" s="66" t="n">
        <v>413</v>
      </c>
      <c r="I73" s="66" t="n">
        <v>502</v>
      </c>
      <c r="J73" s="66" t="n">
        <v>419</v>
      </c>
      <c r="K73" s="66" t="n">
        <v>739</v>
      </c>
      <c r="L73" s="66" t="n">
        <v>537</v>
      </c>
      <c r="M73" s="66" t="n">
        <v>696</v>
      </c>
      <c r="N73" s="66" t="n">
        <v>523</v>
      </c>
      <c r="O73" s="66" t="n">
        <v>448</v>
      </c>
      <c r="P73" s="66" t="n">
        <v>164</v>
      </c>
    </row>
    <row r="74" ht="15.75" customHeight="1" s="45">
      <c r="A74" s="61" t="n">
        <v>46209</v>
      </c>
      <c r="B74" s="82" t="inlineStr">
        <is>
          <t>Pós-Projeto</t>
        </is>
      </c>
      <c r="C74" s="83" t="inlineStr">
        <is>
          <t>Radiografias</t>
        </is>
      </c>
      <c r="D74" s="64" t="n">
        <v>24</v>
      </c>
      <c r="E74" s="64" t="n">
        <v>23</v>
      </c>
      <c r="F74" s="64" t="n">
        <v>38</v>
      </c>
      <c r="G74" s="64" t="n">
        <v>26</v>
      </c>
      <c r="H74" s="64" t="n">
        <v>28</v>
      </c>
      <c r="I74" s="64" t="n">
        <v>20</v>
      </c>
      <c r="J74" s="64" t="n">
        <v>34</v>
      </c>
      <c r="K74" s="64" t="n">
        <v>40</v>
      </c>
      <c r="L74" s="64" t="n">
        <v>13</v>
      </c>
      <c r="M74" s="64" t="n">
        <v>53</v>
      </c>
      <c r="N74" s="64" t="n">
        <v>26</v>
      </c>
      <c r="O74" s="64" t="n">
        <v>50</v>
      </c>
      <c r="P74" s="64" t="n">
        <v>48</v>
      </c>
    </row>
    <row r="75" ht="15.75" customHeight="1" s="45">
      <c r="A75" s="61" t="n">
        <v>46209</v>
      </c>
      <c r="B75" s="82" t="inlineStr">
        <is>
          <t>Pós-Projeto</t>
        </is>
      </c>
      <c r="C75" s="84" t="inlineStr">
        <is>
          <t>Eletrocardiogramas</t>
        </is>
      </c>
      <c r="D75" s="67" t="n">
        <v>0</v>
      </c>
      <c r="E75" s="66" t="n">
        <v>4</v>
      </c>
      <c r="F75" s="67" t="n">
        <v>0</v>
      </c>
      <c r="G75" s="66" t="n">
        <v>12</v>
      </c>
      <c r="H75" s="67" t="n">
        <v>0</v>
      </c>
      <c r="I75" s="66" t="n">
        <v>2</v>
      </c>
      <c r="J75" s="67" t="n">
        <v>0</v>
      </c>
      <c r="K75" s="66" t="n">
        <v>10</v>
      </c>
      <c r="L75" s="66" t="n">
        <v>2</v>
      </c>
      <c r="M75" s="67" t="n">
        <v>0</v>
      </c>
      <c r="N75" s="66" t="n">
        <v>9</v>
      </c>
      <c r="O75" s="67" t="n">
        <v>0</v>
      </c>
      <c r="P75" s="66" t="n">
        <v>11</v>
      </c>
    </row>
    <row r="76" ht="15.75" customHeight="1" s="45">
      <c r="A76" s="61" t="n">
        <v>46209</v>
      </c>
      <c r="B76" s="82" t="inlineStr">
        <is>
          <t>Pós-Projeto</t>
        </is>
      </c>
      <c r="C76" s="85" t="inlineStr">
        <is>
          <t>GAEs Abertas</t>
        </is>
      </c>
      <c r="D76" s="69" t="n">
        <v>252</v>
      </c>
      <c r="E76" s="69" t="n">
        <v>171</v>
      </c>
      <c r="F76" s="69" t="n">
        <v>204</v>
      </c>
      <c r="G76" s="69" t="n">
        <v>167</v>
      </c>
      <c r="H76" s="69" t="n">
        <v>181</v>
      </c>
      <c r="I76" s="69" t="n">
        <v>242</v>
      </c>
      <c r="J76" s="69" t="n">
        <v>164</v>
      </c>
      <c r="K76" s="69" t="n">
        <v>366</v>
      </c>
      <c r="L76" s="69" t="n">
        <v>161</v>
      </c>
      <c r="M76" s="69" t="n">
        <v>274</v>
      </c>
      <c r="N76" s="69" t="n">
        <v>230</v>
      </c>
      <c r="O76" s="69" t="n">
        <v>314</v>
      </c>
      <c r="P76" s="69" t="n">
        <v>271</v>
      </c>
    </row>
    <row r="77" ht="15.75" customHeight="1" s="45">
      <c r="A77" s="61" t="n">
        <v>46209</v>
      </c>
      <c r="B77" s="82" t="inlineStr">
        <is>
          <t>Pós-Projeto</t>
        </is>
      </c>
      <c r="C77" s="85" t="inlineStr">
        <is>
          <t>GAEs Classificadas</t>
        </is>
      </c>
      <c r="D77" s="69" t="n">
        <v>238</v>
      </c>
      <c r="E77" s="69" t="n">
        <v>160</v>
      </c>
      <c r="F77" s="69" t="n">
        <v>194</v>
      </c>
      <c r="G77" s="69" t="n">
        <v>162</v>
      </c>
      <c r="H77" s="69" t="n">
        <v>175</v>
      </c>
      <c r="I77" s="69" t="n">
        <v>221</v>
      </c>
      <c r="J77" s="69" t="n">
        <v>153</v>
      </c>
      <c r="K77" s="69" t="n">
        <v>313</v>
      </c>
      <c r="L77" s="69" t="n">
        <v>155</v>
      </c>
      <c r="M77" s="69" t="n">
        <v>259</v>
      </c>
      <c r="N77" s="69" t="n">
        <v>222</v>
      </c>
      <c r="O77" s="69" t="n">
        <v>302</v>
      </c>
      <c r="P77" s="69" t="n">
        <v>254</v>
      </c>
    </row>
    <row r="78" ht="15.75" customHeight="1" s="45">
      <c r="A78" s="61" t="n">
        <v>46209</v>
      </c>
      <c r="B78" s="82" t="inlineStr">
        <is>
          <t>Pós-Projeto</t>
        </is>
      </c>
      <c r="C78" s="86" t="inlineStr">
        <is>
          <t>Percentual de GAEs abertas classificadas</t>
        </is>
      </c>
      <c r="D78" s="71">
        <f>IFERROR(D77/D76,"-")</f>
        <v/>
      </c>
      <c r="E78" s="71">
        <f>IFERROR(E77/E76,"-")</f>
        <v/>
      </c>
      <c r="F78" s="71">
        <f>IFERROR(F77/F76,"-")</f>
        <v/>
      </c>
      <c r="G78" s="71">
        <f>IFERROR(G77/G76,"-")</f>
        <v/>
      </c>
      <c r="H78" s="71">
        <f>IFERROR(H77/H76,"-")</f>
        <v/>
      </c>
      <c r="I78" s="71">
        <f>IFERROR(I77/I76,"-")</f>
        <v/>
      </c>
      <c r="J78" s="71">
        <f>IFERROR(J77/J76,"-")</f>
        <v/>
      </c>
      <c r="K78" s="71">
        <f>IFERROR(K77/K76,"-")</f>
        <v/>
      </c>
      <c r="L78" s="71">
        <f>IFERROR(L77/L76,"-")</f>
        <v/>
      </c>
      <c r="M78" s="71">
        <f>IFERROR(M77/M76,"-")</f>
        <v/>
      </c>
      <c r="N78" s="71">
        <f>IFERROR(N77/N76,"-")</f>
        <v/>
      </c>
      <c r="O78" s="71">
        <f>IFERROR(O77/O76,"-")</f>
        <v/>
      </c>
      <c r="P78" s="71">
        <f>IFERROR(P77/P76,"-")</f>
        <v/>
      </c>
    </row>
    <row r="79" ht="15.75" customHeight="1" s="45">
      <c r="A79" s="61" t="n">
        <v>46209</v>
      </c>
      <c r="B79" s="82" t="inlineStr">
        <is>
          <t>Pós-Projeto</t>
        </is>
      </c>
      <c r="C79" s="87" t="inlineStr">
        <is>
          <t>Tempo Médio — 🟡 Amarelo (hh:mm)</t>
        </is>
      </c>
      <c r="D79" s="73" t="n">
        <v>0.0665162037037037</v>
      </c>
      <c r="E79" s="73" t="n">
        <v>0.09233796296296297</v>
      </c>
      <c r="F79" s="73" t="n">
        <v>0.06016203703703703</v>
      </c>
      <c r="G79" s="73" t="n">
        <v>0.02751157407407407</v>
      </c>
      <c r="H79" s="73" t="n">
        <v>0.04545138888888889</v>
      </c>
      <c r="I79" s="73" t="n">
        <v>0.08760416666666666</v>
      </c>
      <c r="J79" s="73" t="n">
        <v>0.03503472222222222</v>
      </c>
      <c r="K79" s="73" t="n">
        <v>0.1034722222222222</v>
      </c>
      <c r="L79" s="73" t="n">
        <v>0.1679398148148148</v>
      </c>
      <c r="M79" s="73" t="n">
        <v>0.04673611111111111</v>
      </c>
      <c r="N79" s="73" t="n">
        <v>0.08120370370370371</v>
      </c>
      <c r="O79" s="73" t="n">
        <v>0.02790509259259259</v>
      </c>
      <c r="P79" s="73" t="n">
        <v>0.1369328703703704</v>
      </c>
    </row>
    <row r="80" ht="15.75" customHeight="1" s="45">
      <c r="A80" s="61" t="n">
        <v>46209</v>
      </c>
      <c r="B80" s="82" t="inlineStr">
        <is>
          <t>Pós-Projeto</t>
        </is>
      </c>
      <c r="C80" s="88" t="inlineStr">
        <is>
          <t>Tempo Médio — 🟠 Laranja (hh:mm)</t>
        </is>
      </c>
      <c r="D80" s="75" t="n">
        <v>0.01469907407407407</v>
      </c>
      <c r="E80" s="75" t="n">
        <v>0.02146990740740741</v>
      </c>
      <c r="F80" s="75" t="n">
        <v>0.005416666666666667</v>
      </c>
      <c r="G80" s="75" t="n">
        <v>0.00738425925925926</v>
      </c>
      <c r="H80" s="75" t="n">
        <v>0.01024305555555556</v>
      </c>
      <c r="I80" s="75" t="n">
        <v>0.003831018518518518</v>
      </c>
      <c r="J80" s="75" t="n">
        <v>0.006388888888888889</v>
      </c>
      <c r="K80" s="75" t="n">
        <v>0.01046296296296296</v>
      </c>
      <c r="L80" s="75" t="n">
        <v>0.01628472222222222</v>
      </c>
      <c r="M80" s="75" t="n">
        <v>0.01111111111111111</v>
      </c>
      <c r="N80" s="75" t="n">
        <v>0.01119212962962963</v>
      </c>
      <c r="O80" s="75" t="n">
        <v>0.009166666666666667</v>
      </c>
      <c r="P80" s="75" t="n">
        <v>0.01246527777777778</v>
      </c>
    </row>
    <row r="81" ht="15.75" customHeight="1" s="45">
      <c r="A81" s="76" t="n">
        <v>46209</v>
      </c>
      <c r="B81" s="82" t="inlineStr">
        <is>
          <t>Pós-Projeto</t>
        </is>
      </c>
      <c r="C81" s="91" t="inlineStr">
        <is>
          <t>Tempo Médio — 🟢 Verde   (hh:mm)</t>
        </is>
      </c>
      <c r="D81" s="79" t="n">
        <v>0.08574074074074074</v>
      </c>
      <c r="E81" s="79" t="n">
        <v>0.099375</v>
      </c>
      <c r="F81" s="79" t="n">
        <v>0.04976851851851852</v>
      </c>
      <c r="G81" s="79" t="n">
        <v>0.06703703703703703</v>
      </c>
      <c r="H81" s="79" t="n">
        <v>0.06508101851851852</v>
      </c>
      <c r="I81" s="79" t="n">
        <v>0.1670833333333333</v>
      </c>
      <c r="J81" s="79" t="n">
        <v>0.08835648148148148</v>
      </c>
      <c r="K81" s="79" t="n">
        <v>0.08523148148148148</v>
      </c>
      <c r="L81" s="79" t="n">
        <v>0.1710185185185185</v>
      </c>
      <c r="M81" s="79" t="n">
        <v>0.1234490740740741</v>
      </c>
      <c r="N81" s="79" t="n">
        <v>0.1074652777777778</v>
      </c>
      <c r="O81" s="79" t="n">
        <v>0.09710648148148149</v>
      </c>
      <c r="P81" s="79" t="n">
        <v>0.1157523148148148</v>
      </c>
    </row>
    <row r="82" ht="15.75" customHeight="1" s="45">
      <c r="A82" s="57" t="n">
        <v>46210</v>
      </c>
      <c r="B82" s="81" t="inlineStr">
        <is>
          <t>Pós-Projeto</t>
        </is>
      </c>
      <c r="C82" s="59" t="inlineStr">
        <is>
          <t>Acolhim. + Atend. Urgência + Atend. UPA</t>
        </is>
      </c>
      <c r="D82" s="60">
        <f>SUM(D83:D85)</f>
        <v/>
      </c>
      <c r="E82" s="60">
        <f>SUM(E83:E85)</f>
        <v/>
      </c>
      <c r="F82" s="60">
        <f>SUM(F83:F85)</f>
        <v/>
      </c>
      <c r="G82" s="60">
        <f>SUM(G83:G85)</f>
        <v/>
      </c>
      <c r="H82" s="60">
        <f>SUM(H83:H85)</f>
        <v/>
      </c>
      <c r="I82" s="60">
        <f>SUM(I83:I85)</f>
        <v/>
      </c>
      <c r="J82" s="60">
        <f>SUM(J83:J85)</f>
        <v/>
      </c>
      <c r="K82" s="60">
        <f>SUM(K83:K85)</f>
        <v/>
      </c>
      <c r="L82" s="60">
        <f>SUM(L83:L85)</f>
        <v/>
      </c>
      <c r="M82" s="60">
        <f>SUM(M83:M85)</f>
        <v/>
      </c>
      <c r="N82" s="60">
        <f>SUM(N83:N85)</f>
        <v/>
      </c>
      <c r="O82" s="60">
        <f>SUM(O83:O85)</f>
        <v/>
      </c>
      <c r="P82" s="60">
        <f>SUM(P83:P85)</f>
        <v/>
      </c>
    </row>
    <row r="83" ht="15.75" customHeight="1" s="45">
      <c r="A83" s="61" t="n">
        <v>46210</v>
      </c>
      <c r="B83" s="82" t="inlineStr">
        <is>
          <t>Pós-Projeto</t>
        </is>
      </c>
      <c r="C83" s="83" t="inlineStr">
        <is>
          <t>Acolhimento c/ Classif. de Risco</t>
        </is>
      </c>
      <c r="D83" s="64" t="n">
        <v>205</v>
      </c>
      <c r="E83" s="64" t="n">
        <v>164</v>
      </c>
      <c r="F83" s="64" t="n">
        <v>152</v>
      </c>
      <c r="G83" s="64" t="n">
        <v>145</v>
      </c>
      <c r="H83" s="64" t="n">
        <v>148</v>
      </c>
      <c r="I83" s="64" t="n">
        <v>222</v>
      </c>
      <c r="J83" s="64" t="n">
        <v>116</v>
      </c>
      <c r="K83" s="64" t="n">
        <v>286</v>
      </c>
      <c r="L83" s="64" t="n">
        <v>125</v>
      </c>
      <c r="M83" s="64" t="n">
        <v>221</v>
      </c>
      <c r="N83" s="64" t="n">
        <v>183</v>
      </c>
      <c r="O83" s="64" t="n">
        <v>278</v>
      </c>
      <c r="P83" s="64" t="n">
        <v>248</v>
      </c>
    </row>
    <row r="84" ht="15.75" customHeight="1" s="45">
      <c r="A84" s="61" t="n">
        <v>46210</v>
      </c>
      <c r="B84" s="82" t="inlineStr">
        <is>
          <t>Pós-Projeto</t>
        </is>
      </c>
      <c r="C84" s="84" t="inlineStr">
        <is>
          <t>Atend. Urgência Obs. ≤ 24h</t>
        </is>
      </c>
      <c r="D84" s="66" t="n">
        <v>31</v>
      </c>
      <c r="E84" s="66" t="n">
        <v>48</v>
      </c>
      <c r="F84" s="66" t="n">
        <v>30</v>
      </c>
      <c r="G84" s="66" t="n">
        <v>22</v>
      </c>
      <c r="H84" s="66" t="n">
        <v>6</v>
      </c>
      <c r="I84" s="66" t="n">
        <v>30</v>
      </c>
      <c r="J84" s="67" t="n">
        <v>0</v>
      </c>
      <c r="K84" s="66" t="n">
        <v>48</v>
      </c>
      <c r="L84" s="66" t="n">
        <v>30</v>
      </c>
      <c r="M84" s="66" t="n">
        <v>32</v>
      </c>
      <c r="N84" s="66" t="n">
        <v>57</v>
      </c>
      <c r="O84" s="66" t="n">
        <v>17</v>
      </c>
      <c r="P84" s="66" t="n">
        <v>33</v>
      </c>
    </row>
    <row r="85" ht="15.75" customHeight="1" s="45">
      <c r="A85" s="61" t="n">
        <v>46210</v>
      </c>
      <c r="B85" s="82" t="inlineStr">
        <is>
          <t>Pós-Projeto</t>
        </is>
      </c>
      <c r="C85" s="83" t="inlineStr">
        <is>
          <t>Atend. Médico em UPA</t>
        </is>
      </c>
      <c r="D85" s="64" t="n">
        <v>169</v>
      </c>
      <c r="E85" s="64" t="n">
        <v>98</v>
      </c>
      <c r="F85" s="64" t="n">
        <v>135</v>
      </c>
      <c r="G85" s="64" t="n">
        <v>86</v>
      </c>
      <c r="H85" s="64" t="n">
        <v>106</v>
      </c>
      <c r="I85" s="64" t="n">
        <v>211</v>
      </c>
      <c r="J85" s="64" t="n">
        <v>87</v>
      </c>
      <c r="K85" s="64" t="n">
        <v>235</v>
      </c>
      <c r="L85" s="64" t="n">
        <v>78</v>
      </c>
      <c r="M85" s="64" t="n">
        <v>169</v>
      </c>
      <c r="N85" s="64" t="n">
        <v>136</v>
      </c>
      <c r="O85" s="64" t="n">
        <v>202</v>
      </c>
      <c r="P85" s="64" t="n">
        <v>120</v>
      </c>
    </row>
    <row r="86" ht="15.75" customHeight="1" s="45">
      <c r="A86" s="61" t="n">
        <v>46210</v>
      </c>
      <c r="B86" s="82" t="inlineStr">
        <is>
          <t>Pós-Projeto</t>
        </is>
      </c>
      <c r="C86" s="84" t="inlineStr">
        <is>
          <t>Exames Laboratoriais</t>
        </is>
      </c>
      <c r="D86" s="66" t="n">
        <v>724</v>
      </c>
      <c r="E86" s="66" t="n">
        <v>639</v>
      </c>
      <c r="F86" s="66" t="n">
        <v>652</v>
      </c>
      <c r="G86" s="66" t="n">
        <v>439</v>
      </c>
      <c r="H86" s="66" t="n">
        <v>379</v>
      </c>
      <c r="I86" s="66" t="n">
        <v>590</v>
      </c>
      <c r="J86" s="66" t="n">
        <v>317</v>
      </c>
      <c r="K86" s="66" t="n">
        <v>1058</v>
      </c>
      <c r="L86" s="66" t="n">
        <v>558</v>
      </c>
      <c r="M86" s="66" t="n">
        <v>568</v>
      </c>
      <c r="N86" s="66" t="n">
        <v>671</v>
      </c>
      <c r="O86" s="66" t="n">
        <v>478</v>
      </c>
      <c r="P86" s="66" t="n">
        <v>478</v>
      </c>
    </row>
    <row r="87" ht="15.75" customHeight="1" s="45">
      <c r="A87" s="61" t="n">
        <v>46210</v>
      </c>
      <c r="B87" s="82" t="inlineStr">
        <is>
          <t>Pós-Projeto</t>
        </is>
      </c>
      <c r="C87" s="83" t="inlineStr">
        <is>
          <t>Radiografias</t>
        </is>
      </c>
      <c r="D87" s="64" t="n">
        <v>31</v>
      </c>
      <c r="E87" s="64" t="n">
        <v>23</v>
      </c>
      <c r="F87" s="64" t="n">
        <v>32</v>
      </c>
      <c r="G87" s="64" t="n">
        <v>28</v>
      </c>
      <c r="H87" s="64" t="n">
        <v>20</v>
      </c>
      <c r="I87" s="64" t="n">
        <v>29</v>
      </c>
      <c r="J87" s="64" t="n">
        <v>18</v>
      </c>
      <c r="K87" s="64" t="n">
        <v>49</v>
      </c>
      <c r="L87" s="64" t="n">
        <v>20</v>
      </c>
      <c r="M87" s="64" t="n">
        <v>24</v>
      </c>
      <c r="N87" s="64" t="n">
        <v>49</v>
      </c>
      <c r="O87" s="64" t="n">
        <v>43</v>
      </c>
      <c r="P87" s="64" t="n">
        <v>44</v>
      </c>
    </row>
    <row r="88" ht="15.75" customHeight="1" s="45">
      <c r="A88" s="61" t="n">
        <v>46210</v>
      </c>
      <c r="B88" s="82" t="inlineStr">
        <is>
          <t>Pós-Projeto</t>
        </is>
      </c>
      <c r="C88" s="84" t="inlineStr">
        <is>
          <t>Eletrocardiogramas</t>
        </is>
      </c>
      <c r="D88" s="67" t="n">
        <v>0</v>
      </c>
      <c r="E88" s="67" t="n">
        <v>0</v>
      </c>
      <c r="F88" s="67" t="n">
        <v>0</v>
      </c>
      <c r="G88" s="66" t="n">
        <v>12</v>
      </c>
      <c r="H88" s="67" t="n">
        <v>0</v>
      </c>
      <c r="I88" s="66" t="n">
        <v>2</v>
      </c>
      <c r="J88" s="67" t="n">
        <v>0</v>
      </c>
      <c r="K88" s="67" t="n">
        <v>0</v>
      </c>
      <c r="L88" s="67" t="n">
        <v>0</v>
      </c>
      <c r="M88" s="67" t="n">
        <v>0</v>
      </c>
      <c r="N88" s="66" t="n">
        <v>15</v>
      </c>
      <c r="O88" s="67" t="n">
        <v>0</v>
      </c>
      <c r="P88" s="67" t="n">
        <v>0</v>
      </c>
    </row>
    <row r="89" ht="15.75" customHeight="1" s="45">
      <c r="A89" s="61" t="n">
        <v>46210</v>
      </c>
      <c r="B89" s="82" t="inlineStr">
        <is>
          <t>Pós-Projeto</t>
        </is>
      </c>
      <c r="C89" s="85" t="inlineStr">
        <is>
          <t>GAEs Abertas</t>
        </is>
      </c>
      <c r="D89" s="69" t="n">
        <v>230</v>
      </c>
      <c r="E89" s="69" t="n">
        <v>190</v>
      </c>
      <c r="F89" s="69" t="n">
        <v>152</v>
      </c>
      <c r="G89" s="69" t="n">
        <v>146</v>
      </c>
      <c r="H89" s="69" t="n">
        <v>157</v>
      </c>
      <c r="I89" s="69" t="n">
        <v>237</v>
      </c>
      <c r="J89" s="69" t="n">
        <v>117</v>
      </c>
      <c r="K89" s="69" t="n">
        <v>317</v>
      </c>
      <c r="L89" s="69" t="n">
        <v>133</v>
      </c>
      <c r="M89" s="69" t="n">
        <v>238</v>
      </c>
      <c r="N89" s="69" t="n">
        <v>188</v>
      </c>
      <c r="O89" s="69" t="n">
        <v>292</v>
      </c>
      <c r="P89" s="69" t="n">
        <v>269</v>
      </c>
    </row>
    <row r="90" ht="15.75" customHeight="1" s="45">
      <c r="A90" s="61" t="n">
        <v>46210</v>
      </c>
      <c r="B90" s="82" t="inlineStr">
        <is>
          <t>Pós-Projeto</t>
        </is>
      </c>
      <c r="C90" s="85" t="inlineStr">
        <is>
          <t>GAEs Classificadas</t>
        </is>
      </c>
      <c r="D90" s="69" t="n">
        <v>203</v>
      </c>
      <c r="E90" s="69" t="n">
        <v>164</v>
      </c>
      <c r="F90" s="69" t="n">
        <v>152</v>
      </c>
      <c r="G90" s="69" t="n">
        <v>145</v>
      </c>
      <c r="H90" s="69" t="n">
        <v>151</v>
      </c>
      <c r="I90" s="69" t="n">
        <v>222</v>
      </c>
      <c r="J90" s="69" t="n">
        <v>116</v>
      </c>
      <c r="K90" s="69" t="n">
        <v>285</v>
      </c>
      <c r="L90" s="69" t="n">
        <v>126</v>
      </c>
      <c r="M90" s="69" t="n">
        <v>221</v>
      </c>
      <c r="N90" s="69" t="n">
        <v>184</v>
      </c>
      <c r="O90" s="69" t="n">
        <v>279</v>
      </c>
      <c r="P90" s="69" t="n">
        <v>251</v>
      </c>
    </row>
    <row r="91" ht="15.75" customHeight="1" s="45">
      <c r="A91" s="61" t="n">
        <v>46210</v>
      </c>
      <c r="B91" s="82" t="inlineStr">
        <is>
          <t>Pós-Projeto</t>
        </is>
      </c>
      <c r="C91" s="86" t="inlineStr">
        <is>
          <t>Percentual de GAEs abertas classificadas</t>
        </is>
      </c>
      <c r="D91" s="71">
        <f>IFERROR(D90/D89,"-")</f>
        <v/>
      </c>
      <c r="E91" s="71">
        <f>IFERROR(E90/E89,"-")</f>
        <v/>
      </c>
      <c r="F91" s="71">
        <f>IFERROR(F90/F89,"-")</f>
        <v/>
      </c>
      <c r="G91" s="71">
        <f>IFERROR(G90/G89,"-")</f>
        <v/>
      </c>
      <c r="H91" s="71">
        <f>IFERROR(H90/H89,"-")</f>
        <v/>
      </c>
      <c r="I91" s="71">
        <f>IFERROR(I90/I89,"-")</f>
        <v/>
      </c>
      <c r="J91" s="71">
        <f>IFERROR(J90/J89,"-")</f>
        <v/>
      </c>
      <c r="K91" s="71">
        <f>IFERROR(K90/K89,"-")</f>
        <v/>
      </c>
      <c r="L91" s="71">
        <f>IFERROR(L90/L89,"-")</f>
        <v/>
      </c>
      <c r="M91" s="71">
        <f>IFERROR(M90/M89,"-")</f>
        <v/>
      </c>
      <c r="N91" s="71">
        <f>IFERROR(N90/N89,"-")</f>
        <v/>
      </c>
      <c r="O91" s="71">
        <f>IFERROR(O90/O89,"-")</f>
        <v/>
      </c>
      <c r="P91" s="71">
        <f>IFERROR(P90/P89,"-")</f>
        <v/>
      </c>
    </row>
    <row r="92" ht="15.75" customHeight="1" s="45">
      <c r="A92" s="61" t="n">
        <v>46210</v>
      </c>
      <c r="B92" s="82" t="inlineStr">
        <is>
          <t>Pós-Projeto</t>
        </is>
      </c>
      <c r="C92" s="87" t="inlineStr">
        <is>
          <t>Tempo Médio — 🟡 Amarelo (hh:mm)</t>
        </is>
      </c>
      <c r="D92" s="73" t="n">
        <v>0.06734953703703704</v>
      </c>
      <c r="E92" s="73" t="n">
        <v>0.05894675925925926</v>
      </c>
      <c r="F92" s="73" t="n">
        <v>0.02863425925925926</v>
      </c>
      <c r="G92" s="73" t="n">
        <v>0.03143518518518518</v>
      </c>
      <c r="H92" s="73" t="n">
        <v>0.03810185185185185</v>
      </c>
      <c r="I92" s="73" t="n">
        <v>0.1051157407407407</v>
      </c>
      <c r="J92" s="73" t="n">
        <v>0.06532407407407408</v>
      </c>
      <c r="K92" s="73" t="n">
        <v>0.0533912037037037</v>
      </c>
      <c r="L92" s="73" t="n">
        <v>0.09465277777777778</v>
      </c>
      <c r="M92" s="73" t="n">
        <v>0.05015046296296297</v>
      </c>
      <c r="N92" s="73" t="n">
        <v>0.1149421296296296</v>
      </c>
      <c r="O92" s="73" t="n">
        <v>0.03144675925925926</v>
      </c>
      <c r="P92" s="73" t="n">
        <v>0.07945601851851852</v>
      </c>
    </row>
    <row r="93" ht="15.75" customHeight="1" s="45">
      <c r="A93" s="61" t="n">
        <v>46210</v>
      </c>
      <c r="B93" s="82" t="inlineStr">
        <is>
          <t>Pós-Projeto</t>
        </is>
      </c>
      <c r="C93" s="88" t="inlineStr">
        <is>
          <t>Tempo Médio — 🟠 Laranja (hh:mm)</t>
        </is>
      </c>
      <c r="D93" s="75" t="n">
        <v>0.01175925925925926</v>
      </c>
      <c r="E93" s="75" t="n">
        <v>0.008368055555555556</v>
      </c>
      <c r="F93" s="75" t="n">
        <v>0.004629629629629629</v>
      </c>
      <c r="G93" s="75" t="n">
        <v>0.006631944444444445</v>
      </c>
      <c r="H93" s="75" t="n">
        <v>0.004675925925925926</v>
      </c>
      <c r="I93" s="75" t="n">
        <v>0.008969907407407407</v>
      </c>
      <c r="J93" s="75" t="n">
        <v>0.006967592592592593</v>
      </c>
      <c r="K93" s="75" t="n">
        <v>0.008310185185185184</v>
      </c>
      <c r="L93" s="75" t="n">
        <v>0.01039351851851852</v>
      </c>
      <c r="M93" s="75" t="n">
        <v>0.00587962962962963</v>
      </c>
      <c r="N93" s="75" t="n">
        <v>0.01758101851851852</v>
      </c>
      <c r="O93" s="75" t="n">
        <v>0.01560185185185185</v>
      </c>
      <c r="P93" s="75" t="n">
        <v>0.04175925925925926</v>
      </c>
    </row>
    <row r="94" ht="15.75" customHeight="1" s="45">
      <c r="A94" s="76" t="n">
        <v>46210</v>
      </c>
      <c r="B94" s="82" t="inlineStr">
        <is>
          <t>Pós-Projeto</t>
        </is>
      </c>
      <c r="C94" s="91" t="inlineStr">
        <is>
          <t>Tempo Médio — 🟢 Verde   (hh:mm)</t>
        </is>
      </c>
      <c r="D94" s="79" t="n">
        <v>0.1168518518518518</v>
      </c>
      <c r="E94" s="79" t="n">
        <v>0.1123611111111111</v>
      </c>
      <c r="F94" s="79" t="n">
        <v>0.08592592592592592</v>
      </c>
      <c r="G94" s="79" t="n">
        <v>0.1093055555555556</v>
      </c>
      <c r="H94" s="79" t="n">
        <v>0.1300810185185185</v>
      </c>
      <c r="I94" s="79" t="n">
        <v>0.1929166666666667</v>
      </c>
      <c r="J94" s="79" t="n">
        <v>0.0895949074074074</v>
      </c>
      <c r="K94" s="79" t="n">
        <v>0.1019444444444444</v>
      </c>
      <c r="L94" s="79" t="n">
        <v>0.1221180555555555</v>
      </c>
      <c r="M94" s="79" t="n">
        <v>0.1201273148148148</v>
      </c>
      <c r="N94" s="79" t="n">
        <v>0.1179282407407407</v>
      </c>
      <c r="O94" s="79" t="n">
        <v>0.08481481481481482</v>
      </c>
      <c r="P94" s="79" t="n">
        <v>0.06587962962962964</v>
      </c>
    </row>
    <row r="95" ht="15.75" customHeight="1" s="45">
      <c r="A95" s="57" t="n">
        <v>46211</v>
      </c>
      <c r="B95" s="81" t="inlineStr">
        <is>
          <t>Pós-Projeto</t>
        </is>
      </c>
      <c r="C95" s="59" t="inlineStr">
        <is>
          <t>Acolhim. + Atend. Urgência + Atend. UPA</t>
        </is>
      </c>
      <c r="D95" s="60">
        <f>SUM(D96:D98)</f>
        <v/>
      </c>
      <c r="E95" s="60">
        <f>SUM(E96:E98)</f>
        <v/>
      </c>
      <c r="F95" s="60">
        <f>SUM(F96:F98)</f>
        <v/>
      </c>
      <c r="G95" s="60">
        <f>SUM(G96:G98)</f>
        <v/>
      </c>
      <c r="H95" s="60">
        <f>SUM(H96:H98)</f>
        <v/>
      </c>
      <c r="I95" s="60">
        <f>SUM(I96:I98)</f>
        <v/>
      </c>
      <c r="J95" s="60">
        <f>SUM(J96:J98)</f>
        <v/>
      </c>
      <c r="K95" s="60">
        <f>SUM(K96:K98)</f>
        <v/>
      </c>
      <c r="L95" s="60">
        <f>SUM(L96:L98)</f>
        <v/>
      </c>
      <c r="M95" s="60">
        <f>SUM(M96:M98)</f>
        <v/>
      </c>
      <c r="N95" s="60">
        <f>SUM(N96:N98)</f>
        <v/>
      </c>
      <c r="O95" s="60">
        <f>SUM(O96:O98)</f>
        <v/>
      </c>
      <c r="P95" s="60">
        <f>SUM(P96:P98)</f>
        <v/>
      </c>
    </row>
    <row r="96" ht="15.75" customHeight="1" s="45">
      <c r="A96" s="61" t="n">
        <v>46211</v>
      </c>
      <c r="B96" s="82" t="inlineStr">
        <is>
          <t>Pós-Projeto</t>
        </is>
      </c>
      <c r="C96" s="83" t="inlineStr">
        <is>
          <t>Acolhimento c/ Classif. de Risco</t>
        </is>
      </c>
      <c r="D96" s="64" t="n">
        <v>233</v>
      </c>
      <c r="E96" s="64" t="n">
        <v>174</v>
      </c>
      <c r="F96" s="64" t="n">
        <v>152</v>
      </c>
      <c r="G96" s="64" t="n">
        <v>137</v>
      </c>
      <c r="H96" s="64" t="n">
        <v>155</v>
      </c>
      <c r="I96" s="64" t="n">
        <v>209</v>
      </c>
      <c r="J96" s="64" t="n">
        <v>117</v>
      </c>
      <c r="K96" s="64" t="n">
        <v>274</v>
      </c>
      <c r="L96" s="64" t="n">
        <v>143</v>
      </c>
      <c r="M96" s="64" t="n">
        <v>243</v>
      </c>
      <c r="N96" s="64" t="n">
        <v>184</v>
      </c>
      <c r="O96" s="64" t="n">
        <v>299</v>
      </c>
      <c r="P96" s="64" t="n">
        <v>215</v>
      </c>
    </row>
    <row r="97" ht="15.75" customHeight="1" s="45">
      <c r="A97" s="61" t="n">
        <v>46211</v>
      </c>
      <c r="B97" s="82" t="inlineStr">
        <is>
          <t>Pós-Projeto</t>
        </is>
      </c>
      <c r="C97" s="84" t="inlineStr">
        <is>
          <t>Atend. Urgência Obs. ≤ 24h</t>
        </is>
      </c>
      <c r="D97" s="66" t="n">
        <v>14</v>
      </c>
      <c r="E97" s="66" t="n">
        <v>21</v>
      </c>
      <c r="F97" s="66" t="n">
        <v>32</v>
      </c>
      <c r="G97" s="66" t="n">
        <v>9</v>
      </c>
      <c r="H97" s="66" t="n">
        <v>4</v>
      </c>
      <c r="I97" s="66" t="n">
        <v>27</v>
      </c>
      <c r="J97" s="66" t="n">
        <v>7</v>
      </c>
      <c r="K97" s="66" t="n">
        <v>59</v>
      </c>
      <c r="L97" s="66" t="n">
        <v>48</v>
      </c>
      <c r="M97" s="66" t="n">
        <v>79</v>
      </c>
      <c r="N97" s="66" t="n">
        <v>67</v>
      </c>
      <c r="O97" s="66" t="n">
        <v>23</v>
      </c>
      <c r="P97" s="66" t="n">
        <v>29</v>
      </c>
    </row>
    <row r="98" ht="15.75" customHeight="1" s="45">
      <c r="A98" s="61" t="n">
        <v>46211</v>
      </c>
      <c r="B98" s="82" t="inlineStr">
        <is>
          <t>Pós-Projeto</t>
        </is>
      </c>
      <c r="C98" s="83" t="inlineStr">
        <is>
          <t>Atend. Médico em UPA</t>
        </is>
      </c>
      <c r="D98" s="64" t="n">
        <v>133</v>
      </c>
      <c r="E98" s="64" t="n">
        <v>34</v>
      </c>
      <c r="F98" s="64" t="n">
        <v>126</v>
      </c>
      <c r="G98" s="64" t="n">
        <v>99</v>
      </c>
      <c r="H98" s="64" t="n">
        <v>106</v>
      </c>
      <c r="I98" s="64" t="n">
        <v>192</v>
      </c>
      <c r="J98" s="64" t="n">
        <v>81</v>
      </c>
      <c r="K98" s="64" t="n">
        <v>184</v>
      </c>
      <c r="L98" s="64" t="n">
        <v>117</v>
      </c>
      <c r="M98" s="64" t="n">
        <v>163</v>
      </c>
      <c r="N98" s="64" t="n">
        <v>118</v>
      </c>
      <c r="O98" s="64" t="n">
        <v>239</v>
      </c>
      <c r="P98" s="64" t="n">
        <v>125</v>
      </c>
    </row>
    <row r="99" ht="15.75" customHeight="1" s="45">
      <c r="A99" s="61" t="n">
        <v>46211</v>
      </c>
      <c r="B99" s="82" t="inlineStr">
        <is>
          <t>Pós-Projeto</t>
        </is>
      </c>
      <c r="C99" s="84" t="inlineStr">
        <is>
          <t>Exames Laboratoriais</t>
        </is>
      </c>
      <c r="D99" s="66" t="n">
        <v>571</v>
      </c>
      <c r="E99" s="66" t="n">
        <v>388</v>
      </c>
      <c r="F99" s="66" t="n">
        <v>402</v>
      </c>
      <c r="G99" s="66" t="n">
        <v>452</v>
      </c>
      <c r="H99" s="66" t="n">
        <v>386</v>
      </c>
      <c r="I99" s="66" t="n">
        <v>653</v>
      </c>
      <c r="J99" s="66" t="n">
        <v>384</v>
      </c>
      <c r="K99" s="66" t="n">
        <v>973</v>
      </c>
      <c r="L99" s="66" t="n">
        <v>620</v>
      </c>
      <c r="M99" s="66" t="n">
        <v>634</v>
      </c>
      <c r="N99" s="66" t="n">
        <v>803</v>
      </c>
      <c r="O99" s="66" t="n">
        <v>462</v>
      </c>
      <c r="P99" s="66" t="n">
        <v>313</v>
      </c>
    </row>
    <row r="100" ht="15.75" customHeight="1" s="45">
      <c r="A100" s="61" t="n">
        <v>46211</v>
      </c>
      <c r="B100" s="82" t="inlineStr">
        <is>
          <t>Pós-Projeto</t>
        </is>
      </c>
      <c r="C100" s="83" t="inlineStr">
        <is>
          <t>Radiografias</t>
        </is>
      </c>
      <c r="D100" s="64" t="n">
        <v>27</v>
      </c>
      <c r="E100" s="64" t="n">
        <v>12</v>
      </c>
      <c r="F100" s="64" t="n">
        <v>27</v>
      </c>
      <c r="G100" s="64" t="n">
        <v>17</v>
      </c>
      <c r="H100" s="64" t="n">
        <v>22</v>
      </c>
      <c r="I100" s="64" t="n">
        <v>34</v>
      </c>
      <c r="J100" s="64" t="n">
        <v>17</v>
      </c>
      <c r="K100" s="64" t="n">
        <v>54</v>
      </c>
      <c r="L100" s="64" t="n">
        <v>19</v>
      </c>
      <c r="M100" s="64" t="n">
        <v>56</v>
      </c>
      <c r="N100" s="64" t="n">
        <v>16</v>
      </c>
      <c r="O100" s="64" t="n">
        <v>51</v>
      </c>
      <c r="P100" s="64" t="n">
        <v>42</v>
      </c>
    </row>
    <row r="101" ht="15.75" customHeight="1" s="45">
      <c r="A101" s="61" t="n">
        <v>46211</v>
      </c>
      <c r="B101" s="82" t="inlineStr">
        <is>
          <t>Pós-Projeto</t>
        </is>
      </c>
      <c r="C101" s="84" t="inlineStr">
        <is>
          <t>Eletrocardiogramas</t>
        </is>
      </c>
      <c r="D101" s="66" t="n">
        <v>23</v>
      </c>
      <c r="E101" s="67" t="n">
        <v>0</v>
      </c>
      <c r="F101" s="67" t="n">
        <v>0</v>
      </c>
      <c r="G101" s="66" t="n">
        <v>6</v>
      </c>
      <c r="H101" s="67" t="n">
        <v>0</v>
      </c>
      <c r="I101" s="67" t="n">
        <v>0</v>
      </c>
      <c r="J101" s="67" t="n">
        <v>0</v>
      </c>
      <c r="K101" s="66" t="n">
        <v>7</v>
      </c>
      <c r="L101" s="66" t="n">
        <v>5</v>
      </c>
      <c r="M101" s="67" t="n">
        <v>0</v>
      </c>
      <c r="N101" s="66" t="n">
        <v>8</v>
      </c>
      <c r="O101" s="67" t="n">
        <v>0</v>
      </c>
      <c r="P101" s="66" t="n">
        <v>2</v>
      </c>
    </row>
    <row r="102" ht="15.75" customHeight="1" s="45">
      <c r="A102" s="61" t="n">
        <v>46211</v>
      </c>
      <c r="B102" s="82" t="inlineStr">
        <is>
          <t>Pós-Projeto</t>
        </is>
      </c>
      <c r="C102" s="85" t="inlineStr">
        <is>
          <t>GAEs Abertas</t>
        </is>
      </c>
      <c r="D102" s="69" t="n">
        <v>252</v>
      </c>
      <c r="E102" s="69" t="n">
        <v>193</v>
      </c>
      <c r="F102" s="69" t="n">
        <v>158</v>
      </c>
      <c r="G102" s="69" t="n">
        <v>138</v>
      </c>
      <c r="H102" s="69" t="n">
        <v>158</v>
      </c>
      <c r="I102" s="69" t="n">
        <v>235</v>
      </c>
      <c r="J102" s="69" t="n">
        <v>120</v>
      </c>
      <c r="K102" s="69" t="n">
        <v>280</v>
      </c>
      <c r="L102" s="69" t="n">
        <v>150</v>
      </c>
      <c r="M102" s="69" t="n">
        <v>260</v>
      </c>
      <c r="N102" s="69" t="n">
        <v>192</v>
      </c>
      <c r="O102" s="69" t="n">
        <v>306</v>
      </c>
      <c r="P102" s="69" t="n">
        <v>226</v>
      </c>
    </row>
    <row r="103" ht="15.75" customHeight="1" s="45">
      <c r="A103" s="61" t="n">
        <v>46211</v>
      </c>
      <c r="B103" s="82" t="inlineStr">
        <is>
          <t>Pós-Projeto</t>
        </is>
      </c>
      <c r="C103" s="85" t="inlineStr">
        <is>
          <t>GAEs Classificadas</t>
        </is>
      </c>
      <c r="D103" s="69" t="n">
        <v>233</v>
      </c>
      <c r="E103" s="69" t="n">
        <v>174</v>
      </c>
      <c r="F103" s="69" t="n">
        <v>154</v>
      </c>
      <c r="G103" s="69" t="n">
        <v>137</v>
      </c>
      <c r="H103" s="69" t="n">
        <v>154</v>
      </c>
      <c r="I103" s="69" t="n">
        <v>208</v>
      </c>
      <c r="J103" s="69" t="n">
        <v>117</v>
      </c>
      <c r="K103" s="69" t="n">
        <v>273</v>
      </c>
      <c r="L103" s="69" t="n">
        <v>145</v>
      </c>
      <c r="M103" s="69" t="n">
        <v>245</v>
      </c>
      <c r="N103" s="69" t="n">
        <v>182</v>
      </c>
      <c r="O103" s="69" t="n">
        <v>297</v>
      </c>
      <c r="P103" s="69" t="n">
        <v>215</v>
      </c>
    </row>
    <row r="104" ht="15.75" customHeight="1" s="45">
      <c r="A104" s="61" t="n">
        <v>46211</v>
      </c>
      <c r="B104" s="82" t="inlineStr">
        <is>
          <t>Pós-Projeto</t>
        </is>
      </c>
      <c r="C104" s="86" t="inlineStr">
        <is>
          <t>Percentual de GAEs abertas classificadas</t>
        </is>
      </c>
      <c r="D104" s="71">
        <f>IFERROR(D103/D102,"-")</f>
        <v/>
      </c>
      <c r="E104" s="71">
        <f>IFERROR(E103/E102,"-")</f>
        <v/>
      </c>
      <c r="F104" s="71">
        <f>IFERROR(F103/F102,"-")</f>
        <v/>
      </c>
      <c r="G104" s="71">
        <f>IFERROR(G103/G102,"-")</f>
        <v/>
      </c>
      <c r="H104" s="71">
        <f>IFERROR(H103/H102,"-")</f>
        <v/>
      </c>
      <c r="I104" s="71">
        <f>IFERROR(I103/I102,"-")</f>
        <v/>
      </c>
      <c r="J104" s="71">
        <f>IFERROR(J103/J102,"-")</f>
        <v/>
      </c>
      <c r="K104" s="71">
        <f>IFERROR(K103/K102,"-")</f>
        <v/>
      </c>
      <c r="L104" s="71">
        <f>IFERROR(L103/L102,"-")</f>
        <v/>
      </c>
      <c r="M104" s="71">
        <f>IFERROR(M103/M102,"-")</f>
        <v/>
      </c>
      <c r="N104" s="71">
        <f>IFERROR(N103/N102,"-")</f>
        <v/>
      </c>
      <c r="O104" s="71">
        <f>IFERROR(O103/O102,"-")</f>
        <v/>
      </c>
      <c r="P104" s="71">
        <f>IFERROR(P103/P102,"-")</f>
        <v/>
      </c>
    </row>
    <row r="105" ht="15.75" customHeight="1" s="45">
      <c r="A105" s="61" t="n">
        <v>46211</v>
      </c>
      <c r="B105" s="82" t="inlineStr">
        <is>
          <t>Pós-Projeto</t>
        </is>
      </c>
      <c r="C105" s="87" t="inlineStr">
        <is>
          <t>Tempo Médio — 🟡 Amarelo (hh:mm)</t>
        </is>
      </c>
      <c r="D105" s="73" t="n">
        <v>0.05204861111111111</v>
      </c>
      <c r="E105" s="73" t="n">
        <v>0.01729166666666667</v>
      </c>
      <c r="F105" s="73" t="n">
        <v>0.05646990740740741</v>
      </c>
      <c r="G105" s="73" t="n">
        <v>0.02826388888888889</v>
      </c>
      <c r="H105" s="73" t="n">
        <v>0.06416666666666666</v>
      </c>
      <c r="I105" s="73" t="n">
        <v>0.04614583333333333</v>
      </c>
      <c r="J105" s="73" t="n">
        <v>0.06552083333333333</v>
      </c>
      <c r="K105" s="73" t="n">
        <v>0.05888888888888889</v>
      </c>
      <c r="L105" s="73" t="n">
        <v>0.0966550925925926</v>
      </c>
      <c r="M105" s="73" t="n">
        <v>0.03121527777777778</v>
      </c>
      <c r="N105" s="73" t="n">
        <v>0.06303240740740741</v>
      </c>
      <c r="O105" s="73" t="n">
        <v>0.09087962962962963</v>
      </c>
      <c r="P105" s="73" t="n">
        <v>0.173587962962963</v>
      </c>
    </row>
    <row r="106" ht="15.75" customHeight="1" s="45">
      <c r="A106" s="61" t="n">
        <v>46211</v>
      </c>
      <c r="B106" s="82" t="inlineStr">
        <is>
          <t>Pós-Projeto</t>
        </is>
      </c>
      <c r="C106" s="88" t="inlineStr">
        <is>
          <t>Tempo Médio — 🟠 Laranja (hh:mm)</t>
        </is>
      </c>
      <c r="D106" s="75" t="n">
        <v>0.01450231481481482</v>
      </c>
      <c r="E106" s="75" t="n">
        <v>0.01202546296296296</v>
      </c>
      <c r="F106" s="75" t="n">
        <v>0.007627314814814815</v>
      </c>
      <c r="G106" s="75" t="n">
        <v>0.009328703703703704</v>
      </c>
      <c r="H106" s="75" t="n">
        <v>0.005081018518518519</v>
      </c>
      <c r="I106" s="75" t="n">
        <v>0.007974537037037037</v>
      </c>
      <c r="J106" s="75" t="n">
        <v>0.00962962962962963</v>
      </c>
      <c r="K106" s="75" t="n">
        <v>0.02642361111111111</v>
      </c>
      <c r="L106" s="75" t="n">
        <v>0.01184027777777778</v>
      </c>
      <c r="M106" s="75" t="n">
        <v>0.005023148148148148</v>
      </c>
      <c r="N106" s="75" t="n">
        <v>0.01114583333333333</v>
      </c>
      <c r="O106" s="75" t="n">
        <v>0.01243055555555556</v>
      </c>
      <c r="P106" s="75" t="n">
        <v>0.0165625</v>
      </c>
    </row>
    <row r="107" ht="15.75" customHeight="1" s="45">
      <c r="A107" s="76" t="n">
        <v>46211</v>
      </c>
      <c r="B107" s="82" t="inlineStr">
        <is>
          <t>Pós-Projeto</t>
        </is>
      </c>
      <c r="C107" s="91" t="inlineStr">
        <is>
          <t>Tempo Médio — 🟢 Verde   (hh:mm)</t>
        </is>
      </c>
      <c r="D107" s="79" t="n">
        <v>0.06447916666666667</v>
      </c>
      <c r="E107" s="79" t="n">
        <v>0.05255787037037037</v>
      </c>
      <c r="F107" s="79" t="n">
        <v>0.06846064814814815</v>
      </c>
      <c r="G107" s="79" t="n">
        <v>0.09284722222222222</v>
      </c>
      <c r="H107" s="79" t="n">
        <v>0.09539351851851852</v>
      </c>
      <c r="I107" s="79" t="n">
        <v>0.09234953703703704</v>
      </c>
      <c r="J107" s="79" t="n">
        <v>0.1136689814814815</v>
      </c>
      <c r="K107" s="79" t="n">
        <v>0.06164351851851852</v>
      </c>
      <c r="L107" s="79" t="n">
        <v>0.129224537037037</v>
      </c>
      <c r="M107" s="79" t="n">
        <v>0.08025462962962963</v>
      </c>
      <c r="N107" s="79" t="n">
        <v>0.0925</v>
      </c>
      <c r="O107" s="79" t="n">
        <v>0.1099421296296296</v>
      </c>
      <c r="P107" s="79" t="n">
        <v>0.1224074074074074</v>
      </c>
    </row>
    <row r="108" ht="15.75" customHeight="1" s="45">
      <c r="A108" s="57" t="n">
        <v>46212</v>
      </c>
      <c r="B108" s="81" t="inlineStr">
        <is>
          <t>Pós-Projeto</t>
        </is>
      </c>
      <c r="C108" s="59" t="inlineStr">
        <is>
          <t>Acolhim. + Atend. Urgência + Atend. UPA</t>
        </is>
      </c>
      <c r="D108" s="60">
        <f>SUM(D109:D111)</f>
        <v/>
      </c>
      <c r="E108" s="60">
        <f>SUM(E109:E111)</f>
        <v/>
      </c>
      <c r="F108" s="60">
        <f>SUM(F109:F111)</f>
        <v/>
      </c>
      <c r="G108" s="60">
        <f>SUM(G109:G111)</f>
        <v/>
      </c>
      <c r="H108" s="60">
        <f>SUM(H109:H111)</f>
        <v/>
      </c>
      <c r="I108" s="60">
        <f>SUM(I109:I111)</f>
        <v/>
      </c>
      <c r="J108" s="60">
        <f>SUM(J109:J111)</f>
        <v/>
      </c>
      <c r="K108" s="60">
        <f>SUM(K109:K111)</f>
        <v/>
      </c>
      <c r="L108" s="60">
        <f>SUM(L109:L111)</f>
        <v/>
      </c>
      <c r="M108" s="60">
        <f>SUM(M109:M111)</f>
        <v/>
      </c>
      <c r="N108" s="60">
        <f>SUM(N109:N111)</f>
        <v/>
      </c>
      <c r="O108" s="60">
        <f>SUM(O109:O111)</f>
        <v/>
      </c>
      <c r="P108" s="60">
        <f>SUM(P109:P111)</f>
        <v/>
      </c>
    </row>
    <row r="109" ht="15.75" customHeight="1" s="45">
      <c r="A109" s="61" t="n">
        <v>46212</v>
      </c>
      <c r="B109" s="82" t="inlineStr">
        <is>
          <t>Pós-Projeto</t>
        </is>
      </c>
      <c r="C109" s="83" t="inlineStr">
        <is>
          <t>Acolhimento c/ Classif. de Risco</t>
        </is>
      </c>
      <c r="D109" s="64" t="n">
        <v>214</v>
      </c>
      <c r="E109" s="64" t="n">
        <v>164</v>
      </c>
      <c r="F109" s="64" t="n">
        <v>162</v>
      </c>
      <c r="G109" s="64" t="n">
        <v>120</v>
      </c>
      <c r="H109" s="64" t="n">
        <v>144</v>
      </c>
      <c r="I109" s="64" t="n">
        <v>202</v>
      </c>
      <c r="J109" s="64" t="n">
        <v>119</v>
      </c>
      <c r="K109" s="64" t="n">
        <v>270</v>
      </c>
      <c r="L109" s="64" t="n">
        <v>156</v>
      </c>
      <c r="M109" s="64" t="n">
        <v>198</v>
      </c>
      <c r="N109" s="64" t="n">
        <v>164</v>
      </c>
      <c r="O109" s="64" t="n">
        <v>287</v>
      </c>
      <c r="P109" s="64" t="n">
        <v>214</v>
      </c>
    </row>
    <row r="110" ht="15.75" customHeight="1" s="45">
      <c r="A110" s="61" t="n">
        <v>46212</v>
      </c>
      <c r="B110" s="82" t="inlineStr">
        <is>
          <t>Pós-Projeto</t>
        </is>
      </c>
      <c r="C110" s="84" t="inlineStr">
        <is>
          <t>Atend. Urgência Obs. ≤ 24h</t>
        </is>
      </c>
      <c r="D110" s="66" t="n">
        <v>13</v>
      </c>
      <c r="E110" s="66" t="n">
        <v>22</v>
      </c>
      <c r="F110" s="66" t="n">
        <v>31</v>
      </c>
      <c r="G110" s="66" t="n">
        <v>4</v>
      </c>
      <c r="H110" s="66" t="n">
        <v>10</v>
      </c>
      <c r="I110" s="66" t="n">
        <v>11</v>
      </c>
      <c r="J110" s="67" t="n">
        <v>0</v>
      </c>
      <c r="K110" s="66" t="n">
        <v>55</v>
      </c>
      <c r="L110" s="66" t="n">
        <v>47</v>
      </c>
      <c r="M110" s="66" t="n">
        <v>42</v>
      </c>
      <c r="N110" s="66" t="n">
        <v>96</v>
      </c>
      <c r="O110" s="66" t="n">
        <v>8</v>
      </c>
      <c r="P110" s="66" t="n">
        <v>21</v>
      </c>
    </row>
    <row r="111" ht="15.75" customHeight="1" s="45">
      <c r="A111" s="61" t="n">
        <v>46212</v>
      </c>
      <c r="B111" s="82" t="inlineStr">
        <is>
          <t>Pós-Projeto</t>
        </is>
      </c>
      <c r="C111" s="83" t="inlineStr">
        <is>
          <t>Atend. Médico em UPA</t>
        </is>
      </c>
      <c r="D111" s="64" t="n">
        <v>143</v>
      </c>
      <c r="E111" s="64" t="n">
        <v>104</v>
      </c>
      <c r="F111" s="64" t="n">
        <v>145</v>
      </c>
      <c r="G111" s="64" t="n">
        <v>68</v>
      </c>
      <c r="H111" s="64" t="n">
        <v>91</v>
      </c>
      <c r="I111" s="64" t="n">
        <v>164</v>
      </c>
      <c r="J111" s="64" t="n">
        <v>103</v>
      </c>
      <c r="K111" s="64" t="n">
        <v>208</v>
      </c>
      <c r="L111" s="64" t="n">
        <v>140</v>
      </c>
      <c r="M111" s="64" t="n">
        <v>171</v>
      </c>
      <c r="N111" s="64" t="n">
        <v>122</v>
      </c>
      <c r="O111" s="64" t="n">
        <v>222</v>
      </c>
      <c r="P111" s="64" t="n">
        <v>139</v>
      </c>
    </row>
    <row r="112" ht="15.75" customHeight="1" s="45">
      <c r="A112" s="61" t="n">
        <v>46212</v>
      </c>
      <c r="B112" s="82" t="inlineStr">
        <is>
          <t>Pós-Projeto</t>
        </is>
      </c>
      <c r="C112" s="84" t="inlineStr">
        <is>
          <t>Exames Laboratoriais</t>
        </is>
      </c>
      <c r="D112" s="66" t="n">
        <v>546</v>
      </c>
      <c r="E112" s="66" t="n">
        <v>517</v>
      </c>
      <c r="F112" s="66" t="n">
        <v>730</v>
      </c>
      <c r="G112" s="66" t="n">
        <v>121</v>
      </c>
      <c r="H112" s="66" t="n">
        <v>461</v>
      </c>
      <c r="I112" s="66" t="n">
        <v>455</v>
      </c>
      <c r="J112" s="66" t="n">
        <v>341</v>
      </c>
      <c r="K112" s="66" t="n">
        <v>822</v>
      </c>
      <c r="L112" s="66" t="n">
        <v>568</v>
      </c>
      <c r="M112" s="66" t="n">
        <v>764</v>
      </c>
      <c r="N112" s="66" t="n">
        <v>746</v>
      </c>
      <c r="O112" s="66" t="n">
        <v>431</v>
      </c>
      <c r="P112" s="66" t="n">
        <v>606</v>
      </c>
    </row>
    <row r="113" ht="15.75" customHeight="1" s="45">
      <c r="A113" s="61" t="n">
        <v>46212</v>
      </c>
      <c r="B113" s="82" t="inlineStr">
        <is>
          <t>Pós-Projeto</t>
        </is>
      </c>
      <c r="C113" s="83" t="inlineStr">
        <is>
          <t>Radiografias</t>
        </is>
      </c>
      <c r="D113" s="64" t="n">
        <v>18</v>
      </c>
      <c r="E113" s="64" t="n">
        <v>14</v>
      </c>
      <c r="F113" s="64" t="n">
        <v>42</v>
      </c>
      <c r="G113" s="64" t="n">
        <v>23</v>
      </c>
      <c r="H113" s="64" t="n">
        <v>24</v>
      </c>
      <c r="I113" s="64" t="n">
        <v>18</v>
      </c>
      <c r="J113" s="64" t="n">
        <v>22</v>
      </c>
      <c r="K113" s="64" t="n">
        <v>41</v>
      </c>
      <c r="L113" s="64" t="n">
        <v>10</v>
      </c>
      <c r="M113" s="64" t="n">
        <v>41</v>
      </c>
      <c r="N113" s="64" t="n">
        <v>45</v>
      </c>
      <c r="O113" s="64" t="n">
        <v>42</v>
      </c>
      <c r="P113" s="64" t="n">
        <v>41</v>
      </c>
    </row>
    <row r="114" ht="15.75" customHeight="1" s="45">
      <c r="A114" s="61" t="n">
        <v>46212</v>
      </c>
      <c r="B114" s="82" t="inlineStr">
        <is>
          <t>Pós-Projeto</t>
        </is>
      </c>
      <c r="C114" s="84" t="inlineStr">
        <is>
          <t>Eletrocardiogramas</t>
        </is>
      </c>
      <c r="D114" s="66" t="n">
        <v>28</v>
      </c>
      <c r="E114" s="67" t="n">
        <v>0</v>
      </c>
      <c r="F114" s="66" t="n">
        <v>1</v>
      </c>
      <c r="G114" s="66" t="n">
        <v>1</v>
      </c>
      <c r="H114" s="67" t="n">
        <v>0</v>
      </c>
      <c r="I114" s="67" t="n">
        <v>0</v>
      </c>
      <c r="J114" s="66" t="n">
        <v>10</v>
      </c>
      <c r="K114" s="66" t="n">
        <v>4</v>
      </c>
      <c r="L114" s="67" t="n">
        <v>0</v>
      </c>
      <c r="M114" s="67" t="n">
        <v>0</v>
      </c>
      <c r="N114" s="66" t="n">
        <v>8</v>
      </c>
      <c r="O114" s="67" t="n">
        <v>0</v>
      </c>
      <c r="P114" s="66" t="n">
        <v>1</v>
      </c>
    </row>
    <row r="115" ht="15.75" customHeight="1" s="45">
      <c r="A115" s="61" t="n">
        <v>46212</v>
      </c>
      <c r="B115" s="82" t="inlineStr">
        <is>
          <t>Pós-Projeto</t>
        </is>
      </c>
      <c r="C115" s="85" t="inlineStr">
        <is>
          <t>GAEs Abertas</t>
        </is>
      </c>
      <c r="D115" s="69" t="n">
        <v>232</v>
      </c>
      <c r="E115" s="69" t="n">
        <v>176</v>
      </c>
      <c r="F115" s="69" t="n">
        <v>165</v>
      </c>
      <c r="G115" s="69" t="n">
        <v>122</v>
      </c>
      <c r="H115" s="69" t="n">
        <v>145</v>
      </c>
      <c r="I115" s="69" t="n">
        <v>212</v>
      </c>
      <c r="J115" s="69" t="n">
        <v>123</v>
      </c>
      <c r="K115" s="69" t="n">
        <v>287</v>
      </c>
      <c r="L115" s="69" t="n">
        <v>161</v>
      </c>
      <c r="M115" s="69" t="n">
        <v>201</v>
      </c>
      <c r="N115" s="69" t="n">
        <v>177</v>
      </c>
      <c r="O115" s="69" t="n">
        <v>290</v>
      </c>
      <c r="P115" s="69" t="n">
        <v>217</v>
      </c>
    </row>
    <row r="116" ht="15.75" customHeight="1" s="45">
      <c r="A116" s="61" t="n">
        <v>46212</v>
      </c>
      <c r="B116" s="82" t="inlineStr">
        <is>
          <t>Pós-Projeto</t>
        </is>
      </c>
      <c r="C116" s="85" t="inlineStr">
        <is>
          <t>GAEs Classificadas</t>
        </is>
      </c>
      <c r="D116" s="69" t="n">
        <v>215</v>
      </c>
      <c r="E116" s="69" t="n">
        <v>167</v>
      </c>
      <c r="F116" s="69" t="n">
        <v>160</v>
      </c>
      <c r="G116" s="69" t="n">
        <v>119</v>
      </c>
      <c r="H116" s="69" t="n">
        <v>141</v>
      </c>
      <c r="I116" s="69" t="n">
        <v>203</v>
      </c>
      <c r="J116" s="69" t="n">
        <v>120</v>
      </c>
      <c r="K116" s="69" t="n">
        <v>268</v>
      </c>
      <c r="L116" s="69" t="n">
        <v>155</v>
      </c>
      <c r="M116" s="69" t="n">
        <v>196</v>
      </c>
      <c r="N116" s="69" t="n">
        <v>165</v>
      </c>
      <c r="O116" s="69" t="n">
        <v>287</v>
      </c>
      <c r="P116" s="69" t="n">
        <v>211</v>
      </c>
    </row>
    <row r="117" ht="15.75" customHeight="1" s="45">
      <c r="A117" s="61" t="n">
        <v>46212</v>
      </c>
      <c r="B117" s="82" t="inlineStr">
        <is>
          <t>Pós-Projeto</t>
        </is>
      </c>
      <c r="C117" s="86" t="inlineStr">
        <is>
          <t>Percentual de GAEs abertas classificadas</t>
        </is>
      </c>
      <c r="D117" s="71">
        <f>IFERROR(D116/D115,"-")</f>
        <v/>
      </c>
      <c r="E117" s="71">
        <f>IFERROR(E116/E115,"-")</f>
        <v/>
      </c>
      <c r="F117" s="71">
        <f>IFERROR(F116/F115,"-")</f>
        <v/>
      </c>
      <c r="G117" s="71">
        <f>IFERROR(G116/G115,"-")</f>
        <v/>
      </c>
      <c r="H117" s="71">
        <f>IFERROR(H116/H115,"-")</f>
        <v/>
      </c>
      <c r="I117" s="71">
        <f>IFERROR(I116/I115,"-")</f>
        <v/>
      </c>
      <c r="J117" s="71">
        <f>IFERROR(J116/J115,"-")</f>
        <v/>
      </c>
      <c r="K117" s="71">
        <f>IFERROR(K116/K115,"-")</f>
        <v/>
      </c>
      <c r="L117" s="71">
        <f>IFERROR(L116/L115,"-")</f>
        <v/>
      </c>
      <c r="M117" s="71">
        <f>IFERROR(M116/M115,"-")</f>
        <v/>
      </c>
      <c r="N117" s="71">
        <f>IFERROR(N116/N115,"-")</f>
        <v/>
      </c>
      <c r="O117" s="71">
        <f>IFERROR(O116/O115,"-")</f>
        <v/>
      </c>
      <c r="P117" s="71">
        <f>IFERROR(P116/P115,"-")</f>
        <v/>
      </c>
    </row>
    <row r="118" ht="15.75" customHeight="1" s="45">
      <c r="A118" s="61" t="n">
        <v>46212</v>
      </c>
      <c r="B118" s="82" t="inlineStr">
        <is>
          <t>Pós-Projeto</t>
        </is>
      </c>
      <c r="C118" s="87" t="inlineStr">
        <is>
          <t>Tempo Médio — 🟡 Amarelo (hh:mm)</t>
        </is>
      </c>
      <c r="D118" s="73" t="n">
        <v>0.02863425925925926</v>
      </c>
      <c r="E118" s="73" t="n">
        <v>0.1075578703703704</v>
      </c>
      <c r="F118" s="73" t="n">
        <v>0.03157407407407407</v>
      </c>
      <c r="G118" s="73" t="n">
        <v>0.02133101851851852</v>
      </c>
      <c r="H118" s="73" t="n">
        <v>0.05962962962962963</v>
      </c>
      <c r="I118" s="73" t="n">
        <v>0.05271990740740741</v>
      </c>
      <c r="J118" s="73" t="n">
        <v>0.056875</v>
      </c>
      <c r="K118" s="73" t="n">
        <v>0.1002777777777778</v>
      </c>
      <c r="L118" s="73" t="n">
        <v>0.1031481481481481</v>
      </c>
      <c r="M118" s="73" t="n">
        <v>0.02483796296296296</v>
      </c>
      <c r="N118" s="73" t="n">
        <v>0.04532407407407407</v>
      </c>
      <c r="O118" s="73" t="n">
        <v>0.06913194444444444</v>
      </c>
      <c r="P118" s="73" t="n">
        <v>0.09842592592592593</v>
      </c>
    </row>
    <row r="119" ht="15.75" customHeight="1" s="45">
      <c r="A119" s="61" t="n">
        <v>46212</v>
      </c>
      <c r="B119" s="82" t="inlineStr">
        <is>
          <t>Pós-Projeto</t>
        </is>
      </c>
      <c r="C119" s="88" t="inlineStr">
        <is>
          <t>Tempo Médio — 🟠 Laranja (hh:mm)</t>
        </is>
      </c>
      <c r="D119" s="75" t="n">
        <v>0.009027777777777777</v>
      </c>
      <c r="E119" s="75" t="n">
        <v>0.01356481481481481</v>
      </c>
      <c r="F119" s="75" t="n">
        <v>0.003842592592592593</v>
      </c>
      <c r="G119" s="75" t="n">
        <v>0.008171296296296296</v>
      </c>
      <c r="H119" s="75" t="n">
        <v>0.006689814814814815</v>
      </c>
      <c r="I119" s="75" t="n">
        <v>0.008622685185185185</v>
      </c>
      <c r="J119" s="75" t="n">
        <v>0.008425925925925925</v>
      </c>
      <c r="K119" s="75" t="n">
        <v>0.0134837962962963</v>
      </c>
      <c r="L119" s="75" t="n">
        <v>0.01090277777777778</v>
      </c>
      <c r="M119" s="75" t="n">
        <v>0.007546296296296297</v>
      </c>
      <c r="N119" s="75" t="n">
        <v>0.008564814814814815</v>
      </c>
      <c r="O119" s="75" t="n">
        <v>0.006979166666666667</v>
      </c>
      <c r="P119" s="75" t="n">
        <v>0.00982638888888889</v>
      </c>
    </row>
    <row r="120" ht="15.75" customHeight="1" s="45">
      <c r="A120" s="76" t="n">
        <v>46212</v>
      </c>
      <c r="B120" s="82" t="inlineStr">
        <is>
          <t>Pós-Projeto</t>
        </is>
      </c>
      <c r="C120" s="91" t="inlineStr">
        <is>
          <t>Tempo Médio — 🟢 Verde   (hh:mm)</t>
        </is>
      </c>
      <c r="D120" s="79" t="n">
        <v>0.05146990740740741</v>
      </c>
      <c r="E120" s="79" t="n">
        <v>0.1593171296296296</v>
      </c>
      <c r="F120" s="79" t="n">
        <v>0.0803125</v>
      </c>
      <c r="G120" s="79" t="n">
        <v>0.04787037037037037</v>
      </c>
      <c r="H120" s="79" t="n">
        <v>0.07319444444444445</v>
      </c>
      <c r="I120" s="79" t="n">
        <v>0.1240509259259259</v>
      </c>
      <c r="J120" s="79" t="n">
        <v>0.04310185185185185</v>
      </c>
      <c r="K120" s="79" t="n">
        <v>0.08778935185185185</v>
      </c>
      <c r="L120" s="79" t="n">
        <v>0.1130208333333333</v>
      </c>
      <c r="M120" s="79" t="n">
        <v>0.06467592592592593</v>
      </c>
      <c r="N120" s="79" t="n">
        <v>0.1184259259259259</v>
      </c>
      <c r="O120" s="79" t="n">
        <v>0.1304398148148148</v>
      </c>
      <c r="P120" s="79" t="n">
        <v>0.06233796296296296</v>
      </c>
    </row>
    <row r="121" ht="15.75" customHeight="1" s="45">
      <c r="A121" s="57" t="n">
        <v>46213</v>
      </c>
      <c r="B121" s="81" t="inlineStr">
        <is>
          <t>Pós-Projeto</t>
        </is>
      </c>
      <c r="C121" s="59" t="inlineStr">
        <is>
          <t>Acolhim. + Atend. Urgência + Atend. UPA</t>
        </is>
      </c>
      <c r="D121" s="60">
        <f>SUM(D122:D124)</f>
        <v/>
      </c>
      <c r="E121" s="60">
        <f>SUM(E122:E124)</f>
        <v/>
      </c>
      <c r="F121" s="60">
        <f>SUM(F122:F124)</f>
        <v/>
      </c>
      <c r="G121" s="60">
        <f>SUM(G122:G124)</f>
        <v/>
      </c>
      <c r="H121" s="60">
        <f>SUM(H122:H124)</f>
        <v/>
      </c>
      <c r="I121" s="60">
        <f>SUM(I122:I124)</f>
        <v/>
      </c>
      <c r="J121" s="60">
        <f>SUM(J122:J124)</f>
        <v/>
      </c>
      <c r="K121" s="60">
        <f>SUM(K122:K124)</f>
        <v/>
      </c>
      <c r="L121" s="60">
        <f>SUM(L122:L124)</f>
        <v/>
      </c>
      <c r="M121" s="60">
        <f>SUM(M122:M124)</f>
        <v/>
      </c>
      <c r="N121" s="60">
        <f>SUM(N122:N124)</f>
        <v/>
      </c>
      <c r="O121" s="60">
        <f>SUM(O122:O124)</f>
        <v/>
      </c>
      <c r="P121" s="60">
        <f>SUM(P122:P124)</f>
        <v/>
      </c>
    </row>
    <row r="122" ht="15.75" customHeight="1" s="45">
      <c r="A122" s="61" t="n">
        <v>46213</v>
      </c>
      <c r="B122" s="82" t="inlineStr">
        <is>
          <t>Pós-Projeto</t>
        </is>
      </c>
      <c r="C122" s="83" t="inlineStr">
        <is>
          <t>Acolhimento c/ Classif. de Risco</t>
        </is>
      </c>
      <c r="D122" s="64" t="n">
        <v>180</v>
      </c>
      <c r="E122" s="64" t="n">
        <v>166</v>
      </c>
      <c r="F122" s="64" t="n">
        <v>158</v>
      </c>
      <c r="G122" s="64" t="n">
        <v>119</v>
      </c>
      <c r="H122" s="64" t="n">
        <v>114</v>
      </c>
      <c r="I122" s="64" t="n">
        <v>198</v>
      </c>
      <c r="J122" s="64" t="n">
        <v>105</v>
      </c>
      <c r="K122" s="64" t="n">
        <v>248</v>
      </c>
      <c r="L122" s="64" t="n">
        <v>125</v>
      </c>
      <c r="M122" s="64" t="n">
        <v>231</v>
      </c>
      <c r="N122" s="64" t="n">
        <v>160</v>
      </c>
      <c r="O122" s="64" t="n">
        <v>279</v>
      </c>
      <c r="P122" s="64" t="n">
        <v>226</v>
      </c>
    </row>
    <row r="123" ht="15.75" customHeight="1" s="45">
      <c r="A123" s="61" t="n">
        <v>46213</v>
      </c>
      <c r="B123" s="82" t="inlineStr">
        <is>
          <t>Pós-Projeto</t>
        </is>
      </c>
      <c r="C123" s="84" t="inlineStr">
        <is>
          <t>Atend. Urgência Obs. ≤ 24h</t>
        </is>
      </c>
      <c r="D123" s="66" t="n">
        <v>21</v>
      </c>
      <c r="E123" s="66" t="n">
        <v>8</v>
      </c>
      <c r="F123" s="66" t="n">
        <v>26</v>
      </c>
      <c r="G123" s="66" t="n">
        <v>13</v>
      </c>
      <c r="H123" s="66" t="n">
        <v>12</v>
      </c>
      <c r="I123" s="66" t="n">
        <v>21</v>
      </c>
      <c r="J123" s="66" t="n">
        <v>1</v>
      </c>
      <c r="K123" s="66" t="n">
        <v>35</v>
      </c>
      <c r="L123" s="66" t="n">
        <v>34</v>
      </c>
      <c r="M123" s="66" t="n">
        <v>21</v>
      </c>
      <c r="N123" s="66" t="n">
        <v>55</v>
      </c>
      <c r="O123" s="66" t="n">
        <v>13</v>
      </c>
      <c r="P123" s="66" t="n">
        <v>17</v>
      </c>
    </row>
    <row r="124" ht="15.75" customHeight="1" s="45">
      <c r="A124" s="61" t="n">
        <v>46213</v>
      </c>
      <c r="B124" s="82" t="inlineStr">
        <is>
          <t>Pós-Projeto</t>
        </is>
      </c>
      <c r="C124" s="83" t="inlineStr">
        <is>
          <t>Atend. Médico em UPA</t>
        </is>
      </c>
      <c r="D124" s="64" t="n">
        <v>98</v>
      </c>
      <c r="E124" s="64" t="n">
        <v>125</v>
      </c>
      <c r="F124" s="64" t="n">
        <v>115</v>
      </c>
      <c r="G124" s="64" t="n">
        <v>83</v>
      </c>
      <c r="H124" s="64" t="n">
        <v>90</v>
      </c>
      <c r="I124" s="64" t="n">
        <v>205</v>
      </c>
      <c r="J124" s="64" t="n">
        <v>84</v>
      </c>
      <c r="K124" s="64" t="n">
        <v>176</v>
      </c>
      <c r="L124" s="64" t="n">
        <v>117</v>
      </c>
      <c r="M124" s="64" t="n">
        <v>159</v>
      </c>
      <c r="N124" s="64" t="n">
        <v>117</v>
      </c>
      <c r="O124" s="64" t="n">
        <v>204</v>
      </c>
      <c r="P124" s="64" t="n">
        <v>107</v>
      </c>
    </row>
    <row r="125" ht="15.75" customHeight="1" s="45">
      <c r="A125" s="61" t="n">
        <v>46213</v>
      </c>
      <c r="B125" s="82" t="inlineStr">
        <is>
          <t>Pós-Projeto</t>
        </is>
      </c>
      <c r="C125" s="84" t="inlineStr">
        <is>
          <t>Exames Laboratoriais</t>
        </is>
      </c>
      <c r="D125" s="66" t="n">
        <v>492</v>
      </c>
      <c r="E125" s="66" t="n">
        <v>460</v>
      </c>
      <c r="F125" s="66" t="n">
        <v>557</v>
      </c>
      <c r="G125" s="66" t="n">
        <v>374</v>
      </c>
      <c r="H125" s="66" t="n">
        <v>329</v>
      </c>
      <c r="I125" s="66" t="n">
        <v>667</v>
      </c>
      <c r="J125" s="66" t="n">
        <v>260</v>
      </c>
      <c r="K125" s="66" t="n">
        <v>807</v>
      </c>
      <c r="L125" s="66" t="n">
        <v>665</v>
      </c>
      <c r="M125" s="66" t="n">
        <v>646</v>
      </c>
      <c r="N125" s="66" t="n">
        <v>543</v>
      </c>
      <c r="O125" s="66" t="n">
        <v>404</v>
      </c>
      <c r="P125" s="66" t="n">
        <v>513</v>
      </c>
    </row>
    <row r="126" ht="15.75" customHeight="1" s="45">
      <c r="A126" s="61" t="n">
        <v>46213</v>
      </c>
      <c r="B126" s="82" t="inlineStr">
        <is>
          <t>Pós-Projeto</t>
        </is>
      </c>
      <c r="C126" s="83" t="inlineStr">
        <is>
          <t>Radiografias</t>
        </is>
      </c>
      <c r="D126" s="64" t="n">
        <v>21</v>
      </c>
      <c r="E126" s="64" t="n">
        <v>28</v>
      </c>
      <c r="F126" s="64" t="n">
        <v>24</v>
      </c>
      <c r="G126" s="64" t="n">
        <v>17</v>
      </c>
      <c r="H126" s="64" t="n">
        <v>21</v>
      </c>
      <c r="I126" s="64" t="n">
        <v>31</v>
      </c>
      <c r="J126" s="64" t="n">
        <v>20</v>
      </c>
      <c r="K126" s="64" t="n">
        <v>39</v>
      </c>
      <c r="L126" s="67" t="n">
        <v>0</v>
      </c>
      <c r="M126" s="64" t="n">
        <v>36</v>
      </c>
      <c r="N126" s="64" t="n">
        <v>41</v>
      </c>
      <c r="O126" s="64" t="n">
        <v>46</v>
      </c>
      <c r="P126" s="64" t="n">
        <v>59</v>
      </c>
    </row>
    <row r="127" ht="15.75" customHeight="1" s="45">
      <c r="A127" s="61" t="n">
        <v>46213</v>
      </c>
      <c r="B127" s="82" t="inlineStr">
        <is>
          <t>Pós-Projeto</t>
        </is>
      </c>
      <c r="C127" s="84" t="inlineStr">
        <is>
          <t>Eletrocardiogramas</t>
        </is>
      </c>
      <c r="D127" s="66" t="n">
        <v>15</v>
      </c>
      <c r="E127" s="66" t="n">
        <v>1</v>
      </c>
      <c r="F127" s="67" t="n">
        <v>0</v>
      </c>
      <c r="G127" s="66" t="n">
        <v>2</v>
      </c>
      <c r="H127" s="66" t="n">
        <v>1</v>
      </c>
      <c r="I127" s="67" t="n">
        <v>0</v>
      </c>
      <c r="J127" s="66" t="n">
        <v>1</v>
      </c>
      <c r="K127" s="66" t="n">
        <v>2</v>
      </c>
      <c r="L127" s="67" t="n">
        <v>0</v>
      </c>
      <c r="M127" s="67" t="n">
        <v>0</v>
      </c>
      <c r="N127" s="66" t="n">
        <v>10</v>
      </c>
      <c r="O127" s="67" t="n">
        <v>0</v>
      </c>
      <c r="P127" s="67" t="n">
        <v>0</v>
      </c>
    </row>
    <row r="128" ht="15.75" customHeight="1" s="45">
      <c r="A128" s="61" t="n">
        <v>46213</v>
      </c>
      <c r="B128" s="82" t="inlineStr">
        <is>
          <t>Pós-Projeto</t>
        </is>
      </c>
      <c r="C128" s="85" t="inlineStr">
        <is>
          <t>GAEs Abertas</t>
        </is>
      </c>
      <c r="D128" s="69" t="n">
        <v>195</v>
      </c>
      <c r="E128" s="69" t="n">
        <v>171</v>
      </c>
      <c r="F128" s="69" t="n">
        <v>163</v>
      </c>
      <c r="G128" s="69" t="n">
        <v>121</v>
      </c>
      <c r="H128" s="69" t="n">
        <v>118</v>
      </c>
      <c r="I128" s="69" t="n">
        <v>217</v>
      </c>
      <c r="J128" s="69" t="n">
        <v>110</v>
      </c>
      <c r="K128" s="69" t="n">
        <v>273</v>
      </c>
      <c r="L128" s="69" t="n">
        <v>128</v>
      </c>
      <c r="M128" s="69" t="n">
        <v>240</v>
      </c>
      <c r="N128" s="69" t="n">
        <v>172</v>
      </c>
      <c r="O128" s="69" t="n">
        <v>288</v>
      </c>
      <c r="P128" s="69" t="n">
        <v>232</v>
      </c>
    </row>
    <row r="129" ht="15.75" customHeight="1" s="45">
      <c r="A129" s="61" t="n">
        <v>46213</v>
      </c>
      <c r="B129" s="82" t="inlineStr">
        <is>
          <t>Pós-Projeto</t>
        </is>
      </c>
      <c r="C129" s="85" t="inlineStr">
        <is>
          <t>GAEs Classificadas</t>
        </is>
      </c>
      <c r="D129" s="69" t="n">
        <v>179</v>
      </c>
      <c r="E129" s="69" t="n">
        <v>163</v>
      </c>
      <c r="F129" s="69" t="n">
        <v>158</v>
      </c>
      <c r="G129" s="69" t="n">
        <v>119</v>
      </c>
      <c r="H129" s="69" t="n">
        <v>117</v>
      </c>
      <c r="I129" s="69" t="n">
        <v>201</v>
      </c>
      <c r="J129" s="69" t="n">
        <v>104</v>
      </c>
      <c r="K129" s="69" t="n">
        <v>253</v>
      </c>
      <c r="L129" s="69" t="n">
        <v>126</v>
      </c>
      <c r="M129" s="69" t="n">
        <v>233</v>
      </c>
      <c r="N129" s="69" t="n">
        <v>161</v>
      </c>
      <c r="O129" s="69" t="n">
        <v>282</v>
      </c>
      <c r="P129" s="69" t="n">
        <v>227</v>
      </c>
    </row>
    <row r="130" ht="15.75" customHeight="1" s="45">
      <c r="A130" s="61" t="n">
        <v>46213</v>
      </c>
      <c r="B130" s="82" t="inlineStr">
        <is>
          <t>Pós-Projeto</t>
        </is>
      </c>
      <c r="C130" s="86" t="inlineStr">
        <is>
          <t>Percentual de GAEs abertas classificadas</t>
        </is>
      </c>
      <c r="D130" s="71">
        <f>IFERROR(D129/D128,"-")</f>
        <v/>
      </c>
      <c r="E130" s="71">
        <f>IFERROR(E129/E128,"-")</f>
        <v/>
      </c>
      <c r="F130" s="71">
        <f>IFERROR(F129/F128,"-")</f>
        <v/>
      </c>
      <c r="G130" s="71">
        <f>IFERROR(G129/G128,"-")</f>
        <v/>
      </c>
      <c r="H130" s="71">
        <f>IFERROR(H129/H128,"-")</f>
        <v/>
      </c>
      <c r="I130" s="71">
        <f>IFERROR(I129/I128,"-")</f>
        <v/>
      </c>
      <c r="J130" s="71">
        <f>IFERROR(J129/J128,"-")</f>
        <v/>
      </c>
      <c r="K130" s="71">
        <f>IFERROR(K129/K128,"-")</f>
        <v/>
      </c>
      <c r="L130" s="71">
        <f>IFERROR(L129/L128,"-")</f>
        <v/>
      </c>
      <c r="M130" s="71">
        <f>IFERROR(M129/M128,"-")</f>
        <v/>
      </c>
      <c r="N130" s="71">
        <f>IFERROR(N129/N128,"-")</f>
        <v/>
      </c>
      <c r="O130" s="71">
        <f>IFERROR(O129/O128,"-")</f>
        <v/>
      </c>
      <c r="P130" s="71">
        <f>IFERROR(P129/P128,"-")</f>
        <v/>
      </c>
    </row>
    <row r="131" ht="15.75" customHeight="1" s="45">
      <c r="A131" s="61" t="n">
        <v>46213</v>
      </c>
      <c r="B131" s="82" t="inlineStr">
        <is>
          <t>Pós-Projeto</t>
        </is>
      </c>
      <c r="C131" s="87" t="inlineStr">
        <is>
          <t>Tempo Médio — 🟡 Amarelo (hh:mm)</t>
        </is>
      </c>
      <c r="D131" s="73" t="n">
        <v>0.1008333333333333</v>
      </c>
      <c r="E131" s="73" t="n">
        <v>0.09731481481481481</v>
      </c>
      <c r="F131" s="73" t="n">
        <v>0.05449074074074074</v>
      </c>
      <c r="G131" s="73" t="n">
        <v>0.03126157407407407</v>
      </c>
      <c r="H131" s="73" t="n">
        <v>0.02815972222222222</v>
      </c>
      <c r="I131" s="73" t="n">
        <v>0.03878472222222222</v>
      </c>
      <c r="J131" s="73" t="n">
        <v>0.05078703703703704</v>
      </c>
      <c r="K131" s="73" t="n">
        <v>0.07924768518518518</v>
      </c>
      <c r="L131" s="73" t="n">
        <v>0.03530092592592592</v>
      </c>
      <c r="M131" s="73" t="n">
        <v>0.02637731481481482</v>
      </c>
      <c r="N131" s="73" t="n">
        <v>0.05395833333333333</v>
      </c>
      <c r="O131" s="73" t="n">
        <v>0.04190972222222222</v>
      </c>
      <c r="P131" s="73" t="n">
        <v>0.06439814814814815</v>
      </c>
    </row>
    <row r="132" ht="15.75" customHeight="1" s="45">
      <c r="A132" s="61" t="n">
        <v>46213</v>
      </c>
      <c r="B132" s="82" t="inlineStr">
        <is>
          <t>Pós-Projeto</t>
        </is>
      </c>
      <c r="C132" s="88" t="inlineStr">
        <is>
          <t>Tempo Médio — 🟠 Laranja (hh:mm)</t>
        </is>
      </c>
      <c r="D132" s="75" t="n">
        <v>0.01875</v>
      </c>
      <c r="E132" s="75" t="n">
        <v>0.01653935185185185</v>
      </c>
      <c r="F132" s="75" t="n">
        <v>0.00863425925925926</v>
      </c>
      <c r="G132" s="75" t="n">
        <v>0.004131944444444444</v>
      </c>
      <c r="H132" s="75" t="n">
        <v>0.005474537037037037</v>
      </c>
      <c r="I132" s="75" t="n">
        <v>0.004583333333333333</v>
      </c>
      <c r="J132" s="75" t="n">
        <v>0.008518518518518519</v>
      </c>
      <c r="K132" s="75" t="n">
        <v>0.01525462962962963</v>
      </c>
      <c r="L132" s="75" t="n">
        <v>0.01194444444444445</v>
      </c>
      <c r="M132" s="75" t="n">
        <v>0.007291666666666667</v>
      </c>
      <c r="N132" s="75" t="n">
        <v>0.0102662037037037</v>
      </c>
      <c r="O132" s="75" t="n">
        <v>0.004837962962962963</v>
      </c>
      <c r="P132" s="75" t="n">
        <v>0.01923611111111111</v>
      </c>
    </row>
    <row r="133" ht="15.75" customHeight="1" s="45">
      <c r="A133" s="76" t="n">
        <v>46213</v>
      </c>
      <c r="B133" s="82" t="inlineStr">
        <is>
          <t>Pós-Projeto</t>
        </is>
      </c>
      <c r="C133" s="91" t="inlineStr">
        <is>
          <t>Tempo Médio — 🟢 Verde   (hh:mm)</t>
        </is>
      </c>
      <c r="D133" s="79" t="n">
        <v>0.09207175925925926</v>
      </c>
      <c r="E133" s="79" t="n">
        <v>0.1430092592592593</v>
      </c>
      <c r="F133" s="79" t="n">
        <v>0.06760416666666667</v>
      </c>
      <c r="G133" s="79" t="n">
        <v>0.08287037037037037</v>
      </c>
      <c r="H133" s="79" t="n">
        <v>0.04891203703703704</v>
      </c>
      <c r="I133" s="79" t="n">
        <v>0.07761574074074074</v>
      </c>
      <c r="J133" s="79" t="n">
        <v>0.05415509259259259</v>
      </c>
      <c r="K133" s="79" t="n">
        <v>0.06653935185185185</v>
      </c>
      <c r="L133" s="79" t="n">
        <v>0.1046412037037037</v>
      </c>
      <c r="M133" s="79" t="n">
        <v>0.02960648148148148</v>
      </c>
      <c r="N133" s="79" t="n">
        <v>0.05998842592592592</v>
      </c>
      <c r="O133" s="79" t="n">
        <v>0.1087731481481481</v>
      </c>
      <c r="P133" s="79" t="n">
        <v>0.09902777777777778</v>
      </c>
    </row>
    <row r="134" ht="15.75" customHeight="1" s="45">
      <c r="A134" s="57" t="n">
        <v>46214</v>
      </c>
      <c r="B134" s="81" t="inlineStr">
        <is>
          <t>Pós-Projeto</t>
        </is>
      </c>
      <c r="C134" s="59" t="inlineStr">
        <is>
          <t>Acolhim. + Atend. Urgência + Atend. UPA</t>
        </is>
      </c>
      <c r="D134" s="60">
        <f>SUM(D135:D137)</f>
        <v/>
      </c>
      <c r="E134" s="60">
        <f>SUM(E135:E137)</f>
        <v/>
      </c>
      <c r="F134" s="60">
        <f>SUM(F135:F137)</f>
        <v/>
      </c>
      <c r="G134" s="60">
        <f>SUM(G135:G137)</f>
        <v/>
      </c>
      <c r="H134" s="60">
        <f>SUM(H135:H137)</f>
        <v/>
      </c>
      <c r="I134" s="60">
        <f>SUM(I135:I137)</f>
        <v/>
      </c>
      <c r="J134" s="60">
        <f>SUM(J135:J137)</f>
        <v/>
      </c>
      <c r="K134" s="60">
        <f>SUM(K135:K137)</f>
        <v/>
      </c>
      <c r="L134" s="60">
        <f>SUM(L135:L137)</f>
        <v/>
      </c>
      <c r="M134" s="60">
        <f>SUM(M135:M137)</f>
        <v/>
      </c>
      <c r="N134" s="60">
        <f>SUM(N135:N137)</f>
        <v/>
      </c>
      <c r="O134" s="60">
        <f>SUM(O135:O137)</f>
        <v/>
      </c>
      <c r="P134" s="60">
        <f>SUM(P135:P137)</f>
        <v/>
      </c>
    </row>
    <row r="135" ht="15.75" customHeight="1" s="45">
      <c r="A135" s="61" t="n">
        <v>46214</v>
      </c>
      <c r="B135" s="82" t="inlineStr">
        <is>
          <t>Pós-Projeto</t>
        </is>
      </c>
      <c r="C135" s="83" t="inlineStr">
        <is>
          <t>Acolhimento c/ Classif. de Risco</t>
        </is>
      </c>
      <c r="D135" s="64" t="n">
        <v>167</v>
      </c>
      <c r="E135" s="64" t="n">
        <v>127</v>
      </c>
      <c r="F135" s="64" t="n">
        <v>121</v>
      </c>
      <c r="G135" s="64" t="n">
        <v>108</v>
      </c>
      <c r="H135" s="64" t="n">
        <v>142</v>
      </c>
      <c r="I135" s="64" t="n">
        <v>182</v>
      </c>
      <c r="J135" s="64" t="n">
        <v>100</v>
      </c>
      <c r="K135" s="64" t="n">
        <v>230</v>
      </c>
      <c r="L135" s="64" t="n">
        <v>111</v>
      </c>
      <c r="M135" s="64" t="n">
        <v>201</v>
      </c>
      <c r="N135" s="64" t="n">
        <v>175</v>
      </c>
      <c r="O135" s="64" t="n">
        <v>233</v>
      </c>
      <c r="P135" s="64" t="n">
        <v>213</v>
      </c>
    </row>
    <row r="136" ht="15.75" customHeight="1" s="45">
      <c r="A136" s="61" t="n">
        <v>46214</v>
      </c>
      <c r="B136" s="82" t="inlineStr">
        <is>
          <t>Pós-Projeto</t>
        </is>
      </c>
      <c r="C136" s="84" t="inlineStr">
        <is>
          <t>Atend. Urgência Obs. ≤ 24h</t>
        </is>
      </c>
      <c r="D136" s="66" t="n">
        <v>15</v>
      </c>
      <c r="E136" s="66" t="n">
        <v>26</v>
      </c>
      <c r="F136" s="66" t="n">
        <v>27</v>
      </c>
      <c r="G136" s="66" t="n">
        <v>42</v>
      </c>
      <c r="H136" s="66" t="n">
        <v>13</v>
      </c>
      <c r="I136" s="66" t="n">
        <v>24</v>
      </c>
      <c r="J136" s="66" t="n">
        <v>6</v>
      </c>
      <c r="K136" s="66" t="n">
        <v>55</v>
      </c>
      <c r="L136" s="66" t="n">
        <v>42</v>
      </c>
      <c r="M136" s="66" t="n">
        <v>48</v>
      </c>
      <c r="N136" s="66" t="n">
        <v>50</v>
      </c>
      <c r="O136" s="66" t="n">
        <v>12</v>
      </c>
      <c r="P136" s="66" t="n">
        <v>13</v>
      </c>
    </row>
    <row r="137" ht="15.75" customHeight="1" s="45">
      <c r="A137" s="61" t="n">
        <v>46214</v>
      </c>
      <c r="B137" s="62" t="inlineStr">
        <is>
          <t>Pós-Projeto</t>
        </is>
      </c>
      <c r="C137" s="83" t="inlineStr">
        <is>
          <t>Atend. Médico em UPA</t>
        </is>
      </c>
      <c r="D137" s="64" t="n">
        <v>117</v>
      </c>
      <c r="E137" s="64" t="n">
        <v>93</v>
      </c>
      <c r="F137" s="64" t="n">
        <v>67</v>
      </c>
      <c r="G137" s="64" t="n">
        <v>99</v>
      </c>
      <c r="H137" s="64" t="n">
        <v>104</v>
      </c>
      <c r="I137" s="64" t="n">
        <v>157</v>
      </c>
      <c r="J137" s="64" t="n">
        <v>66</v>
      </c>
      <c r="K137" s="64" t="n">
        <v>166</v>
      </c>
      <c r="L137" s="64" t="n">
        <v>95</v>
      </c>
      <c r="M137" s="64" t="n">
        <v>130</v>
      </c>
      <c r="N137" s="64" t="n">
        <v>142</v>
      </c>
      <c r="O137" s="64" t="n">
        <v>207</v>
      </c>
      <c r="P137" s="64" t="n">
        <v>135</v>
      </c>
    </row>
    <row r="138" ht="15.75" customHeight="1" s="45">
      <c r="A138" s="61" t="n">
        <v>46214</v>
      </c>
      <c r="B138" s="82" t="inlineStr">
        <is>
          <t>Pós-Projeto</t>
        </is>
      </c>
      <c r="C138" s="84" t="inlineStr">
        <is>
          <t>Exames Laboratoriais</t>
        </is>
      </c>
      <c r="D138" s="66" t="n">
        <v>423</v>
      </c>
      <c r="E138" s="66" t="n">
        <v>411</v>
      </c>
      <c r="F138" s="66" t="n">
        <v>470</v>
      </c>
      <c r="G138" s="66" t="n">
        <v>330</v>
      </c>
      <c r="H138" s="66" t="n">
        <v>319</v>
      </c>
      <c r="I138" s="66" t="n">
        <v>583</v>
      </c>
      <c r="J138" s="66" t="n">
        <v>211</v>
      </c>
      <c r="K138" s="66" t="n">
        <v>804</v>
      </c>
      <c r="L138" s="66" t="n">
        <v>634</v>
      </c>
      <c r="M138" s="66" t="n">
        <v>592</v>
      </c>
      <c r="N138" s="66" t="n">
        <v>545</v>
      </c>
      <c r="O138" s="66" t="n">
        <v>401</v>
      </c>
      <c r="P138" s="66" t="n">
        <v>306</v>
      </c>
    </row>
    <row r="139" ht="15.75" customHeight="1" s="45">
      <c r="A139" s="61" t="n">
        <v>46214</v>
      </c>
      <c r="B139" s="82" t="inlineStr">
        <is>
          <t>Pós-Projeto</t>
        </is>
      </c>
      <c r="C139" s="83" t="inlineStr">
        <is>
          <t>Radiografias</t>
        </is>
      </c>
      <c r="D139" s="64" t="n">
        <v>12</v>
      </c>
      <c r="E139" s="64" t="n">
        <v>25</v>
      </c>
      <c r="F139" s="64" t="n">
        <v>23</v>
      </c>
      <c r="G139" s="64" t="n">
        <v>21</v>
      </c>
      <c r="H139" s="64" t="n">
        <v>29</v>
      </c>
      <c r="I139" s="64" t="n">
        <v>24</v>
      </c>
      <c r="J139" s="64" t="n">
        <v>7</v>
      </c>
      <c r="K139" s="64" t="n">
        <v>38</v>
      </c>
      <c r="L139" s="67" t="n">
        <v>0</v>
      </c>
      <c r="M139" s="64" t="n">
        <v>35</v>
      </c>
      <c r="N139" s="64" t="n">
        <v>26</v>
      </c>
      <c r="O139" s="64" t="n">
        <v>39</v>
      </c>
      <c r="P139" s="64" t="n">
        <v>34</v>
      </c>
    </row>
    <row r="140" ht="15.75" customHeight="1" s="45">
      <c r="A140" s="61" t="n">
        <v>46214</v>
      </c>
      <c r="B140" s="82" t="inlineStr">
        <is>
          <t>Pós-Projeto</t>
        </is>
      </c>
      <c r="C140" s="84" t="inlineStr">
        <is>
          <t>Eletrocardiogramas</t>
        </is>
      </c>
      <c r="D140" s="66" t="n">
        <v>18</v>
      </c>
      <c r="E140" s="67" t="n">
        <v>0</v>
      </c>
      <c r="F140" s="67" t="n">
        <v>0</v>
      </c>
      <c r="G140" s="66" t="n">
        <v>1</v>
      </c>
      <c r="H140" s="67" t="n">
        <v>0</v>
      </c>
      <c r="I140" s="66" t="n">
        <v>1</v>
      </c>
      <c r="J140" s="67" t="n">
        <v>0</v>
      </c>
      <c r="K140" s="67" t="n">
        <v>0</v>
      </c>
      <c r="L140" s="67" t="n">
        <v>0</v>
      </c>
      <c r="M140" s="67" t="n">
        <v>0</v>
      </c>
      <c r="N140" s="66" t="n">
        <v>10</v>
      </c>
      <c r="O140" s="67" t="n">
        <v>0</v>
      </c>
      <c r="P140" s="66" t="n">
        <v>1</v>
      </c>
    </row>
    <row r="141" ht="15.75" customHeight="1" s="45">
      <c r="A141" s="61" t="n">
        <v>46214</v>
      </c>
      <c r="B141" s="82" t="inlineStr">
        <is>
          <t>Pós-Projeto</t>
        </is>
      </c>
      <c r="C141" s="85" t="inlineStr">
        <is>
          <t>GAEs Abertas</t>
        </is>
      </c>
      <c r="D141" s="69" t="n">
        <v>180</v>
      </c>
      <c r="E141" s="69" t="n">
        <v>130</v>
      </c>
      <c r="F141" s="69" t="n">
        <v>134</v>
      </c>
      <c r="G141" s="69" t="n">
        <v>108</v>
      </c>
      <c r="H141" s="69" t="n">
        <v>142</v>
      </c>
      <c r="I141" s="69" t="n">
        <v>187</v>
      </c>
      <c r="J141" s="69" t="n">
        <v>102</v>
      </c>
      <c r="K141" s="69" t="n">
        <v>257</v>
      </c>
      <c r="L141" s="69" t="n">
        <v>118</v>
      </c>
      <c r="M141" s="69" t="n">
        <v>211</v>
      </c>
      <c r="N141" s="69" t="n">
        <v>181</v>
      </c>
      <c r="O141" s="69" t="n">
        <v>239</v>
      </c>
      <c r="P141" s="69" t="n">
        <v>221</v>
      </c>
    </row>
    <row r="142" ht="15.75" customHeight="1" s="45">
      <c r="A142" s="61" t="n">
        <v>46214</v>
      </c>
      <c r="B142" s="82" t="inlineStr">
        <is>
          <t>Pós-Projeto</t>
        </is>
      </c>
      <c r="C142" s="85" t="inlineStr">
        <is>
          <t>GAEs Classificadas</t>
        </is>
      </c>
      <c r="D142" s="69" t="n">
        <v>167</v>
      </c>
      <c r="E142" s="69" t="n">
        <v>128</v>
      </c>
      <c r="F142" s="69" t="n">
        <v>124</v>
      </c>
      <c r="G142" s="69" t="n">
        <v>109</v>
      </c>
      <c r="H142" s="69" t="n">
        <v>139</v>
      </c>
      <c r="I142" s="69" t="n">
        <v>178</v>
      </c>
      <c r="J142" s="69" t="n">
        <v>100</v>
      </c>
      <c r="K142" s="69" t="n">
        <v>227</v>
      </c>
      <c r="L142" s="69" t="n">
        <v>108</v>
      </c>
      <c r="M142" s="69" t="n">
        <v>201</v>
      </c>
      <c r="N142" s="69" t="n">
        <v>173</v>
      </c>
      <c r="O142" s="69" t="n">
        <v>232</v>
      </c>
      <c r="P142" s="69" t="n">
        <v>214</v>
      </c>
    </row>
    <row r="143" ht="15.75" customHeight="1" s="45">
      <c r="A143" s="61" t="n">
        <v>46214</v>
      </c>
      <c r="B143" s="82" t="inlineStr">
        <is>
          <t>Pós-Projeto</t>
        </is>
      </c>
      <c r="C143" s="86" t="inlineStr">
        <is>
          <t>Percentual de GAEs abertas classificadas</t>
        </is>
      </c>
      <c r="D143" s="71">
        <f>IFERROR(D142/D141,"-")</f>
        <v/>
      </c>
      <c r="E143" s="71">
        <f>IFERROR(E142/E141,"-")</f>
        <v/>
      </c>
      <c r="F143" s="71">
        <f>IFERROR(F142/F141,"-")</f>
        <v/>
      </c>
      <c r="G143" s="71">
        <f>IFERROR(G142/G141,"-")</f>
        <v/>
      </c>
      <c r="H143" s="71">
        <f>IFERROR(H142/H141,"-")</f>
        <v/>
      </c>
      <c r="I143" s="71">
        <f>IFERROR(I142/I141,"-")</f>
        <v/>
      </c>
      <c r="J143" s="71">
        <f>IFERROR(J142/J141,"-")</f>
        <v/>
      </c>
      <c r="K143" s="71">
        <f>IFERROR(K142/K141,"-")</f>
        <v/>
      </c>
      <c r="L143" s="71">
        <f>IFERROR(L142/L141,"-")</f>
        <v/>
      </c>
      <c r="M143" s="71">
        <f>IFERROR(M142/M141,"-")</f>
        <v/>
      </c>
      <c r="N143" s="71">
        <f>IFERROR(N142/N141,"-")</f>
        <v/>
      </c>
      <c r="O143" s="71">
        <f>IFERROR(O142/O141,"-")</f>
        <v/>
      </c>
      <c r="P143" s="71">
        <f>IFERROR(P142/P141,"-")</f>
        <v/>
      </c>
    </row>
    <row r="144" ht="15.75" customHeight="1" s="45">
      <c r="A144" s="61" t="n">
        <v>46214</v>
      </c>
      <c r="B144" s="82" t="inlineStr">
        <is>
          <t>Pós-Projeto</t>
        </is>
      </c>
      <c r="C144" s="87" t="inlineStr">
        <is>
          <t>Tempo Médio — 🟡 Amarelo (hh:mm)</t>
        </is>
      </c>
      <c r="D144" s="73" t="n">
        <v>0.1702546296296296</v>
      </c>
      <c r="E144" s="73" t="n">
        <v>0.0590162037037037</v>
      </c>
      <c r="F144" s="73" t="n">
        <v>0.09847222222222222</v>
      </c>
      <c r="G144" s="73" t="n">
        <v>0.0287962962962963</v>
      </c>
      <c r="H144" s="73" t="n">
        <v>0.01943287037037037</v>
      </c>
      <c r="I144" s="73" t="n">
        <v>0.08357638888888889</v>
      </c>
      <c r="J144" s="73" t="n">
        <v>0.03137731481481482</v>
      </c>
      <c r="K144" s="73" t="n">
        <v>0.1433680555555556</v>
      </c>
      <c r="L144" s="73" t="n">
        <v>0.05806712962962963</v>
      </c>
      <c r="M144" s="73" t="n">
        <v>0.04620370370370371</v>
      </c>
      <c r="N144" s="73" t="n">
        <v>0.04070601851851852</v>
      </c>
      <c r="O144" s="73" t="n">
        <v>0.02490740740740741</v>
      </c>
      <c r="P144" s="73" t="n">
        <v>0.04956018518518519</v>
      </c>
    </row>
    <row r="145" ht="15.75" customHeight="1" s="45">
      <c r="A145" s="61" t="n">
        <v>46214</v>
      </c>
      <c r="B145" s="82" t="inlineStr">
        <is>
          <t>Pós-Projeto</t>
        </is>
      </c>
      <c r="C145" s="88" t="inlineStr">
        <is>
          <t>Tempo Médio — 🟠 Laranja (hh:mm)</t>
        </is>
      </c>
      <c r="D145" s="75" t="n">
        <v>0.02706018518518518</v>
      </c>
      <c r="E145" s="75" t="n">
        <v>0.008703703703703703</v>
      </c>
      <c r="F145" s="75" t="n">
        <v>0.006875</v>
      </c>
      <c r="G145" s="75" t="n">
        <v>0.006307870370370371</v>
      </c>
      <c r="H145" s="75" t="n">
        <v>0.003668981481481481</v>
      </c>
      <c r="I145" s="75" t="n">
        <v>0.006261574074074074</v>
      </c>
      <c r="J145" s="75" t="n">
        <v>0.01155092592592593</v>
      </c>
      <c r="K145" s="75" t="n">
        <v>0.02149305555555556</v>
      </c>
      <c r="L145" s="75" t="n">
        <v>0.01215277777777778</v>
      </c>
      <c r="M145" s="75" t="n">
        <v>0.01165509259259259</v>
      </c>
      <c r="N145" s="75" t="n">
        <v>0.009305555555555555</v>
      </c>
      <c r="O145" s="75" t="n">
        <v>0.008483796296296297</v>
      </c>
      <c r="P145" s="75" t="n">
        <v>0.01028935185185185</v>
      </c>
    </row>
    <row r="146" ht="15.75" customHeight="1" s="45">
      <c r="A146" s="76" t="n">
        <v>46214</v>
      </c>
      <c r="B146" s="82" t="inlineStr">
        <is>
          <t>Pós-Projeto</t>
        </is>
      </c>
      <c r="C146" s="91" t="inlineStr">
        <is>
          <t>Tempo Médio — 🟢 Verde   (hh:mm)</t>
        </is>
      </c>
      <c r="D146" s="79" t="n">
        <v>0.1580324074074074</v>
      </c>
      <c r="E146" s="79" t="n">
        <v>0.1653240740740741</v>
      </c>
      <c r="F146" s="79" t="n">
        <v>0.1245833333333333</v>
      </c>
      <c r="G146" s="79" t="n">
        <v>0.09521990740740741</v>
      </c>
      <c r="H146" s="79" t="n">
        <v>0.07832175925925926</v>
      </c>
      <c r="I146" s="79" t="n">
        <v>0.1787962962962963</v>
      </c>
      <c r="J146" s="79" t="n">
        <v>0.0914699074074074</v>
      </c>
      <c r="K146" s="79" t="n">
        <v>0.1825462962962963</v>
      </c>
      <c r="L146" s="79" t="n">
        <v>0.1450462962962963</v>
      </c>
      <c r="M146" s="79" t="n">
        <v>0.03353009259259259</v>
      </c>
      <c r="N146" s="79" t="n">
        <v>0.1468634259259259</v>
      </c>
      <c r="O146" s="79" t="n">
        <v>0.1021759259259259</v>
      </c>
      <c r="P146" s="79" t="n">
        <v>0.08309027777777778</v>
      </c>
    </row>
    <row r="147" ht="15.75" customHeight="1" s="45">
      <c r="A147" s="57" t="n">
        <v>46215</v>
      </c>
      <c r="B147" s="81" t="inlineStr">
        <is>
          <t>Pós-Projeto</t>
        </is>
      </c>
      <c r="C147" s="59" t="inlineStr">
        <is>
          <t>Acolhim. + Atend. Urgência + Atend. UPA</t>
        </is>
      </c>
      <c r="D147" s="60">
        <f>SUM(D148:D150)</f>
        <v/>
      </c>
      <c r="E147" s="60">
        <f>SUM(E148:E150)</f>
        <v/>
      </c>
      <c r="F147" s="60">
        <f>SUM(F148:F150)</f>
        <v/>
      </c>
      <c r="G147" s="60">
        <f>SUM(G148:G150)</f>
        <v/>
      </c>
      <c r="H147" s="60">
        <f>SUM(H148:H150)</f>
        <v/>
      </c>
      <c r="I147" s="60">
        <f>SUM(I148:I150)</f>
        <v/>
      </c>
      <c r="J147" s="60">
        <f>SUM(J148:J150)</f>
        <v/>
      </c>
      <c r="K147" s="60">
        <f>SUM(K148:K150)</f>
        <v/>
      </c>
      <c r="L147" s="60">
        <f>SUM(L148:L150)</f>
        <v/>
      </c>
      <c r="M147" s="60">
        <f>SUM(M148:M150)</f>
        <v/>
      </c>
      <c r="N147" s="60">
        <f>SUM(N148:N150)</f>
        <v/>
      </c>
      <c r="O147" s="60">
        <f>SUM(O148:O150)</f>
        <v/>
      </c>
      <c r="P147" s="60">
        <f>SUM(P148:P150)</f>
        <v/>
      </c>
    </row>
    <row r="148" ht="15.75" customHeight="1" s="45">
      <c r="A148" s="61" t="n">
        <v>46215</v>
      </c>
      <c r="B148" s="82" t="inlineStr">
        <is>
          <t>Pós-Projeto</t>
        </is>
      </c>
      <c r="C148" s="83" t="inlineStr">
        <is>
          <t>Acolhimento c/ Classif. de Risco</t>
        </is>
      </c>
      <c r="D148" s="64" t="n">
        <v>149</v>
      </c>
      <c r="E148" s="64" t="n">
        <v>148</v>
      </c>
      <c r="F148" s="64" t="n">
        <v>135</v>
      </c>
      <c r="G148" s="64" t="n">
        <v>115</v>
      </c>
      <c r="H148" s="64" t="n">
        <v>125</v>
      </c>
      <c r="I148" s="64" t="n">
        <v>150</v>
      </c>
      <c r="J148" s="64" t="n">
        <v>91</v>
      </c>
      <c r="K148" s="64" t="n">
        <v>252</v>
      </c>
      <c r="L148" s="64" t="n">
        <v>119</v>
      </c>
      <c r="M148" s="64" t="n">
        <v>201</v>
      </c>
      <c r="N148" s="64" t="n">
        <v>152</v>
      </c>
      <c r="O148" s="64" t="n">
        <v>211</v>
      </c>
      <c r="P148" s="64" t="n">
        <v>183</v>
      </c>
    </row>
    <row r="149" ht="15.75" customHeight="1" s="45">
      <c r="A149" s="61" t="n">
        <v>46215</v>
      </c>
      <c r="B149" s="82" t="inlineStr">
        <is>
          <t>Pós-Projeto</t>
        </is>
      </c>
      <c r="C149" s="84" t="inlineStr">
        <is>
          <t>Atend. Urgência Obs. ≤ 24h</t>
        </is>
      </c>
      <c r="D149" s="66" t="n">
        <v>30</v>
      </c>
      <c r="E149" s="66" t="n">
        <v>21</v>
      </c>
      <c r="F149" s="66" t="n">
        <v>20</v>
      </c>
      <c r="G149" s="66" t="n">
        <v>23</v>
      </c>
      <c r="H149" s="66" t="n">
        <v>25</v>
      </c>
      <c r="I149" s="66" t="n">
        <v>24</v>
      </c>
      <c r="J149" s="66" t="n">
        <v>10</v>
      </c>
      <c r="K149" s="66" t="n">
        <v>46</v>
      </c>
      <c r="L149" s="66" t="n">
        <v>29</v>
      </c>
      <c r="M149" s="66" t="n">
        <v>46</v>
      </c>
      <c r="N149" s="66" t="n">
        <v>37</v>
      </c>
      <c r="O149" s="66" t="n">
        <v>15</v>
      </c>
      <c r="P149" s="66" t="n">
        <v>12</v>
      </c>
    </row>
    <row r="150" ht="15.75" customHeight="1" s="45">
      <c r="A150" s="61" t="n">
        <v>46215</v>
      </c>
      <c r="B150" s="82" t="inlineStr">
        <is>
          <t>Pós-Projeto</t>
        </is>
      </c>
      <c r="C150" s="83" t="inlineStr">
        <is>
          <t>Atend. Médico em UPA</t>
        </is>
      </c>
      <c r="D150" s="64" t="n">
        <v>92</v>
      </c>
      <c r="E150" s="64" t="n">
        <v>105</v>
      </c>
      <c r="F150" s="64" t="n">
        <v>93</v>
      </c>
      <c r="G150" s="64" t="n">
        <v>83</v>
      </c>
      <c r="H150" s="64" t="n">
        <v>68</v>
      </c>
      <c r="I150" s="64" t="n">
        <v>163</v>
      </c>
      <c r="J150" s="64" t="n">
        <v>73</v>
      </c>
      <c r="K150" s="64" t="n">
        <v>133</v>
      </c>
      <c r="L150" s="64" t="n">
        <v>86</v>
      </c>
      <c r="M150" s="64" t="n">
        <v>138</v>
      </c>
      <c r="N150" s="64" t="n">
        <v>114</v>
      </c>
      <c r="O150" s="64" t="n">
        <v>167</v>
      </c>
      <c r="P150" s="64" t="n">
        <v>88</v>
      </c>
    </row>
    <row r="151" ht="15.75" customHeight="1" s="45">
      <c r="A151" s="61" t="n">
        <v>46215</v>
      </c>
      <c r="B151" s="82" t="inlineStr">
        <is>
          <t>Pós-Projeto</t>
        </is>
      </c>
      <c r="C151" s="84" t="inlineStr">
        <is>
          <t>Exames Laboratoriais</t>
        </is>
      </c>
      <c r="D151" s="66" t="n">
        <v>653</v>
      </c>
      <c r="E151" s="66" t="n">
        <v>508</v>
      </c>
      <c r="F151" s="66" t="n">
        <v>194</v>
      </c>
      <c r="G151" s="66" t="n">
        <v>394</v>
      </c>
      <c r="H151" s="66" t="n">
        <v>440</v>
      </c>
      <c r="I151" s="66" t="n">
        <v>678</v>
      </c>
      <c r="J151" s="66" t="n">
        <v>324</v>
      </c>
      <c r="K151" s="66" t="n">
        <v>922</v>
      </c>
      <c r="L151" s="66" t="n">
        <v>359</v>
      </c>
      <c r="M151" s="66" t="n">
        <v>866</v>
      </c>
      <c r="N151" s="66" t="n">
        <v>590</v>
      </c>
      <c r="O151" s="66" t="n">
        <v>386</v>
      </c>
      <c r="P151" s="66" t="n">
        <v>177</v>
      </c>
    </row>
    <row r="152" ht="15.75" customHeight="1" s="45">
      <c r="A152" s="61" t="n">
        <v>46215</v>
      </c>
      <c r="B152" s="82" t="inlineStr">
        <is>
          <t>Pós-Projeto</t>
        </is>
      </c>
      <c r="C152" s="83" t="inlineStr">
        <is>
          <t>Radiografias</t>
        </is>
      </c>
      <c r="D152" s="64" t="n">
        <v>18</v>
      </c>
      <c r="E152" s="64" t="n">
        <v>19</v>
      </c>
      <c r="F152" s="64" t="n">
        <v>18</v>
      </c>
      <c r="G152" s="64" t="n">
        <v>20</v>
      </c>
      <c r="H152" s="64" t="n">
        <v>18</v>
      </c>
      <c r="I152" s="64" t="n">
        <v>21</v>
      </c>
      <c r="J152" s="64" t="n">
        <v>15</v>
      </c>
      <c r="K152" s="64" t="n">
        <v>31</v>
      </c>
      <c r="L152" s="64" t="n">
        <v>8</v>
      </c>
      <c r="M152" s="64" t="n">
        <v>43</v>
      </c>
      <c r="N152" s="64" t="n">
        <v>19</v>
      </c>
      <c r="O152" s="64" t="n">
        <v>32</v>
      </c>
      <c r="P152" s="64" t="n">
        <v>39</v>
      </c>
    </row>
    <row r="153" ht="15.75" customHeight="1" s="45">
      <c r="A153" s="61" t="n">
        <v>46215</v>
      </c>
      <c r="B153" s="82" t="inlineStr">
        <is>
          <t>Pós-Projeto</t>
        </is>
      </c>
      <c r="C153" s="84" t="inlineStr">
        <is>
          <t>Eletrocardiogramas</t>
        </is>
      </c>
      <c r="D153" s="66" t="n">
        <v>10</v>
      </c>
      <c r="E153" s="66" t="n">
        <v>2</v>
      </c>
      <c r="F153" s="67" t="n">
        <v>0</v>
      </c>
      <c r="G153" s="66" t="n">
        <v>1</v>
      </c>
      <c r="H153" s="67" t="n">
        <v>0</v>
      </c>
      <c r="I153" s="67" t="n">
        <v>0</v>
      </c>
      <c r="J153" s="67" t="n">
        <v>0</v>
      </c>
      <c r="K153" s="66" t="n">
        <v>8</v>
      </c>
      <c r="L153" s="67" t="n">
        <v>0</v>
      </c>
      <c r="M153" s="67" t="n">
        <v>0</v>
      </c>
      <c r="N153" s="66" t="n">
        <v>9</v>
      </c>
      <c r="O153" s="67" t="n">
        <v>0</v>
      </c>
      <c r="P153" s="66" t="n">
        <v>6</v>
      </c>
    </row>
    <row r="154" ht="15.75" customHeight="1" s="45">
      <c r="A154" s="61" t="n">
        <v>46215</v>
      </c>
      <c r="B154" s="82" t="inlineStr">
        <is>
          <t>Pós-Projeto</t>
        </is>
      </c>
      <c r="C154" s="85" t="inlineStr">
        <is>
          <t>GAEs Abertas</t>
        </is>
      </c>
      <c r="D154" s="69" t="n">
        <v>176</v>
      </c>
      <c r="E154" s="69" t="n">
        <v>154</v>
      </c>
      <c r="F154" s="69" t="n">
        <v>147</v>
      </c>
      <c r="G154" s="69" t="n">
        <v>121</v>
      </c>
      <c r="H154" s="69" t="n">
        <v>127</v>
      </c>
      <c r="I154" s="69" t="n">
        <v>163</v>
      </c>
      <c r="J154" s="69" t="n">
        <v>92</v>
      </c>
      <c r="K154" s="69" t="n">
        <v>278</v>
      </c>
      <c r="L154" s="69" t="n">
        <v>122</v>
      </c>
      <c r="M154" s="69" t="n">
        <v>218</v>
      </c>
      <c r="N154" s="69" t="n">
        <v>158</v>
      </c>
      <c r="O154" s="69" t="n">
        <v>221</v>
      </c>
      <c r="P154" s="69" t="n">
        <v>185</v>
      </c>
    </row>
    <row r="155" ht="15.75" customHeight="1" s="45">
      <c r="A155" s="61" t="n">
        <v>46215</v>
      </c>
      <c r="B155" s="82" t="inlineStr">
        <is>
          <t>Pós-Projeto</t>
        </is>
      </c>
      <c r="C155" s="85" t="inlineStr">
        <is>
          <t>GAEs Classificadas</t>
        </is>
      </c>
      <c r="D155" s="69" t="n">
        <v>150</v>
      </c>
      <c r="E155" s="69" t="n">
        <v>150</v>
      </c>
      <c r="F155" s="69" t="n">
        <v>134</v>
      </c>
      <c r="G155" s="69" t="n">
        <v>115</v>
      </c>
      <c r="H155" s="69" t="n">
        <v>125</v>
      </c>
      <c r="I155" s="69" t="n">
        <v>149</v>
      </c>
      <c r="J155" s="69" t="n">
        <v>91</v>
      </c>
      <c r="K155" s="69" t="n">
        <v>252</v>
      </c>
      <c r="L155" s="69" t="n">
        <v>119</v>
      </c>
      <c r="M155" s="69" t="n">
        <v>204</v>
      </c>
      <c r="N155" s="69" t="n">
        <v>152</v>
      </c>
      <c r="O155" s="69" t="n">
        <v>211</v>
      </c>
      <c r="P155" s="69" t="n">
        <v>182</v>
      </c>
    </row>
    <row r="156" ht="15.75" customHeight="1" s="45">
      <c r="A156" s="61" t="n">
        <v>46215</v>
      </c>
      <c r="B156" s="82" t="inlineStr">
        <is>
          <t>Pós-Projeto</t>
        </is>
      </c>
      <c r="C156" s="86" t="inlineStr">
        <is>
          <t>Percentual de GAEs abertas classificadas</t>
        </is>
      </c>
      <c r="D156" s="71">
        <f>IFERROR(D155/D154,"-")</f>
        <v/>
      </c>
      <c r="E156" s="71">
        <f>IFERROR(E155/E154,"-")</f>
        <v/>
      </c>
      <c r="F156" s="71">
        <f>IFERROR(F155/F154,"-")</f>
        <v/>
      </c>
      <c r="G156" s="71">
        <f>IFERROR(G155/G154,"-")</f>
        <v/>
      </c>
      <c r="H156" s="71">
        <f>IFERROR(H155/H154,"-")</f>
        <v/>
      </c>
      <c r="I156" s="71">
        <f>IFERROR(I155/I154,"-")</f>
        <v/>
      </c>
      <c r="J156" s="71">
        <f>IFERROR(J155/J154,"-")</f>
        <v/>
      </c>
      <c r="K156" s="71">
        <f>IFERROR(K155/K154,"-")</f>
        <v/>
      </c>
      <c r="L156" s="71">
        <f>IFERROR(L155/L154,"-")</f>
        <v/>
      </c>
      <c r="M156" s="71">
        <f>IFERROR(M155/M154,"-")</f>
        <v/>
      </c>
      <c r="N156" s="71">
        <f>IFERROR(N155/N154,"-")</f>
        <v/>
      </c>
      <c r="O156" s="71">
        <f>IFERROR(O155/O154,"-")</f>
        <v/>
      </c>
      <c r="P156" s="71">
        <f>IFERROR(P155/P154,"-")</f>
        <v/>
      </c>
    </row>
    <row r="157" ht="15.75" customHeight="1" s="45">
      <c r="A157" s="61" t="n">
        <v>46215</v>
      </c>
      <c r="B157" s="82" t="inlineStr">
        <is>
          <t>Pós-Projeto</t>
        </is>
      </c>
      <c r="C157" s="87" t="inlineStr">
        <is>
          <t>Tempo Médio — 🟡 Amarelo (hh:mm)</t>
        </is>
      </c>
      <c r="D157" s="73" t="n">
        <v>0.06248842592592593</v>
      </c>
      <c r="E157" s="73" t="n">
        <v>0.1050578703703704</v>
      </c>
      <c r="F157" s="73" t="n">
        <v>0.1038888888888889</v>
      </c>
      <c r="G157" s="73" t="n">
        <v>0.02149305555555556</v>
      </c>
      <c r="H157" s="73" t="n">
        <v>0.06193287037037037</v>
      </c>
      <c r="I157" s="73" t="n">
        <v>0.03729166666666667</v>
      </c>
      <c r="J157" s="73" t="n">
        <v>0.07131944444444445</v>
      </c>
      <c r="K157" s="73" t="n">
        <v>0.0874537037037037</v>
      </c>
      <c r="L157" s="73" t="n">
        <v>0.1526851851851852</v>
      </c>
      <c r="M157" s="73" t="n">
        <v>0.04113425925925926</v>
      </c>
      <c r="N157" s="73" t="n">
        <v>0.09354166666666666</v>
      </c>
      <c r="O157" s="73" t="n">
        <v>0.04353009259259259</v>
      </c>
      <c r="P157" s="73" t="n">
        <v>0.04601851851851852</v>
      </c>
    </row>
    <row r="158" ht="15.75" customHeight="1" s="45">
      <c r="A158" s="61" t="n">
        <v>46215</v>
      </c>
      <c r="B158" s="82" t="inlineStr">
        <is>
          <t>Pós-Projeto</t>
        </is>
      </c>
      <c r="C158" s="88" t="inlineStr">
        <is>
          <t>Tempo Médio — 🟠 Laranja (hh:mm)</t>
        </is>
      </c>
      <c r="D158" s="75" t="n">
        <v>0.01724537037037037</v>
      </c>
      <c r="E158" s="75" t="n">
        <v>0.01664351851851852</v>
      </c>
      <c r="F158" s="75" t="n">
        <v>0.01146990740740741</v>
      </c>
      <c r="G158" s="75" t="n">
        <v>0.004664351851851852</v>
      </c>
      <c r="H158" s="75" t="n">
        <v>0.0103125</v>
      </c>
      <c r="I158" s="75" t="n">
        <v>0.005358796296296296</v>
      </c>
      <c r="J158" s="75" t="n">
        <v>0.004884259259259259</v>
      </c>
      <c r="K158" s="75" t="n">
        <v>0.01577546296296296</v>
      </c>
      <c r="L158" s="75" t="n">
        <v>0.02123842592592592</v>
      </c>
      <c r="M158" s="75" t="n">
        <v>0.01206018518518519</v>
      </c>
      <c r="N158" s="75" t="n">
        <v>0.01538194444444444</v>
      </c>
      <c r="O158" s="75" t="n">
        <v>0.009328703703703704</v>
      </c>
      <c r="P158" s="75" t="n">
        <v>0.009594907407407408</v>
      </c>
    </row>
    <row r="159" ht="15.75" customHeight="1" s="45">
      <c r="A159" s="76" t="n">
        <v>46215</v>
      </c>
      <c r="B159" s="82" t="inlineStr">
        <is>
          <t>Pós-Projeto</t>
        </is>
      </c>
      <c r="C159" s="91" t="inlineStr">
        <is>
          <t>Tempo Médio — 🟢 Verde   (hh:mm)</t>
        </is>
      </c>
      <c r="D159" s="79" t="n">
        <v>0.09934027777777778</v>
      </c>
      <c r="E159" s="79" t="n">
        <v>0.198287037037037</v>
      </c>
      <c r="F159" s="79" t="n">
        <v>0.1384953703703704</v>
      </c>
      <c r="G159" s="79" t="n">
        <v>0.1327893518518518</v>
      </c>
      <c r="H159" s="79" t="n">
        <v>0.117962962962963</v>
      </c>
      <c r="I159" s="79" t="n">
        <v>0.2000462962962963</v>
      </c>
      <c r="J159" s="79" t="n">
        <v>0.08834490740740741</v>
      </c>
      <c r="K159" s="79" t="n">
        <v>0.09872685185185186</v>
      </c>
      <c r="L159" s="79" t="n">
        <v>0.2359490740740741</v>
      </c>
      <c r="M159" s="79" t="n">
        <v>0.1132986111111111</v>
      </c>
      <c r="N159" s="79" t="n">
        <v>0.2021064814814815</v>
      </c>
      <c r="O159" s="79" t="n">
        <v>0.1635648148148148</v>
      </c>
      <c r="P159" s="79" t="n">
        <v>0.08728009259259259</v>
      </c>
    </row>
    <row r="160" ht="15.75" customHeight="1" s="45">
      <c r="A160" s="57" t="n">
        <v>46216</v>
      </c>
      <c r="B160" s="81" t="inlineStr">
        <is>
          <t>Pós-Projeto</t>
        </is>
      </c>
      <c r="C160" s="59" t="inlineStr">
        <is>
          <t>Acolhim. + Atend. Urgência + Atend. UPA</t>
        </is>
      </c>
      <c r="D160" s="60">
        <f>SUM(D161:D163)</f>
        <v/>
      </c>
      <c r="E160" s="60">
        <f>SUM(E161:E163)</f>
        <v/>
      </c>
      <c r="F160" s="60">
        <f>SUM(F161:F163)</f>
        <v/>
      </c>
      <c r="G160" s="60">
        <f>SUM(G161:G163)</f>
        <v/>
      </c>
      <c r="H160" s="60">
        <f>SUM(H161:H163)</f>
        <v/>
      </c>
      <c r="I160" s="60">
        <f>SUM(I161:I163)</f>
        <v/>
      </c>
      <c r="J160" s="60">
        <f>SUM(J161:J163)</f>
        <v/>
      </c>
      <c r="K160" s="60">
        <f>SUM(K161:K163)</f>
        <v/>
      </c>
      <c r="L160" s="60">
        <f>SUM(L161:L163)</f>
        <v/>
      </c>
      <c r="M160" s="60">
        <f>SUM(M161:M163)</f>
        <v/>
      </c>
      <c r="N160" s="60">
        <f>SUM(N161:N163)</f>
        <v/>
      </c>
      <c r="O160" s="60">
        <f>SUM(O161:O163)</f>
        <v/>
      </c>
      <c r="P160" s="60">
        <f>SUM(P161:P163)</f>
        <v/>
      </c>
    </row>
    <row r="161" ht="15.75" customHeight="1" s="45">
      <c r="A161" s="61" t="n">
        <v>46216</v>
      </c>
      <c r="B161" s="82" t="inlineStr">
        <is>
          <t>Pós-Projeto</t>
        </is>
      </c>
      <c r="C161" s="83" t="inlineStr">
        <is>
          <t>Acolhimento c/ Classif. de Risco</t>
        </is>
      </c>
      <c r="D161" s="64" t="n">
        <v>256</v>
      </c>
      <c r="E161" s="64" t="n">
        <v>184</v>
      </c>
      <c r="F161" s="64" t="n">
        <v>178</v>
      </c>
      <c r="G161" s="64" t="n">
        <v>151</v>
      </c>
      <c r="H161" s="64" t="n">
        <v>199</v>
      </c>
      <c r="I161" s="64" t="n">
        <v>212</v>
      </c>
      <c r="J161" s="64" t="n">
        <v>135</v>
      </c>
      <c r="K161" s="64" t="n">
        <v>289</v>
      </c>
      <c r="L161" s="64" t="n">
        <v>133</v>
      </c>
      <c r="M161" s="64" t="n">
        <v>269</v>
      </c>
      <c r="N161" s="64" t="n">
        <v>227</v>
      </c>
      <c r="O161" s="64" t="n">
        <v>299</v>
      </c>
      <c r="P161" s="64" t="n">
        <v>235</v>
      </c>
    </row>
    <row r="162" ht="15.75" customHeight="1" s="45">
      <c r="A162" s="61" t="n">
        <v>46216</v>
      </c>
      <c r="B162" s="82" t="inlineStr">
        <is>
          <t>Pós-Projeto</t>
        </is>
      </c>
      <c r="C162" s="84" t="inlineStr">
        <is>
          <t>Atend. Urgência Obs. ≤ 24h</t>
        </is>
      </c>
      <c r="D162" s="66" t="n">
        <v>44</v>
      </c>
      <c r="E162" s="66" t="n">
        <v>16</v>
      </c>
      <c r="F162" s="66" t="n">
        <v>21</v>
      </c>
      <c r="G162" s="66" t="n">
        <v>31</v>
      </c>
      <c r="H162" s="66" t="n">
        <v>13</v>
      </c>
      <c r="I162" s="66" t="n">
        <v>30</v>
      </c>
      <c r="J162" s="66" t="n">
        <v>18</v>
      </c>
      <c r="K162" s="66" t="n">
        <v>40</v>
      </c>
      <c r="L162" s="66" t="n">
        <v>29</v>
      </c>
      <c r="M162" s="66" t="n">
        <v>69</v>
      </c>
      <c r="N162" s="66" t="n">
        <v>36</v>
      </c>
      <c r="O162" s="66" t="n">
        <v>24</v>
      </c>
      <c r="P162" s="66" t="n">
        <v>20</v>
      </c>
    </row>
    <row r="163" ht="15.75" customHeight="1" s="45">
      <c r="A163" s="61" t="n">
        <v>46216</v>
      </c>
      <c r="B163" s="82" t="inlineStr">
        <is>
          <t>Pós-Projeto</t>
        </is>
      </c>
      <c r="C163" s="83" t="inlineStr">
        <is>
          <t>Atend. Médico em UPA</t>
        </is>
      </c>
      <c r="D163" s="64" t="n">
        <v>135</v>
      </c>
      <c r="E163" s="64" t="n">
        <v>134</v>
      </c>
      <c r="F163" s="64" t="n">
        <v>133</v>
      </c>
      <c r="G163" s="64" t="n">
        <v>135</v>
      </c>
      <c r="H163" s="64" t="n">
        <v>106</v>
      </c>
      <c r="I163" s="64" t="n">
        <v>172</v>
      </c>
      <c r="J163" s="64" t="n">
        <v>102</v>
      </c>
      <c r="K163" s="64" t="n">
        <v>215</v>
      </c>
      <c r="L163" s="64" t="n">
        <v>91</v>
      </c>
      <c r="M163" s="64" t="n">
        <v>151</v>
      </c>
      <c r="N163" s="64" t="n">
        <v>112</v>
      </c>
      <c r="O163" s="64" t="n">
        <v>224</v>
      </c>
      <c r="P163" s="64" t="n">
        <v>139</v>
      </c>
    </row>
    <row r="164" ht="15.75" customHeight="1" s="45">
      <c r="A164" s="61" t="n">
        <v>46216</v>
      </c>
      <c r="B164" s="82" t="inlineStr">
        <is>
          <t>Pós-Projeto</t>
        </is>
      </c>
      <c r="C164" s="84" t="inlineStr">
        <is>
          <t>Exames Laboratoriais</t>
        </is>
      </c>
      <c r="D164" s="66" t="n">
        <v>654</v>
      </c>
      <c r="E164" s="66" t="n">
        <v>478</v>
      </c>
      <c r="F164" s="66" t="n">
        <v>570</v>
      </c>
      <c r="G164" s="66" t="n">
        <v>377</v>
      </c>
      <c r="H164" s="66" t="n">
        <v>450</v>
      </c>
      <c r="I164" s="66" t="n">
        <v>705</v>
      </c>
      <c r="J164" s="66" t="n">
        <v>239</v>
      </c>
      <c r="K164" s="66" t="n">
        <v>928</v>
      </c>
      <c r="L164" s="66" t="n">
        <v>656</v>
      </c>
      <c r="M164" s="66" t="n">
        <v>732</v>
      </c>
      <c r="N164" s="66" t="n">
        <v>543</v>
      </c>
      <c r="O164" s="66" t="n">
        <v>533</v>
      </c>
      <c r="P164" s="66" t="n">
        <v>535</v>
      </c>
    </row>
    <row r="165" ht="15.75" customHeight="1" s="45">
      <c r="A165" s="61" t="n">
        <v>46216</v>
      </c>
      <c r="B165" s="82" t="inlineStr">
        <is>
          <t>Pós-Projeto</t>
        </is>
      </c>
      <c r="C165" s="83" t="inlineStr">
        <is>
          <t>Radiografias</t>
        </is>
      </c>
      <c r="D165" s="64" t="n">
        <v>32</v>
      </c>
      <c r="E165" s="64" t="n">
        <v>18</v>
      </c>
      <c r="F165" s="64" t="n">
        <v>38</v>
      </c>
      <c r="G165" s="64" t="n">
        <v>21</v>
      </c>
      <c r="H165" s="64" t="n">
        <v>30</v>
      </c>
      <c r="I165" s="64" t="n">
        <v>25</v>
      </c>
      <c r="J165" s="64" t="n">
        <v>13</v>
      </c>
      <c r="K165" s="64" t="n">
        <v>30</v>
      </c>
      <c r="L165" s="64" t="n">
        <v>20</v>
      </c>
      <c r="M165" s="64" t="n">
        <v>32</v>
      </c>
      <c r="N165" s="64" t="n">
        <v>22</v>
      </c>
      <c r="O165" s="64" t="n">
        <v>26</v>
      </c>
      <c r="P165" s="64" t="n">
        <v>49</v>
      </c>
    </row>
    <row r="166" ht="15.75" customHeight="1" s="45">
      <c r="A166" s="61" t="n">
        <v>46216</v>
      </c>
      <c r="B166" s="82" t="inlineStr">
        <is>
          <t>Pós-Projeto</t>
        </is>
      </c>
      <c r="C166" s="84" t="inlineStr">
        <is>
          <t>Eletrocardiogramas</t>
        </is>
      </c>
      <c r="D166" s="67" t="n">
        <v>0</v>
      </c>
      <c r="E166" s="67" t="n">
        <v>0</v>
      </c>
      <c r="F166" s="67" t="n">
        <v>0</v>
      </c>
      <c r="G166" s="66" t="n">
        <v>3</v>
      </c>
      <c r="H166" s="67" t="n">
        <v>0</v>
      </c>
      <c r="I166" s="66" t="n">
        <v>1</v>
      </c>
      <c r="J166" s="67" t="n">
        <v>0</v>
      </c>
      <c r="K166" s="66" t="n">
        <v>4</v>
      </c>
      <c r="L166" s="66" t="n">
        <v>1</v>
      </c>
      <c r="M166" s="67" t="n">
        <v>0</v>
      </c>
      <c r="N166" s="66" t="n">
        <v>7</v>
      </c>
      <c r="O166" s="67" t="n">
        <v>0</v>
      </c>
      <c r="P166" s="66" t="n">
        <v>1</v>
      </c>
    </row>
    <row r="167" ht="15.75" customHeight="1" s="45">
      <c r="A167" s="61" t="n">
        <v>46216</v>
      </c>
      <c r="B167" s="82" t="inlineStr">
        <is>
          <t>Pós-Projeto</t>
        </is>
      </c>
      <c r="C167" s="85" t="inlineStr">
        <is>
          <t>GAEs Abertas</t>
        </is>
      </c>
      <c r="D167" s="69" t="n">
        <v>274</v>
      </c>
      <c r="E167" s="69" t="n">
        <v>193</v>
      </c>
      <c r="F167" s="69" t="n">
        <v>185</v>
      </c>
      <c r="G167" s="69" t="n">
        <v>153</v>
      </c>
      <c r="H167" s="69" t="n">
        <v>204</v>
      </c>
      <c r="I167" s="69" t="n">
        <v>234</v>
      </c>
      <c r="J167" s="69" t="n">
        <v>136</v>
      </c>
      <c r="K167" s="69" t="n">
        <v>325</v>
      </c>
      <c r="L167" s="69" t="n">
        <v>143</v>
      </c>
      <c r="M167" s="69" t="n">
        <v>275</v>
      </c>
      <c r="N167" s="69" t="n">
        <v>236</v>
      </c>
      <c r="O167" s="69" t="n">
        <v>311</v>
      </c>
      <c r="P167" s="69" t="n">
        <v>242</v>
      </c>
    </row>
    <row r="168" ht="15.75" customHeight="1" s="45">
      <c r="A168" s="61" t="n">
        <v>46216</v>
      </c>
      <c r="B168" s="82" t="inlineStr">
        <is>
          <t>Pós-Projeto</t>
        </is>
      </c>
      <c r="C168" s="85" t="inlineStr">
        <is>
          <t>GAEs Classificadas</t>
        </is>
      </c>
      <c r="D168" s="69" t="n">
        <v>256</v>
      </c>
      <c r="E168" s="69" t="n">
        <v>184</v>
      </c>
      <c r="F168" s="69" t="n">
        <v>178</v>
      </c>
      <c r="G168" s="69" t="n">
        <v>152</v>
      </c>
      <c r="H168" s="69" t="n">
        <v>198</v>
      </c>
      <c r="I168" s="69" t="n">
        <v>213</v>
      </c>
      <c r="J168" s="69" t="n">
        <v>135</v>
      </c>
      <c r="K168" s="69" t="n">
        <v>291</v>
      </c>
      <c r="L168" s="69" t="n">
        <v>133</v>
      </c>
      <c r="M168" s="69" t="n">
        <v>266</v>
      </c>
      <c r="N168" s="69" t="n">
        <v>229</v>
      </c>
      <c r="O168" s="69" t="n">
        <v>299</v>
      </c>
      <c r="P168" s="69" t="n">
        <v>235</v>
      </c>
    </row>
    <row r="169" ht="15.75" customHeight="1" s="45">
      <c r="A169" s="61" t="n">
        <v>46216</v>
      </c>
      <c r="B169" s="82" t="inlineStr">
        <is>
          <t>Pós-Projeto</t>
        </is>
      </c>
      <c r="C169" s="86" t="inlineStr">
        <is>
          <t>Percentual de GAEs abertas classificadas</t>
        </is>
      </c>
      <c r="D169" s="71">
        <f>IFERROR(D168/D167,"-")</f>
        <v/>
      </c>
      <c r="E169" s="71">
        <f>IFERROR(E168/E167,"-")</f>
        <v/>
      </c>
      <c r="F169" s="71">
        <f>IFERROR(F168/F167,"-")</f>
        <v/>
      </c>
      <c r="G169" s="71">
        <f>IFERROR(G168/G167,"-")</f>
        <v/>
      </c>
      <c r="H169" s="71">
        <f>IFERROR(H168/H167,"-")</f>
        <v/>
      </c>
      <c r="I169" s="71">
        <f>IFERROR(I168/I167,"-")</f>
        <v/>
      </c>
      <c r="J169" s="71">
        <f>IFERROR(J168/J167,"-")</f>
        <v/>
      </c>
      <c r="K169" s="71">
        <f>IFERROR(K168/K167,"-")</f>
        <v/>
      </c>
      <c r="L169" s="71">
        <f>IFERROR(L168/L167,"-")</f>
        <v/>
      </c>
      <c r="M169" s="71">
        <f>IFERROR(M168/M167,"-")</f>
        <v/>
      </c>
      <c r="N169" s="71">
        <f>IFERROR(N168/N167,"-")</f>
        <v/>
      </c>
      <c r="O169" s="71">
        <f>IFERROR(O168/O167,"-")</f>
        <v/>
      </c>
      <c r="P169" s="71">
        <f>IFERROR(P168/P167,"-")</f>
        <v/>
      </c>
    </row>
    <row r="170" ht="15.75" customHeight="1" s="45">
      <c r="A170" s="61" t="n">
        <v>46216</v>
      </c>
      <c r="B170" s="82" t="inlineStr">
        <is>
          <t>Pós-Projeto</t>
        </is>
      </c>
      <c r="C170" s="87" t="inlineStr">
        <is>
          <t>Tempo Médio — 🟡 Amarelo (hh:mm)</t>
        </is>
      </c>
      <c r="D170" s="73" t="n">
        <v>0.0612037037037037</v>
      </c>
      <c r="E170" s="73" t="n">
        <v>0.05740740740740741</v>
      </c>
      <c r="F170" s="73" t="n">
        <v>0.02721064814814815</v>
      </c>
      <c r="G170" s="73" t="n">
        <v>0.05056712962962963</v>
      </c>
      <c r="H170" s="73" t="n">
        <v>0.1092013888888889</v>
      </c>
      <c r="I170" s="73" t="n">
        <v>0.096875</v>
      </c>
      <c r="J170" s="73" t="n">
        <v>0.03866898148148148</v>
      </c>
      <c r="K170" s="73" t="n">
        <v>0.1089236111111111</v>
      </c>
      <c r="L170" s="73" t="n">
        <v>0.1513888888888889</v>
      </c>
      <c r="M170" s="73" t="n">
        <v>0.0403587962962963</v>
      </c>
      <c r="N170" s="73" t="n">
        <v>0.04666666666666667</v>
      </c>
      <c r="O170" s="73" t="n">
        <v>0.03796296296296296</v>
      </c>
      <c r="P170" s="73" t="n">
        <v>0.04349537037037037</v>
      </c>
    </row>
    <row r="171" ht="15.75" customHeight="1" s="45">
      <c r="A171" s="61" t="n">
        <v>46216</v>
      </c>
      <c r="B171" s="82" t="inlineStr">
        <is>
          <t>Pós-Projeto</t>
        </is>
      </c>
      <c r="C171" s="88" t="inlineStr">
        <is>
          <t>Tempo Médio — 🟠 Laranja (hh:mm)</t>
        </is>
      </c>
      <c r="D171" s="75" t="n">
        <v>0.01194444444444445</v>
      </c>
      <c r="E171" s="75" t="n">
        <v>0.01322916666666667</v>
      </c>
      <c r="F171" s="75" t="n">
        <v>0.006770833333333334</v>
      </c>
      <c r="G171" s="75" t="n">
        <v>0.002175925925925926</v>
      </c>
      <c r="H171" s="75" t="n">
        <v>0.008043981481481482</v>
      </c>
      <c r="I171" s="75" t="n">
        <v>0.006770833333333334</v>
      </c>
      <c r="J171" s="75" t="n">
        <v>0.004525462962962963</v>
      </c>
      <c r="K171" s="75" t="n">
        <v>0.01599537037037037</v>
      </c>
      <c r="L171" s="75" t="n">
        <v>0.01452546296296296</v>
      </c>
      <c r="M171" s="75" t="n">
        <v>0.01159722222222222</v>
      </c>
      <c r="N171" s="75" t="n">
        <v>0.01082175925925926</v>
      </c>
      <c r="O171" s="75" t="n">
        <v>0.007037037037037037</v>
      </c>
      <c r="P171" s="75" t="n">
        <v>0.008333333333333333</v>
      </c>
    </row>
    <row r="172" ht="15.75" customHeight="1" s="45">
      <c r="A172" s="76" t="n">
        <v>46216</v>
      </c>
      <c r="B172" s="82" t="inlineStr">
        <is>
          <t>Pós-Projeto</t>
        </is>
      </c>
      <c r="C172" s="91" t="inlineStr">
        <is>
          <t>Tempo Médio — 🟢 Verde   (hh:mm)</t>
        </is>
      </c>
      <c r="D172" s="79" t="n">
        <v>0.08810185185185185</v>
      </c>
      <c r="E172" s="79" t="n">
        <v>0.157662037037037</v>
      </c>
      <c r="F172" s="79" t="n">
        <v>0.1267476851851852</v>
      </c>
      <c r="G172" s="79" t="n">
        <v>0.08598379629629629</v>
      </c>
      <c r="H172" s="79" t="n">
        <v>0.1916203703703704</v>
      </c>
      <c r="I172" s="79" t="n">
        <v>0.1533217592592593</v>
      </c>
      <c r="J172" s="79" t="n">
        <v>0.04092592592592593</v>
      </c>
      <c r="K172" s="79" t="n">
        <v>0.1130671296296296</v>
      </c>
      <c r="L172" s="79" t="n">
        <v>0.2276851851851852</v>
      </c>
      <c r="M172" s="79" t="n">
        <v>0.1485648148148148</v>
      </c>
      <c r="N172" s="79" t="n">
        <v>0.1320486111111111</v>
      </c>
      <c r="O172" s="79" t="n">
        <v>0.09097222222222222</v>
      </c>
      <c r="P172" s="79" t="n">
        <v>0.06354166666666666</v>
      </c>
    </row>
    <row r="173" ht="15.75" customHeight="1" s="45">
      <c r="A173" s="57" t="n">
        <v>46217</v>
      </c>
      <c r="B173" s="81" t="inlineStr">
        <is>
          <t>Pós-Projeto</t>
        </is>
      </c>
      <c r="C173" s="59" t="inlineStr">
        <is>
          <t>Acolhim. + Atend. Urgência + Atend. UPA</t>
        </is>
      </c>
      <c r="D173" s="60">
        <f>SUM(D174:D176)</f>
        <v/>
      </c>
      <c r="E173" s="60">
        <f>SUM(E174:E176)</f>
        <v/>
      </c>
      <c r="F173" s="60">
        <f>SUM(F174:F176)</f>
        <v/>
      </c>
      <c r="G173" s="60">
        <f>SUM(G174:G176)</f>
        <v/>
      </c>
      <c r="H173" s="60">
        <f>SUM(H174:H176)</f>
        <v/>
      </c>
      <c r="I173" s="60">
        <f>SUM(I174:I176)</f>
        <v/>
      </c>
      <c r="J173" s="60">
        <f>SUM(J174:J176)</f>
        <v/>
      </c>
      <c r="K173" s="60">
        <f>SUM(K174:K176)</f>
        <v/>
      </c>
      <c r="L173" s="60">
        <f>SUM(L174:L176)</f>
        <v/>
      </c>
      <c r="M173" s="60">
        <f>SUM(M174:M176)</f>
        <v/>
      </c>
      <c r="N173" s="60">
        <f>SUM(N174:N176)</f>
        <v/>
      </c>
      <c r="O173" s="60">
        <f>SUM(O174:O176)</f>
        <v/>
      </c>
      <c r="P173" s="60">
        <f>SUM(P174:P176)</f>
        <v/>
      </c>
    </row>
    <row r="174" ht="15.75" customHeight="1" s="45">
      <c r="A174" s="61" t="n">
        <v>46217</v>
      </c>
      <c r="B174" s="82" t="inlineStr">
        <is>
          <t>Pós-Projeto</t>
        </is>
      </c>
      <c r="C174" s="83" t="inlineStr">
        <is>
          <t>Acolhimento c/ Classif. de Risco</t>
        </is>
      </c>
      <c r="D174" s="64" t="n">
        <v>189</v>
      </c>
      <c r="E174" s="64" t="n">
        <v>180</v>
      </c>
      <c r="F174" s="64" t="n">
        <v>157</v>
      </c>
      <c r="G174" s="64" t="n">
        <v>146</v>
      </c>
      <c r="H174" s="64" t="n">
        <v>153</v>
      </c>
      <c r="I174" s="64" t="n">
        <v>198</v>
      </c>
      <c r="J174" s="64" t="n">
        <v>119</v>
      </c>
      <c r="K174" s="64" t="n">
        <v>265</v>
      </c>
      <c r="L174" s="64" t="n">
        <v>137</v>
      </c>
      <c r="M174" s="64" t="n">
        <v>252</v>
      </c>
      <c r="N174" s="64" t="n">
        <v>197</v>
      </c>
      <c r="O174" s="64" t="n">
        <v>290</v>
      </c>
      <c r="P174" s="64" t="n">
        <v>218</v>
      </c>
    </row>
    <row r="175" ht="15.75" customHeight="1" s="45">
      <c r="A175" s="61" t="n">
        <v>46217</v>
      </c>
      <c r="B175" s="82" t="inlineStr">
        <is>
          <t>Pós-Projeto</t>
        </is>
      </c>
      <c r="C175" s="84" t="inlineStr">
        <is>
          <t>Atend. Urgência Obs. ≤ 24h</t>
        </is>
      </c>
      <c r="D175" s="66" t="n">
        <v>32</v>
      </c>
      <c r="E175" s="66" t="n">
        <v>15</v>
      </c>
      <c r="F175" s="66" t="n">
        <v>19</v>
      </c>
      <c r="G175" s="66" t="n">
        <v>10</v>
      </c>
      <c r="H175" s="66" t="n">
        <v>16</v>
      </c>
      <c r="I175" s="66" t="n">
        <v>14</v>
      </c>
      <c r="J175" s="66" t="n">
        <v>9</v>
      </c>
      <c r="K175" s="66" t="n">
        <v>41</v>
      </c>
      <c r="L175" s="66" t="n">
        <v>36</v>
      </c>
      <c r="M175" s="66" t="n">
        <v>19</v>
      </c>
      <c r="N175" s="66" t="n">
        <v>15</v>
      </c>
      <c r="O175" s="66" t="n">
        <v>12</v>
      </c>
      <c r="P175" s="66" t="n">
        <v>22</v>
      </c>
    </row>
    <row r="176" ht="15.75" customHeight="1" s="45">
      <c r="A176" s="61" t="n">
        <v>46217</v>
      </c>
      <c r="B176" s="82" t="inlineStr">
        <is>
          <t>Pós-Projeto</t>
        </is>
      </c>
      <c r="C176" s="83" t="inlineStr">
        <is>
          <t>Atend. Médico em UPA</t>
        </is>
      </c>
      <c r="D176" s="64" t="n">
        <v>131</v>
      </c>
      <c r="E176" s="64" t="n">
        <v>105</v>
      </c>
      <c r="F176" s="64" t="n">
        <v>130</v>
      </c>
      <c r="G176" s="64" t="n">
        <v>106</v>
      </c>
      <c r="H176" s="64" t="n">
        <v>99</v>
      </c>
      <c r="I176" s="64" t="n">
        <v>153</v>
      </c>
      <c r="J176" s="64" t="n">
        <v>84</v>
      </c>
      <c r="K176" s="64" t="n">
        <v>213</v>
      </c>
      <c r="L176" s="64" t="n">
        <v>113</v>
      </c>
      <c r="M176" s="64" t="n">
        <v>179</v>
      </c>
      <c r="N176" s="64" t="n">
        <v>167</v>
      </c>
      <c r="O176" s="64" t="n">
        <v>201</v>
      </c>
      <c r="P176" s="64" t="n">
        <v>98</v>
      </c>
    </row>
    <row r="177" ht="15.75" customHeight="1" s="45">
      <c r="A177" s="61" t="n">
        <v>46217</v>
      </c>
      <c r="B177" s="82" t="inlineStr">
        <is>
          <t>Pós-Projeto</t>
        </is>
      </c>
      <c r="C177" s="84" t="inlineStr">
        <is>
          <t>Exames Laboratoriais</t>
        </is>
      </c>
      <c r="D177" s="66" t="n">
        <v>653</v>
      </c>
      <c r="E177" s="66" t="n">
        <v>513</v>
      </c>
      <c r="F177" s="66" t="n">
        <v>440</v>
      </c>
      <c r="G177" s="66" t="n">
        <v>276</v>
      </c>
      <c r="H177" s="66" t="n">
        <v>400</v>
      </c>
      <c r="I177" s="66" t="n">
        <v>578</v>
      </c>
      <c r="J177" s="66" t="n">
        <v>220</v>
      </c>
      <c r="K177" s="66" t="n">
        <v>1156</v>
      </c>
      <c r="L177" s="66" t="n">
        <v>726</v>
      </c>
      <c r="M177" s="66" t="n">
        <v>790</v>
      </c>
      <c r="N177" s="66" t="n">
        <v>623</v>
      </c>
      <c r="O177" s="66" t="n">
        <v>299</v>
      </c>
      <c r="P177" s="66" t="n">
        <v>188</v>
      </c>
    </row>
    <row r="178" ht="15.75" customHeight="1" s="45">
      <c r="A178" s="61" t="n">
        <v>46217</v>
      </c>
      <c r="B178" s="82" t="inlineStr">
        <is>
          <t>Pós-Projeto</t>
        </is>
      </c>
      <c r="C178" s="83" t="inlineStr">
        <is>
          <t>Radiografias</t>
        </is>
      </c>
      <c r="D178" s="64" t="n">
        <v>22</v>
      </c>
      <c r="E178" s="64" t="n">
        <v>20</v>
      </c>
      <c r="F178" s="64" t="n">
        <v>35</v>
      </c>
      <c r="G178" s="64" t="n">
        <v>23</v>
      </c>
      <c r="H178" s="64" t="n">
        <v>24</v>
      </c>
      <c r="I178" s="64" t="n">
        <v>22</v>
      </c>
      <c r="J178" s="64" t="n">
        <v>21</v>
      </c>
      <c r="K178" s="64" t="n">
        <v>81</v>
      </c>
      <c r="L178" s="64" t="n">
        <v>25</v>
      </c>
      <c r="M178" s="64" t="n">
        <v>53</v>
      </c>
      <c r="N178" s="64" t="n">
        <v>10</v>
      </c>
      <c r="O178" s="64" t="n">
        <v>49</v>
      </c>
      <c r="P178" s="64" t="n">
        <v>51</v>
      </c>
    </row>
    <row r="179" ht="15.75" customHeight="1" s="45">
      <c r="A179" s="61" t="n">
        <v>46217</v>
      </c>
      <c r="B179" s="82" t="inlineStr">
        <is>
          <t>Pós-Projeto</t>
        </is>
      </c>
      <c r="C179" s="84" t="inlineStr">
        <is>
          <t>Eletrocardiogramas</t>
        </is>
      </c>
      <c r="D179" s="66" t="n">
        <v>21</v>
      </c>
      <c r="E179" s="67" t="n">
        <v>0</v>
      </c>
      <c r="F179" s="67" t="n">
        <v>0</v>
      </c>
      <c r="G179" s="66" t="n">
        <v>15</v>
      </c>
      <c r="H179" s="67" t="n">
        <v>0</v>
      </c>
      <c r="I179" s="67" t="n">
        <v>0</v>
      </c>
      <c r="J179" s="67" t="n">
        <v>0</v>
      </c>
      <c r="K179" s="66" t="n">
        <v>10</v>
      </c>
      <c r="L179" s="66" t="n">
        <v>13</v>
      </c>
      <c r="M179" s="67" t="n">
        <v>0</v>
      </c>
      <c r="N179" s="66" t="n">
        <v>9</v>
      </c>
      <c r="O179" s="66" t="n">
        <v>4</v>
      </c>
      <c r="P179" s="66" t="n">
        <v>16</v>
      </c>
    </row>
    <row r="180" ht="15.75" customHeight="1" s="45">
      <c r="A180" s="61" t="n">
        <v>46217</v>
      </c>
      <c r="B180" s="82" t="inlineStr">
        <is>
          <t>Pós-Projeto</t>
        </is>
      </c>
      <c r="C180" s="85" t="inlineStr">
        <is>
          <t>GAEs Abertas</t>
        </is>
      </c>
      <c r="D180" s="69" t="n">
        <v>216</v>
      </c>
      <c r="E180" s="69" t="n">
        <v>183</v>
      </c>
      <c r="F180" s="69" t="n">
        <v>158</v>
      </c>
      <c r="G180" s="69" t="n">
        <v>153</v>
      </c>
      <c r="H180" s="69" t="n">
        <v>158</v>
      </c>
      <c r="I180" s="69" t="n">
        <v>210</v>
      </c>
      <c r="J180" s="69" t="n">
        <v>123</v>
      </c>
      <c r="K180" s="69" t="n">
        <v>290</v>
      </c>
      <c r="L180" s="69" t="n">
        <v>141</v>
      </c>
      <c r="M180" s="69" t="n">
        <v>256</v>
      </c>
      <c r="N180" s="69" t="n">
        <v>208</v>
      </c>
      <c r="O180" s="69" t="n">
        <v>297</v>
      </c>
      <c r="P180" s="69" t="n">
        <v>231</v>
      </c>
    </row>
    <row r="181" ht="15.75" customHeight="1" s="45">
      <c r="A181" s="61" t="n">
        <v>46217</v>
      </c>
      <c r="B181" s="82" t="inlineStr">
        <is>
          <t>Pós-Projeto</t>
        </is>
      </c>
      <c r="C181" s="85" t="inlineStr">
        <is>
          <t>GAEs Classificadas</t>
        </is>
      </c>
      <c r="D181" s="69" t="n">
        <v>190</v>
      </c>
      <c r="E181" s="69" t="n">
        <v>180</v>
      </c>
      <c r="F181" s="69" t="n">
        <v>158</v>
      </c>
      <c r="G181" s="69" t="n">
        <v>145</v>
      </c>
      <c r="H181" s="69" t="n">
        <v>152</v>
      </c>
      <c r="I181" s="69" t="n">
        <v>195</v>
      </c>
      <c r="J181" s="69" t="n">
        <v>119</v>
      </c>
      <c r="K181" s="69" t="n">
        <v>261</v>
      </c>
      <c r="L181" s="69" t="n">
        <v>137</v>
      </c>
      <c r="M181" s="69" t="n">
        <v>249</v>
      </c>
      <c r="N181" s="69" t="n">
        <v>195</v>
      </c>
      <c r="O181" s="69" t="n">
        <v>289</v>
      </c>
      <c r="P181" s="69" t="n">
        <v>217</v>
      </c>
    </row>
    <row r="182" ht="15.75" customHeight="1" s="45">
      <c r="A182" s="61" t="n">
        <v>46217</v>
      </c>
      <c r="B182" s="82" t="inlineStr">
        <is>
          <t>Pós-Projeto</t>
        </is>
      </c>
      <c r="C182" s="86" t="inlineStr">
        <is>
          <t>Percentual de GAEs abertas classificadas</t>
        </is>
      </c>
      <c r="D182" s="71">
        <f>IFERROR(D181/D180,"-")</f>
        <v/>
      </c>
      <c r="E182" s="71">
        <f>IFERROR(E181/E180,"-")</f>
        <v/>
      </c>
      <c r="F182" s="71">
        <f>IFERROR(F181/F180,"-")</f>
        <v/>
      </c>
      <c r="G182" s="71">
        <f>IFERROR(G181/G180,"-")</f>
        <v/>
      </c>
      <c r="H182" s="71">
        <f>IFERROR(H181/H180,"-")</f>
        <v/>
      </c>
      <c r="I182" s="71">
        <f>IFERROR(I181/I180,"-")</f>
        <v/>
      </c>
      <c r="J182" s="71">
        <f>IFERROR(J181/J180,"-")</f>
        <v/>
      </c>
      <c r="K182" s="71">
        <f>IFERROR(K181/K180,"-")</f>
        <v/>
      </c>
      <c r="L182" s="71">
        <f>IFERROR(L181/L180,"-")</f>
        <v/>
      </c>
      <c r="M182" s="71">
        <f>IFERROR(M181/M180,"-")</f>
        <v/>
      </c>
      <c r="N182" s="71">
        <f>IFERROR(N181/N180,"-")</f>
        <v/>
      </c>
      <c r="O182" s="71">
        <f>IFERROR(O181/O180,"-")</f>
        <v/>
      </c>
      <c r="P182" s="71">
        <f>IFERROR(P181/P180,"-")</f>
        <v/>
      </c>
    </row>
    <row r="183" ht="15.75" customHeight="1" s="45">
      <c r="A183" s="61" t="n">
        <v>46217</v>
      </c>
      <c r="B183" s="82" t="inlineStr">
        <is>
          <t>Pós-Projeto</t>
        </is>
      </c>
      <c r="C183" s="87" t="inlineStr">
        <is>
          <t>Tempo Médio — 🟡 Amarelo (hh:mm)</t>
        </is>
      </c>
      <c r="D183" s="73" t="n">
        <v>0.03583333333333334</v>
      </c>
      <c r="E183" s="73" t="n">
        <v>0.03802083333333333</v>
      </c>
      <c r="F183" s="73" t="n">
        <v>0.02136574074074074</v>
      </c>
      <c r="G183" s="73" t="n">
        <v>0.09372685185185185</v>
      </c>
      <c r="H183" s="73" t="n">
        <v>0.06555555555555556</v>
      </c>
      <c r="I183" s="73" t="n">
        <v>0.03969907407407407</v>
      </c>
      <c r="J183" s="73" t="n">
        <v>0.06071759259259259</v>
      </c>
      <c r="K183" s="73" t="n">
        <v>0.05996527777777778</v>
      </c>
      <c r="L183" s="73" t="n">
        <v>0.1225462962962963</v>
      </c>
      <c r="M183" s="73" t="n">
        <v>0.03152777777777778</v>
      </c>
      <c r="N183" s="73" t="n">
        <v>0.0895949074074074</v>
      </c>
      <c r="O183" s="73" t="n">
        <v>0.0290162037037037</v>
      </c>
      <c r="P183" s="73" t="n">
        <v>0.1129398148148148</v>
      </c>
    </row>
    <row r="184" ht="15.75" customHeight="1" s="45">
      <c r="A184" s="61" t="n">
        <v>46217</v>
      </c>
      <c r="B184" s="82" t="inlineStr">
        <is>
          <t>Pós-Projeto</t>
        </is>
      </c>
      <c r="C184" s="88" t="inlineStr">
        <is>
          <t>Tempo Médio — 🟠 Laranja (hh:mm)</t>
        </is>
      </c>
      <c r="D184" s="75" t="n">
        <v>0.006064814814814815</v>
      </c>
      <c r="E184" s="75" t="n">
        <v>0.01195601851851852</v>
      </c>
      <c r="F184" s="75" t="n">
        <v>0.006840277777777778</v>
      </c>
      <c r="G184" s="75" t="n">
        <v>0.007962962962962963</v>
      </c>
      <c r="H184" s="75" t="n">
        <v>0.006759259259259259</v>
      </c>
      <c r="I184" s="75" t="n">
        <v>0.006921296296296296</v>
      </c>
      <c r="J184" s="75" t="n">
        <v>0.05025462962962963</v>
      </c>
      <c r="K184" s="75" t="n">
        <v>0.009131944444444444</v>
      </c>
      <c r="L184" s="75" t="n">
        <v>0.0116087962962963</v>
      </c>
      <c r="M184" s="75" t="n">
        <v>0.01392361111111111</v>
      </c>
      <c r="N184" s="75" t="n">
        <v>0.01010416666666667</v>
      </c>
      <c r="O184" s="75" t="n">
        <v>0.007488425925925926</v>
      </c>
      <c r="P184" s="75" t="n">
        <v>0.02180555555555556</v>
      </c>
    </row>
    <row r="185" ht="15.75" customHeight="1" s="45">
      <c r="A185" s="76" t="n">
        <v>46217</v>
      </c>
      <c r="B185" s="82" t="inlineStr">
        <is>
          <t>Pós-Projeto</t>
        </is>
      </c>
      <c r="C185" s="91" t="inlineStr">
        <is>
          <t>Tempo Médio — 🟢 Verde   (hh:mm)</t>
        </is>
      </c>
      <c r="D185" s="79" t="n">
        <v>0.06675925925925925</v>
      </c>
      <c r="E185" s="79" t="n">
        <v>0.06444444444444444</v>
      </c>
      <c r="F185" s="79" t="n">
        <v>0.076875</v>
      </c>
      <c r="G185" s="79" t="n">
        <v>0.1274074074074074</v>
      </c>
      <c r="H185" s="79" t="n">
        <v>0.1022569444444444</v>
      </c>
      <c r="I185" s="79" t="n">
        <v>0.1127546296296296</v>
      </c>
      <c r="J185" s="79" t="n">
        <v>0.1012962962962963</v>
      </c>
      <c r="K185" s="79" t="n">
        <v>0.1396759259259259</v>
      </c>
      <c r="L185" s="79" t="n">
        <v>0.1418981481481481</v>
      </c>
      <c r="M185" s="79" t="n">
        <v>0.1208101851851852</v>
      </c>
      <c r="N185" s="79" t="n">
        <v>0.08962962962962963</v>
      </c>
      <c r="O185" s="79" t="n">
        <v>0.1003703703703704</v>
      </c>
      <c r="P185" s="79" t="n">
        <v>0.09432870370370371</v>
      </c>
    </row>
    <row r="186" ht="15.75" customHeight="1" s="45">
      <c r="A186" s="57" t="n">
        <v>46218</v>
      </c>
      <c r="B186" s="81" t="inlineStr">
        <is>
          <t>Pós-Projeto</t>
        </is>
      </c>
      <c r="C186" s="59" t="inlineStr">
        <is>
          <t>Acolhim. + Atend. Urgência + Atend. UPA</t>
        </is>
      </c>
      <c r="D186" s="60">
        <f>SUM(D187:D189)</f>
        <v/>
      </c>
      <c r="E186" s="60">
        <f>SUM(E187:E189)</f>
        <v/>
      </c>
      <c r="F186" s="60">
        <f>SUM(F187:F189)</f>
        <v/>
      </c>
      <c r="G186" s="60">
        <f>SUM(G187:G189)</f>
        <v/>
      </c>
      <c r="H186" s="60">
        <f>SUM(H187:H189)</f>
        <v/>
      </c>
      <c r="I186" s="60">
        <f>SUM(I187:I189)</f>
        <v/>
      </c>
      <c r="J186" s="60">
        <f>SUM(J187:J189)</f>
        <v/>
      </c>
      <c r="K186" s="60">
        <f>SUM(K187:K189)</f>
        <v/>
      </c>
      <c r="L186" s="60">
        <f>SUM(L187:L189)</f>
        <v/>
      </c>
      <c r="M186" s="60">
        <f>SUM(M187:M189)</f>
        <v/>
      </c>
      <c r="N186" s="60">
        <f>SUM(N187:N189)</f>
        <v/>
      </c>
      <c r="O186" s="60">
        <f>SUM(O187:O189)</f>
        <v/>
      </c>
      <c r="P186" s="60">
        <f>SUM(P187:P189)</f>
        <v/>
      </c>
    </row>
    <row r="187" ht="15.75" customHeight="1" s="45">
      <c r="A187" s="61" t="n">
        <v>46218</v>
      </c>
      <c r="B187" s="82" t="inlineStr">
        <is>
          <t>Pós-Projeto</t>
        </is>
      </c>
      <c r="C187" s="83" t="inlineStr">
        <is>
          <t>Acolhimento c/ Classif. de Risco</t>
        </is>
      </c>
      <c r="D187" s="64" t="n">
        <v>198</v>
      </c>
      <c r="E187" s="64" t="n">
        <v>160</v>
      </c>
      <c r="F187" s="64" t="n">
        <v>155</v>
      </c>
      <c r="G187" s="64" t="n">
        <v>137</v>
      </c>
      <c r="H187" s="64" t="n">
        <v>150</v>
      </c>
      <c r="I187" s="64" t="n">
        <v>192</v>
      </c>
      <c r="J187" s="64" t="n">
        <v>140</v>
      </c>
      <c r="K187" s="64" t="n">
        <v>241</v>
      </c>
      <c r="L187" s="64" t="n">
        <v>122</v>
      </c>
      <c r="M187" s="64" t="n">
        <v>191</v>
      </c>
      <c r="N187" s="64" t="n">
        <v>166</v>
      </c>
      <c r="O187" s="64" t="n">
        <v>261</v>
      </c>
      <c r="P187" s="64" t="n">
        <v>209</v>
      </c>
    </row>
    <row r="188" ht="15.75" customHeight="1" s="45">
      <c r="A188" s="61" t="n">
        <v>46218</v>
      </c>
      <c r="B188" s="82" t="inlineStr">
        <is>
          <t>Pós-Projeto</t>
        </is>
      </c>
      <c r="C188" s="84" t="inlineStr">
        <is>
          <t>Atend. Urgência Obs. ≤ 24h</t>
        </is>
      </c>
      <c r="D188" s="66" t="n">
        <v>20</v>
      </c>
      <c r="E188" s="66" t="n">
        <v>17</v>
      </c>
      <c r="F188" s="66" t="n">
        <v>16</v>
      </c>
      <c r="G188" s="66" t="n">
        <v>10</v>
      </c>
      <c r="H188" s="66" t="n">
        <v>18</v>
      </c>
      <c r="I188" s="66" t="n">
        <v>27</v>
      </c>
      <c r="J188" s="66" t="n">
        <v>15</v>
      </c>
      <c r="K188" s="66" t="n">
        <v>31</v>
      </c>
      <c r="L188" s="66" t="n">
        <v>44</v>
      </c>
      <c r="M188" s="66" t="n">
        <v>66</v>
      </c>
      <c r="N188" s="66" t="n">
        <v>10</v>
      </c>
      <c r="O188" s="66" t="n">
        <v>21</v>
      </c>
      <c r="P188" s="66" t="n">
        <v>24</v>
      </c>
    </row>
    <row r="189" ht="15.75" customHeight="1" s="45">
      <c r="A189" s="61" t="n">
        <v>46218</v>
      </c>
      <c r="B189" s="82" t="inlineStr">
        <is>
          <t>Pós-Projeto</t>
        </is>
      </c>
      <c r="C189" s="83" t="inlineStr">
        <is>
          <t>Atend. Médico em UPA</t>
        </is>
      </c>
      <c r="D189" s="64" t="n">
        <v>156</v>
      </c>
      <c r="E189" s="64" t="n">
        <v>106</v>
      </c>
      <c r="F189" s="64" t="n">
        <v>109</v>
      </c>
      <c r="G189" s="64" t="n">
        <v>95</v>
      </c>
      <c r="H189" s="64" t="n">
        <v>92</v>
      </c>
      <c r="I189" s="64" t="n">
        <v>154</v>
      </c>
      <c r="J189" s="64" t="n">
        <v>110</v>
      </c>
      <c r="K189" s="64" t="n">
        <v>193</v>
      </c>
      <c r="L189" s="64" t="n">
        <v>109</v>
      </c>
      <c r="M189" s="64" t="n">
        <v>128</v>
      </c>
      <c r="N189" s="64" t="n">
        <v>139</v>
      </c>
      <c r="O189" s="64" t="n">
        <v>195</v>
      </c>
      <c r="P189" s="64" t="n">
        <v>119</v>
      </c>
    </row>
    <row r="190" ht="15.75" customHeight="1" s="45">
      <c r="A190" s="61" t="n">
        <v>46218</v>
      </c>
      <c r="B190" s="82" t="inlineStr">
        <is>
          <t>Pós-Projeto</t>
        </is>
      </c>
      <c r="C190" s="84" t="inlineStr">
        <is>
          <t>Exames Laboratoriais</t>
        </is>
      </c>
      <c r="D190" s="66" t="n">
        <v>624</v>
      </c>
      <c r="E190" s="66" t="n">
        <v>400</v>
      </c>
      <c r="F190" s="66" t="n">
        <v>515</v>
      </c>
      <c r="G190" s="66" t="n">
        <v>348</v>
      </c>
      <c r="H190" s="66" t="n">
        <v>391</v>
      </c>
      <c r="I190" s="66" t="n">
        <v>581</v>
      </c>
      <c r="J190" s="66" t="n">
        <v>303</v>
      </c>
      <c r="K190" s="66" t="n">
        <v>864</v>
      </c>
      <c r="L190" s="66" t="n">
        <v>455</v>
      </c>
      <c r="M190" s="66" t="n">
        <v>551</v>
      </c>
      <c r="N190" s="66" t="n">
        <v>668</v>
      </c>
      <c r="O190" s="66" t="n">
        <v>563</v>
      </c>
      <c r="P190" s="66" t="n">
        <v>732</v>
      </c>
    </row>
    <row r="191" ht="15.75" customHeight="1" s="45">
      <c r="A191" s="61" t="n">
        <v>46218</v>
      </c>
      <c r="B191" s="82" t="inlineStr">
        <is>
          <t>Pós-Projeto</t>
        </is>
      </c>
      <c r="C191" s="83" t="inlineStr">
        <is>
          <t>Radiografias</t>
        </is>
      </c>
      <c r="D191" s="64" t="n">
        <v>28</v>
      </c>
      <c r="E191" s="64" t="n">
        <v>23</v>
      </c>
      <c r="F191" s="64" t="n">
        <v>15</v>
      </c>
      <c r="G191" s="64" t="n">
        <v>20</v>
      </c>
      <c r="H191" s="64" t="n">
        <v>16</v>
      </c>
      <c r="I191" s="64" t="n">
        <v>29</v>
      </c>
      <c r="J191" s="64" t="n">
        <v>17</v>
      </c>
      <c r="K191" s="64" t="n">
        <v>41</v>
      </c>
      <c r="L191" s="64" t="n">
        <v>13</v>
      </c>
      <c r="M191" s="64" t="n">
        <v>36</v>
      </c>
      <c r="N191" s="64" t="n">
        <v>28</v>
      </c>
      <c r="O191" s="64" t="n">
        <v>39</v>
      </c>
      <c r="P191" s="64" t="n">
        <v>33</v>
      </c>
    </row>
    <row r="192" ht="15.75" customHeight="1" s="45">
      <c r="A192" s="61" t="n">
        <v>46218</v>
      </c>
      <c r="B192" s="82" t="inlineStr">
        <is>
          <t>Pós-Projeto</t>
        </is>
      </c>
      <c r="C192" s="84" t="inlineStr">
        <is>
          <t>Eletrocardiogramas</t>
        </is>
      </c>
      <c r="D192" s="66" t="n">
        <v>20</v>
      </c>
      <c r="E192" s="67" t="n">
        <v>0</v>
      </c>
      <c r="F192" s="67" t="n">
        <v>0</v>
      </c>
      <c r="G192" s="66" t="n">
        <v>7</v>
      </c>
      <c r="H192" s="67" t="n">
        <v>0</v>
      </c>
      <c r="I192" s="67" t="n">
        <v>0</v>
      </c>
      <c r="J192" s="67" t="n">
        <v>0</v>
      </c>
      <c r="K192" s="66" t="n">
        <v>3</v>
      </c>
      <c r="L192" s="66" t="n">
        <v>3</v>
      </c>
      <c r="M192" s="67" t="n">
        <v>0</v>
      </c>
      <c r="N192" s="66" t="n">
        <v>7</v>
      </c>
      <c r="O192" s="67" t="n">
        <v>0</v>
      </c>
      <c r="P192" s="66" t="n">
        <v>9</v>
      </c>
    </row>
    <row r="193" ht="15.75" customHeight="1" s="45">
      <c r="A193" s="61" t="n">
        <v>46218</v>
      </c>
      <c r="B193" s="82" t="inlineStr">
        <is>
          <t>Pós-Projeto</t>
        </is>
      </c>
      <c r="C193" s="85" t="inlineStr">
        <is>
          <t>GAEs Abertas</t>
        </is>
      </c>
      <c r="D193" s="69" t="n">
        <v>216</v>
      </c>
      <c r="E193" s="69" t="n">
        <v>163</v>
      </c>
      <c r="F193" s="69" t="n">
        <v>159</v>
      </c>
      <c r="G193" s="69" t="n">
        <v>138</v>
      </c>
      <c r="H193" s="69" t="n">
        <v>152</v>
      </c>
      <c r="I193" s="69" t="n">
        <v>203</v>
      </c>
      <c r="J193" s="69" t="n">
        <v>146</v>
      </c>
      <c r="K193" s="69" t="n">
        <v>263</v>
      </c>
      <c r="L193" s="69" t="n">
        <v>131</v>
      </c>
      <c r="M193" s="69" t="n">
        <v>198</v>
      </c>
      <c r="N193" s="69" t="n">
        <v>181</v>
      </c>
      <c r="O193" s="69" t="n">
        <v>264</v>
      </c>
      <c r="P193" s="69" t="n">
        <v>215</v>
      </c>
    </row>
    <row r="194" ht="15.75" customHeight="1" s="45">
      <c r="A194" s="61" t="n">
        <v>46218</v>
      </c>
      <c r="B194" s="82" t="inlineStr">
        <is>
          <t>Pós-Projeto</t>
        </is>
      </c>
      <c r="C194" s="85" t="inlineStr">
        <is>
          <t>GAEs Classificadas</t>
        </is>
      </c>
      <c r="D194" s="69" t="n">
        <v>195</v>
      </c>
      <c r="E194" s="69" t="n">
        <v>157</v>
      </c>
      <c r="F194" s="69" t="n">
        <v>153</v>
      </c>
      <c r="G194" s="69" t="n">
        <v>136</v>
      </c>
      <c r="H194" s="69" t="n">
        <v>150</v>
      </c>
      <c r="I194" s="69" t="n">
        <v>193</v>
      </c>
      <c r="J194" s="69" t="n">
        <v>140</v>
      </c>
      <c r="K194" s="69" t="n">
        <v>244</v>
      </c>
      <c r="L194" s="69" t="n">
        <v>124</v>
      </c>
      <c r="M194" s="69" t="n">
        <v>193</v>
      </c>
      <c r="N194" s="69" t="n">
        <v>168</v>
      </c>
      <c r="O194" s="69" t="n">
        <v>261</v>
      </c>
      <c r="P194" s="69" t="n">
        <v>210</v>
      </c>
    </row>
    <row r="195" ht="15.75" customHeight="1" s="45">
      <c r="A195" s="61" t="n">
        <v>46218</v>
      </c>
      <c r="B195" s="82" t="inlineStr">
        <is>
          <t>Pós-Projeto</t>
        </is>
      </c>
      <c r="C195" s="86" t="inlineStr">
        <is>
          <t>Percentual de GAEs abertas classificadas</t>
        </is>
      </c>
      <c r="D195" s="71">
        <f>IFERROR(D194/D193,"-")</f>
        <v/>
      </c>
      <c r="E195" s="71">
        <f>IFERROR(E194/E193,"-")</f>
        <v/>
      </c>
      <c r="F195" s="71">
        <f>IFERROR(F194/F193,"-")</f>
        <v/>
      </c>
      <c r="G195" s="71">
        <f>IFERROR(G194/G193,"-")</f>
        <v/>
      </c>
      <c r="H195" s="71">
        <f>IFERROR(H194/H193,"-")</f>
        <v/>
      </c>
      <c r="I195" s="71">
        <f>IFERROR(I194/I193,"-")</f>
        <v/>
      </c>
      <c r="J195" s="71">
        <f>IFERROR(J194/J193,"-")</f>
        <v/>
      </c>
      <c r="K195" s="71">
        <f>IFERROR(K194/K193,"-")</f>
        <v/>
      </c>
      <c r="L195" s="71">
        <f>IFERROR(L194/L193,"-")</f>
        <v/>
      </c>
      <c r="M195" s="71">
        <f>IFERROR(M194/M193,"-")</f>
        <v/>
      </c>
      <c r="N195" s="71">
        <f>IFERROR(N194/N193,"-")</f>
        <v/>
      </c>
      <c r="O195" s="71">
        <f>IFERROR(O194/O193,"-")</f>
        <v/>
      </c>
      <c r="P195" s="71">
        <f>IFERROR(P194/P193,"-")</f>
        <v/>
      </c>
    </row>
    <row r="196" ht="15.75" customHeight="1" s="45">
      <c r="A196" s="61" t="n">
        <v>46218</v>
      </c>
      <c r="B196" s="82" t="inlineStr">
        <is>
          <t>Pós-Projeto</t>
        </is>
      </c>
      <c r="C196" s="87" t="inlineStr">
        <is>
          <t>Tempo Médio — 🟡 Amarelo (hh:mm)</t>
        </is>
      </c>
      <c r="D196" s="73" t="n">
        <v>0.03521990740740741</v>
      </c>
      <c r="E196" s="73" t="n">
        <v>0.07061342592592593</v>
      </c>
      <c r="F196" s="73" t="n">
        <v>0.03958333333333333</v>
      </c>
      <c r="G196" s="73" t="n">
        <v>0.03680555555555556</v>
      </c>
      <c r="H196" s="73" t="n">
        <v>0.05291666666666667</v>
      </c>
      <c r="I196" s="73" t="n">
        <v>0.01929398148148148</v>
      </c>
      <c r="J196" s="73" t="n">
        <v>0.02775462962962963</v>
      </c>
      <c r="K196" s="73" t="n">
        <v>0.05732638888888889</v>
      </c>
      <c r="L196" s="73" t="n">
        <v>0.09402777777777778</v>
      </c>
      <c r="M196" s="73" t="n">
        <v>0.02668981481481482</v>
      </c>
      <c r="N196" s="73" t="n">
        <v>0.05832175925925926</v>
      </c>
      <c r="O196" s="73" t="n">
        <v>0.05252314814814815</v>
      </c>
      <c r="P196" s="73" t="n">
        <v>0.1340856481481481</v>
      </c>
    </row>
    <row r="197" ht="15.75" customHeight="1" s="45">
      <c r="A197" s="61" t="n">
        <v>46218</v>
      </c>
      <c r="B197" s="82" t="inlineStr">
        <is>
          <t>Pós-Projeto</t>
        </is>
      </c>
      <c r="C197" s="88" t="inlineStr">
        <is>
          <t>Tempo Médio — 🟠 Laranja (hh:mm)</t>
        </is>
      </c>
      <c r="D197" s="75" t="n">
        <v>0.006956018518518518</v>
      </c>
      <c r="E197" s="75" t="n">
        <v>0.006851851851851852</v>
      </c>
      <c r="F197" s="75" t="n">
        <v>0.00849537037037037</v>
      </c>
      <c r="G197" s="75" t="n">
        <v>0.004814814814814815</v>
      </c>
      <c r="H197" s="75" t="n">
        <v>0.004768518518518518</v>
      </c>
      <c r="I197" s="75" t="n">
        <v>0.002476851851851852</v>
      </c>
      <c r="J197" s="75" t="n">
        <v>0.007534722222222222</v>
      </c>
      <c r="K197" s="75" t="n">
        <v>0.015</v>
      </c>
      <c r="L197" s="75" t="n">
        <v>0.02386574074074074</v>
      </c>
      <c r="M197" s="75" t="n">
        <v>0.01189814814814815</v>
      </c>
      <c r="N197" s="75" t="n">
        <v>0.009768518518518518</v>
      </c>
      <c r="O197" s="75" t="n">
        <v>0.01398148148148148</v>
      </c>
      <c r="P197" s="75" t="n">
        <v>0.01496527777777778</v>
      </c>
    </row>
    <row r="198" ht="15.75" customHeight="1" s="45">
      <c r="A198" s="76" t="n">
        <v>46218</v>
      </c>
      <c r="B198" s="82" t="inlineStr">
        <is>
          <t>Pós-Projeto</t>
        </is>
      </c>
      <c r="C198" s="91" t="inlineStr">
        <is>
          <t>Tempo Médio — 🟢 Verde   (hh:mm)</t>
        </is>
      </c>
      <c r="D198" s="79" t="n">
        <v>0.05369212962962963</v>
      </c>
      <c r="E198" s="79" t="n">
        <v>0.1724884259259259</v>
      </c>
      <c r="F198" s="79" t="n">
        <v>0.1064467592592593</v>
      </c>
      <c r="G198" s="79" t="n">
        <v>0.07207175925925927</v>
      </c>
      <c r="H198" s="79" t="n">
        <v>0.1177199074074074</v>
      </c>
      <c r="I198" s="79" t="n">
        <v>0.09052083333333333</v>
      </c>
      <c r="J198" s="79" t="n">
        <v>0.05945601851851852</v>
      </c>
      <c r="K198" s="79" t="n">
        <v>0.07216435185185185</v>
      </c>
      <c r="L198" s="79" t="n">
        <v>0.1559027777777778</v>
      </c>
      <c r="M198" s="79" t="n">
        <v>0.04699074074074074</v>
      </c>
      <c r="N198" s="79" t="n">
        <v>0.1306481481481482</v>
      </c>
      <c r="O198" s="79" t="n">
        <v>0.08384259259259259</v>
      </c>
      <c r="P198" s="79" t="n">
        <v>0.1031018518518518</v>
      </c>
    </row>
    <row r="199" ht="15.75" customHeight="1" s="45">
      <c r="A199" s="57" t="n">
        <v>46219</v>
      </c>
      <c r="B199" s="81" t="inlineStr">
        <is>
          <t>Pós-Projeto</t>
        </is>
      </c>
      <c r="C199" s="59" t="inlineStr">
        <is>
          <t>Acolhim. + Atend. Urgência + Atend. UPA</t>
        </is>
      </c>
      <c r="D199" s="60">
        <f>SUM(D200:D202)</f>
        <v/>
      </c>
      <c r="E199" s="60">
        <f>SUM(E200:E202)</f>
        <v/>
      </c>
      <c r="F199" s="60">
        <f>SUM(F200:F202)</f>
        <v/>
      </c>
      <c r="G199" s="60">
        <f>SUM(G200:G202)</f>
        <v/>
      </c>
      <c r="H199" s="60">
        <f>SUM(H200:H202)</f>
        <v/>
      </c>
      <c r="I199" s="60">
        <f>SUM(I200:I202)</f>
        <v/>
      </c>
      <c r="J199" s="60">
        <f>SUM(J200:J202)</f>
        <v/>
      </c>
      <c r="K199" s="60">
        <f>SUM(K200:K202)</f>
        <v/>
      </c>
      <c r="L199" s="60">
        <f>SUM(L200:L202)</f>
        <v/>
      </c>
      <c r="M199" s="60">
        <f>SUM(M200:M202)</f>
        <v/>
      </c>
      <c r="N199" s="60">
        <f>SUM(N200:N202)</f>
        <v/>
      </c>
      <c r="O199" s="60">
        <f>SUM(O200:O202)</f>
        <v/>
      </c>
      <c r="P199" s="60">
        <f>SUM(P200:P202)</f>
        <v/>
      </c>
    </row>
    <row r="200" ht="15.75" customHeight="1" s="45">
      <c r="A200" s="61" t="n">
        <v>46219</v>
      </c>
      <c r="B200" s="82" t="inlineStr">
        <is>
          <t>Pós-Projeto</t>
        </is>
      </c>
      <c r="C200" s="83" t="inlineStr">
        <is>
          <t>Acolhimento c/ Classif. de Risco</t>
        </is>
      </c>
      <c r="D200" s="64" t="n">
        <v>175</v>
      </c>
      <c r="E200" s="64" t="n">
        <v>163</v>
      </c>
      <c r="F200" s="64" t="n">
        <v>158</v>
      </c>
      <c r="G200" s="64" t="n">
        <v>138</v>
      </c>
      <c r="H200" s="64" t="n">
        <v>124</v>
      </c>
      <c r="I200" s="64" t="n">
        <v>205</v>
      </c>
      <c r="J200" s="64" t="n">
        <v>114</v>
      </c>
      <c r="K200" s="64" t="n">
        <v>269</v>
      </c>
      <c r="L200" s="64" t="n">
        <v>117</v>
      </c>
      <c r="M200" s="64" t="n">
        <v>215</v>
      </c>
      <c r="N200" s="64" t="n">
        <v>171</v>
      </c>
      <c r="O200" s="64" t="n">
        <v>285</v>
      </c>
      <c r="P200" s="64" t="n">
        <v>184</v>
      </c>
    </row>
    <row r="201" ht="15.75" customHeight="1" s="45">
      <c r="A201" s="61" t="n">
        <v>46219</v>
      </c>
      <c r="B201" s="82" t="inlineStr">
        <is>
          <t>Pós-Projeto</t>
        </is>
      </c>
      <c r="C201" s="84" t="inlineStr">
        <is>
          <t>Atend. Urgência Obs. ≤ 24h</t>
        </is>
      </c>
      <c r="D201" s="66" t="n">
        <v>23</v>
      </c>
      <c r="E201" s="66" t="n">
        <v>17</v>
      </c>
      <c r="F201" s="66" t="n">
        <v>12</v>
      </c>
      <c r="G201" s="66" t="n">
        <v>13</v>
      </c>
      <c r="H201" s="66" t="n">
        <v>13</v>
      </c>
      <c r="I201" s="66" t="n">
        <v>19</v>
      </c>
      <c r="J201" s="67" t="n">
        <v>0</v>
      </c>
      <c r="K201" s="66" t="n">
        <v>37</v>
      </c>
      <c r="L201" s="66" t="n">
        <v>43</v>
      </c>
      <c r="M201" s="66" t="n">
        <v>44</v>
      </c>
      <c r="N201" s="66" t="n">
        <v>17</v>
      </c>
      <c r="O201" s="66" t="n">
        <v>8</v>
      </c>
      <c r="P201" s="66" t="n">
        <v>17</v>
      </c>
    </row>
    <row r="202" ht="15.75" customHeight="1" s="45">
      <c r="A202" s="61" t="n">
        <v>46219</v>
      </c>
      <c r="B202" s="82" t="inlineStr">
        <is>
          <t>Pós-Projeto</t>
        </is>
      </c>
      <c r="C202" s="83" t="inlineStr">
        <is>
          <t>Atend. Médico em UPA</t>
        </is>
      </c>
      <c r="D202" s="64" t="n">
        <v>156</v>
      </c>
      <c r="E202" s="64" t="n">
        <v>108</v>
      </c>
      <c r="F202" s="64" t="n">
        <v>129</v>
      </c>
      <c r="G202" s="64" t="n">
        <v>90</v>
      </c>
      <c r="H202" s="64" t="n">
        <v>91</v>
      </c>
      <c r="I202" s="64" t="n">
        <v>188</v>
      </c>
      <c r="J202" s="64" t="n">
        <v>96</v>
      </c>
      <c r="K202" s="64" t="n">
        <v>228</v>
      </c>
      <c r="L202" s="64" t="n">
        <v>127</v>
      </c>
      <c r="M202" s="64" t="n">
        <v>109</v>
      </c>
      <c r="N202" s="64" t="n">
        <v>117</v>
      </c>
      <c r="O202" s="64" t="n">
        <v>199</v>
      </c>
      <c r="P202" s="64" t="n">
        <v>160</v>
      </c>
    </row>
    <row r="203" ht="15.75" customHeight="1" s="45">
      <c r="A203" s="61" t="n">
        <v>46219</v>
      </c>
      <c r="B203" s="82" t="inlineStr">
        <is>
          <t>Pós-Projeto</t>
        </is>
      </c>
      <c r="C203" s="84" t="inlineStr">
        <is>
          <t>Exames Laboratoriais</t>
        </is>
      </c>
      <c r="D203" s="66" t="n">
        <v>643</v>
      </c>
      <c r="E203" s="66" t="n">
        <v>425</v>
      </c>
      <c r="F203" s="66" t="n">
        <v>321</v>
      </c>
      <c r="G203" s="66" t="n">
        <v>421</v>
      </c>
      <c r="H203" s="66" t="n">
        <v>296</v>
      </c>
      <c r="I203" s="66" t="n">
        <v>725</v>
      </c>
      <c r="J203" s="66" t="n">
        <v>322</v>
      </c>
      <c r="K203" s="66" t="n">
        <v>749</v>
      </c>
      <c r="L203" s="66" t="n">
        <v>545</v>
      </c>
      <c r="M203" s="66" t="n">
        <v>652</v>
      </c>
      <c r="N203" s="66" t="n">
        <v>641</v>
      </c>
      <c r="O203" s="66" t="n">
        <v>384</v>
      </c>
      <c r="P203" s="66" t="n">
        <v>181</v>
      </c>
    </row>
    <row r="204" ht="15.75" customHeight="1" s="45">
      <c r="A204" s="61" t="n">
        <v>46219</v>
      </c>
      <c r="B204" s="82" t="inlineStr">
        <is>
          <t>Pós-Projeto</t>
        </is>
      </c>
      <c r="C204" s="83" t="inlineStr">
        <is>
          <t>Radiografias</t>
        </is>
      </c>
      <c r="D204" s="64" t="n">
        <v>31</v>
      </c>
      <c r="E204" s="64" t="n">
        <v>18</v>
      </c>
      <c r="F204" s="64" t="n">
        <v>23</v>
      </c>
      <c r="G204" s="64" t="n">
        <v>15</v>
      </c>
      <c r="H204" s="64" t="n">
        <v>5</v>
      </c>
      <c r="I204" s="64" t="n">
        <v>24</v>
      </c>
      <c r="J204" s="64" t="n">
        <v>30</v>
      </c>
      <c r="K204" s="64" t="n">
        <v>38</v>
      </c>
      <c r="L204" s="64" t="n">
        <v>21</v>
      </c>
      <c r="M204" s="64" t="n">
        <v>37</v>
      </c>
      <c r="N204" s="64" t="n">
        <v>16</v>
      </c>
      <c r="O204" s="64" t="n">
        <v>33</v>
      </c>
      <c r="P204" s="64" t="n">
        <v>34</v>
      </c>
    </row>
    <row r="205" ht="15.75" customHeight="1" s="45">
      <c r="A205" s="61" t="n">
        <v>46219</v>
      </c>
      <c r="B205" s="82" t="inlineStr">
        <is>
          <t>Pós-Projeto</t>
        </is>
      </c>
      <c r="C205" s="84" t="inlineStr">
        <is>
          <t>Eletrocardiogramas</t>
        </is>
      </c>
      <c r="D205" s="66" t="n">
        <v>18</v>
      </c>
      <c r="E205" s="66" t="n">
        <v>1</v>
      </c>
      <c r="F205" s="67" t="n">
        <v>0</v>
      </c>
      <c r="G205" s="66" t="n">
        <v>6</v>
      </c>
      <c r="H205" s="67" t="n">
        <v>0</v>
      </c>
      <c r="I205" s="67" t="n">
        <v>0</v>
      </c>
      <c r="J205" s="67" t="n">
        <v>0</v>
      </c>
      <c r="K205" s="66" t="n">
        <v>4</v>
      </c>
      <c r="L205" s="67" t="n">
        <v>0</v>
      </c>
      <c r="M205" s="67" t="n">
        <v>0</v>
      </c>
      <c r="N205" s="66" t="n">
        <v>2</v>
      </c>
      <c r="O205" s="67" t="n">
        <v>0</v>
      </c>
      <c r="P205" s="66" t="n">
        <v>8</v>
      </c>
    </row>
    <row r="206" ht="15.75" customHeight="1" s="45">
      <c r="A206" s="61" t="n">
        <v>46219</v>
      </c>
      <c r="B206" s="82" t="inlineStr">
        <is>
          <t>Pós-Projeto</t>
        </is>
      </c>
      <c r="C206" s="85" t="inlineStr">
        <is>
          <t>GAEs Abertas</t>
        </is>
      </c>
      <c r="D206" s="69" t="n">
        <v>182</v>
      </c>
      <c r="E206" s="69" t="n">
        <v>166</v>
      </c>
      <c r="F206" s="69" t="n">
        <v>163</v>
      </c>
      <c r="G206" s="69" t="n">
        <v>139</v>
      </c>
      <c r="H206" s="69" t="n">
        <v>131</v>
      </c>
      <c r="I206" s="69" t="n">
        <v>215</v>
      </c>
      <c r="J206" s="69" t="n">
        <v>118</v>
      </c>
      <c r="K206" s="69" t="n">
        <v>289</v>
      </c>
      <c r="L206" s="69" t="n">
        <v>122</v>
      </c>
      <c r="M206" s="69" t="n">
        <v>228</v>
      </c>
      <c r="N206" s="69" t="n">
        <v>172</v>
      </c>
      <c r="O206" s="69" t="n">
        <v>288</v>
      </c>
      <c r="P206" s="69" t="n">
        <v>193</v>
      </c>
    </row>
    <row r="207" ht="15.75" customHeight="1" s="45">
      <c r="A207" s="61" t="n">
        <v>46219</v>
      </c>
      <c r="B207" s="82" t="inlineStr">
        <is>
          <t>Pós-Projeto</t>
        </is>
      </c>
      <c r="C207" s="85" t="inlineStr">
        <is>
          <t>GAEs Classificadas</t>
        </is>
      </c>
      <c r="D207" s="69" t="n">
        <v>175</v>
      </c>
      <c r="E207" s="69" t="n">
        <v>163</v>
      </c>
      <c r="F207" s="69" t="n">
        <v>158</v>
      </c>
      <c r="G207" s="69" t="n">
        <v>139</v>
      </c>
      <c r="H207" s="69" t="n">
        <v>124</v>
      </c>
      <c r="I207" s="69" t="n">
        <v>203</v>
      </c>
      <c r="J207" s="69" t="n">
        <v>115</v>
      </c>
      <c r="K207" s="69" t="n">
        <v>267</v>
      </c>
      <c r="L207" s="69" t="n">
        <v>116</v>
      </c>
      <c r="M207" s="69" t="n">
        <v>214</v>
      </c>
      <c r="N207" s="69" t="n">
        <v>169</v>
      </c>
      <c r="O207" s="69" t="n">
        <v>284</v>
      </c>
      <c r="P207" s="69" t="n">
        <v>183</v>
      </c>
    </row>
    <row r="208" ht="15.75" customHeight="1" s="45">
      <c r="A208" s="61" t="n">
        <v>46219</v>
      </c>
      <c r="B208" s="82" t="inlineStr">
        <is>
          <t>Pós-Projeto</t>
        </is>
      </c>
      <c r="C208" s="86" t="inlineStr">
        <is>
          <t>Percentual de GAEs abertas classificadas</t>
        </is>
      </c>
      <c r="D208" s="71">
        <f>IFERROR(D207/D206,"-")</f>
        <v/>
      </c>
      <c r="E208" s="71">
        <f>IFERROR(E207/E206,"-")</f>
        <v/>
      </c>
      <c r="F208" s="71">
        <f>IFERROR(F207/F206,"-")</f>
        <v/>
      </c>
      <c r="G208" s="71">
        <f>IFERROR(G207/G206,"-")</f>
        <v/>
      </c>
      <c r="H208" s="71">
        <f>IFERROR(H207/H206,"-")</f>
        <v/>
      </c>
      <c r="I208" s="71">
        <f>IFERROR(I207/I206,"-")</f>
        <v/>
      </c>
      <c r="J208" s="71">
        <f>IFERROR(J207/J206,"-")</f>
        <v/>
      </c>
      <c r="K208" s="71">
        <f>IFERROR(K207/K206,"-")</f>
        <v/>
      </c>
      <c r="L208" s="71">
        <f>IFERROR(L207/L206,"-")</f>
        <v/>
      </c>
      <c r="M208" s="71">
        <f>IFERROR(M207/M206,"-")</f>
        <v/>
      </c>
      <c r="N208" s="71">
        <f>IFERROR(N207/N206,"-")</f>
        <v/>
      </c>
      <c r="O208" s="71">
        <f>IFERROR(O207/O206,"-")</f>
        <v/>
      </c>
      <c r="P208" s="71">
        <f>IFERROR(P207/P206,"-")</f>
        <v/>
      </c>
    </row>
    <row r="209" ht="15.75" customHeight="1" s="45">
      <c r="A209" s="61" t="n">
        <v>46219</v>
      </c>
      <c r="B209" s="82" t="inlineStr">
        <is>
          <t>Pós-Projeto</t>
        </is>
      </c>
      <c r="C209" s="87" t="inlineStr">
        <is>
          <t>Tempo Médio — 🟡 Amarelo (hh:mm)</t>
        </is>
      </c>
      <c r="D209" s="73" t="n">
        <v>0.01556712962962963</v>
      </c>
      <c r="E209" s="73" t="n">
        <v>0.1271296296296296</v>
      </c>
      <c r="F209" s="73" t="n">
        <v>0.06875000000000001</v>
      </c>
      <c r="G209" s="73" t="n">
        <v>0.0296412037037037</v>
      </c>
      <c r="H209" s="73" t="n">
        <v>0.06219907407407407</v>
      </c>
      <c r="I209" s="73" t="n">
        <v>0.02953703703703704</v>
      </c>
      <c r="J209" s="73" t="n">
        <v>0.043125</v>
      </c>
      <c r="K209" s="73" t="n">
        <v>0.04085648148148148</v>
      </c>
      <c r="L209" s="73" t="n">
        <v>0.09725694444444444</v>
      </c>
      <c r="M209" s="73" t="n">
        <v>0.05401620370370371</v>
      </c>
      <c r="N209" s="73" t="n">
        <v>0.1215277777777778</v>
      </c>
      <c r="O209" s="73" t="n">
        <v>0.05138888888888889</v>
      </c>
      <c r="P209" s="73" t="n">
        <v>0.02577546296296296</v>
      </c>
    </row>
    <row r="210" ht="15.75" customHeight="1" s="45">
      <c r="A210" s="61" t="n">
        <v>46219</v>
      </c>
      <c r="B210" s="82" t="inlineStr">
        <is>
          <t>Pós-Projeto</t>
        </is>
      </c>
      <c r="C210" s="88" t="inlineStr">
        <is>
          <t>Tempo Médio — 🟠 Laranja (hh:mm)</t>
        </is>
      </c>
      <c r="D210" s="75" t="n">
        <v>0.005613425925925926</v>
      </c>
      <c r="E210" s="75" t="n">
        <v>0.008252314814814815</v>
      </c>
      <c r="F210" s="75" t="n">
        <v>0.005185185185185185</v>
      </c>
      <c r="G210" s="75" t="n">
        <v>0.003449074074074074</v>
      </c>
      <c r="H210" s="75" t="n">
        <v>0.008842592592592593</v>
      </c>
      <c r="I210" s="75" t="n">
        <v>0.004918981481481482</v>
      </c>
      <c r="J210" s="75" t="n">
        <v>0.01247685185185185</v>
      </c>
      <c r="K210" s="75" t="n">
        <v>0.009421296296296296</v>
      </c>
      <c r="L210" s="75" t="n">
        <v>0.007337962962962963</v>
      </c>
      <c r="M210" s="75" t="n">
        <v>0.01143518518518519</v>
      </c>
      <c r="N210" s="75" t="n">
        <v>0.01359953703703704</v>
      </c>
      <c r="O210" s="75" t="n">
        <v>0.007951388888888888</v>
      </c>
      <c r="P210" s="75" t="n">
        <v>0.01237268518518518</v>
      </c>
    </row>
    <row r="211" ht="15.75" customHeight="1" s="45">
      <c r="A211" s="76" t="n">
        <v>46219</v>
      </c>
      <c r="B211" s="82" t="inlineStr">
        <is>
          <t>Pós-Projeto</t>
        </is>
      </c>
      <c r="C211" s="91" t="inlineStr">
        <is>
          <t>Tempo Médio — 🟢 Verde   (hh:mm)</t>
        </is>
      </c>
      <c r="D211" s="79" t="n">
        <v>0.03476851851851852</v>
      </c>
      <c r="E211" s="79" t="n">
        <v>0.169837962962963</v>
      </c>
      <c r="F211" s="79" t="n">
        <v>0.06821759259259259</v>
      </c>
      <c r="G211" s="79" t="n">
        <v>0.09495370370370371</v>
      </c>
      <c r="H211" s="79" t="n">
        <v>0.09785879629629629</v>
      </c>
      <c r="I211" s="79" t="n">
        <v>0.1226041666666667</v>
      </c>
      <c r="J211" s="79" t="n">
        <v>0.07284722222222222</v>
      </c>
      <c r="K211" s="79" t="n">
        <v>0.0770949074074074</v>
      </c>
      <c r="L211" s="79" t="n">
        <v>0.1490046296296296</v>
      </c>
      <c r="M211" s="79" t="n">
        <v>0.1031944444444444</v>
      </c>
      <c r="N211" s="79" t="n">
        <v>0.1188541666666667</v>
      </c>
      <c r="O211" s="79" t="n">
        <v>0.1064351851851852</v>
      </c>
      <c r="P211" s="79" t="n">
        <v>0.04666666666666667</v>
      </c>
    </row>
    <row r="212" ht="15.75" customHeight="1" s="45">
      <c r="A212" s="57" t="n">
        <v>46220</v>
      </c>
      <c r="B212" s="81" t="inlineStr">
        <is>
          <t>Pós-Projeto</t>
        </is>
      </c>
      <c r="C212" s="59" t="inlineStr">
        <is>
          <t>Acolhim. + Atend. Urgência + Atend. UPA</t>
        </is>
      </c>
      <c r="D212" s="60">
        <f>SUM(D213:D215)</f>
        <v/>
      </c>
      <c r="E212" s="60">
        <f>SUM(E213:E215)</f>
        <v/>
      </c>
      <c r="F212" s="60">
        <f>SUM(F213:F215)</f>
        <v/>
      </c>
      <c r="G212" s="60">
        <f>SUM(G213:G215)</f>
        <v/>
      </c>
      <c r="H212" s="60">
        <f>SUM(H213:H215)</f>
        <v/>
      </c>
      <c r="I212" s="60">
        <f>SUM(I213:I215)</f>
        <v/>
      </c>
      <c r="J212" s="60">
        <f>SUM(J213:J215)</f>
        <v/>
      </c>
      <c r="K212" s="60">
        <f>SUM(K213:K215)</f>
        <v/>
      </c>
      <c r="L212" s="60">
        <f>SUM(L213:L215)</f>
        <v/>
      </c>
      <c r="M212" s="60">
        <f>SUM(M213:M215)</f>
        <v/>
      </c>
      <c r="N212" s="60">
        <f>SUM(N213:N215)</f>
        <v/>
      </c>
      <c r="O212" s="60">
        <f>SUM(O213:O215)</f>
        <v/>
      </c>
      <c r="P212" s="60">
        <f>SUM(P213:P215)</f>
        <v/>
      </c>
    </row>
    <row r="213" ht="15.75" customHeight="1" s="45">
      <c r="A213" s="61" t="n">
        <v>46220</v>
      </c>
      <c r="B213" s="82" t="inlineStr">
        <is>
          <t>Pós-Projeto</t>
        </is>
      </c>
      <c r="C213" s="83" t="inlineStr">
        <is>
          <t>Acolhimento c/ Classif. de Risco</t>
        </is>
      </c>
      <c r="D213" s="64" t="n">
        <v>170</v>
      </c>
      <c r="E213" s="64" t="n">
        <v>131</v>
      </c>
      <c r="F213" s="64" t="n">
        <v>134</v>
      </c>
      <c r="G213" s="64" t="n">
        <v>125</v>
      </c>
      <c r="H213" s="64" t="n">
        <v>99</v>
      </c>
      <c r="I213" s="64" t="n">
        <v>179</v>
      </c>
      <c r="J213" s="64" t="n">
        <v>130</v>
      </c>
      <c r="K213" s="64" t="n">
        <v>221</v>
      </c>
      <c r="L213" s="64" t="n">
        <v>113</v>
      </c>
      <c r="M213" s="64" t="n">
        <v>185</v>
      </c>
      <c r="N213" s="64" t="n">
        <v>185</v>
      </c>
      <c r="O213" s="64" t="n">
        <v>216</v>
      </c>
      <c r="P213" s="64" t="n">
        <v>181</v>
      </c>
    </row>
    <row r="214" ht="15.75" customHeight="1" s="45">
      <c r="A214" s="61" t="n">
        <v>46220</v>
      </c>
      <c r="B214" s="82" t="inlineStr">
        <is>
          <t>Pós-Projeto</t>
        </is>
      </c>
      <c r="C214" s="84" t="inlineStr">
        <is>
          <t>Atend. Urgência Obs. ≤ 24h</t>
        </is>
      </c>
      <c r="D214" s="66" t="n">
        <v>17</v>
      </c>
      <c r="E214" s="66" t="n">
        <v>37</v>
      </c>
      <c r="F214" s="66" t="n">
        <v>21</v>
      </c>
      <c r="G214" s="66" t="n">
        <v>21</v>
      </c>
      <c r="H214" s="66" t="n">
        <v>34</v>
      </c>
      <c r="I214" s="66" t="n">
        <v>29</v>
      </c>
      <c r="J214" s="67" t="n">
        <v>0</v>
      </c>
      <c r="K214" s="66" t="n">
        <v>39</v>
      </c>
      <c r="L214" s="66" t="n">
        <v>39</v>
      </c>
      <c r="M214" s="66" t="n">
        <v>14</v>
      </c>
      <c r="N214" s="66" t="n">
        <v>8</v>
      </c>
      <c r="O214" s="66" t="n">
        <v>8</v>
      </c>
      <c r="P214" s="66" t="n">
        <v>13</v>
      </c>
    </row>
    <row r="215" ht="15.75" customHeight="1" s="45">
      <c r="A215" s="61" t="n">
        <v>46220</v>
      </c>
      <c r="B215" s="82" t="inlineStr">
        <is>
          <t>Pós-Projeto</t>
        </is>
      </c>
      <c r="C215" s="83" t="inlineStr">
        <is>
          <t>Atend. Médico em UPA</t>
        </is>
      </c>
      <c r="D215" s="64" t="n">
        <v>147</v>
      </c>
      <c r="E215" s="64" t="n">
        <v>61</v>
      </c>
      <c r="F215" s="64" t="n">
        <v>124</v>
      </c>
      <c r="G215" s="64" t="n">
        <v>94</v>
      </c>
      <c r="H215" s="64" t="n">
        <v>85</v>
      </c>
      <c r="I215" s="64" t="n">
        <v>141</v>
      </c>
      <c r="J215" s="64" t="n">
        <v>91</v>
      </c>
      <c r="K215" s="64" t="n">
        <v>199</v>
      </c>
      <c r="L215" s="64" t="n">
        <v>119</v>
      </c>
      <c r="M215" s="64" t="n">
        <v>136</v>
      </c>
      <c r="N215" s="64" t="n">
        <v>149</v>
      </c>
      <c r="O215" s="64" t="n">
        <v>126</v>
      </c>
      <c r="P215" s="64" t="n">
        <v>139</v>
      </c>
    </row>
    <row r="216" ht="15.75" customHeight="1" s="45">
      <c r="A216" s="61" t="n">
        <v>46220</v>
      </c>
      <c r="B216" s="82" t="inlineStr">
        <is>
          <t>Pós-Projeto</t>
        </is>
      </c>
      <c r="C216" s="84" t="inlineStr">
        <is>
          <t>Exames Laboratoriais</t>
        </is>
      </c>
      <c r="D216" s="66" t="n">
        <v>413</v>
      </c>
      <c r="E216" s="66" t="n">
        <v>404</v>
      </c>
      <c r="F216" s="66" t="n">
        <v>471</v>
      </c>
      <c r="G216" s="66" t="n">
        <v>435</v>
      </c>
      <c r="H216" s="66" t="n">
        <v>319</v>
      </c>
      <c r="I216" s="66" t="n">
        <v>569</v>
      </c>
      <c r="J216" s="66" t="n">
        <v>375</v>
      </c>
      <c r="K216" s="66" t="n">
        <v>903</v>
      </c>
      <c r="L216" s="66" t="n">
        <v>631</v>
      </c>
      <c r="M216" s="66" t="n">
        <v>442</v>
      </c>
      <c r="N216" s="66" t="n">
        <v>613</v>
      </c>
      <c r="O216" s="66" t="n">
        <v>365</v>
      </c>
      <c r="P216" s="66" t="n">
        <v>407</v>
      </c>
    </row>
    <row r="217" ht="15.75" customHeight="1" s="45">
      <c r="A217" s="61" t="n">
        <v>46220</v>
      </c>
      <c r="B217" s="82" t="inlineStr">
        <is>
          <t>Pós-Projeto</t>
        </is>
      </c>
      <c r="C217" s="83" t="inlineStr">
        <is>
          <t>Radiografias</t>
        </is>
      </c>
      <c r="D217" s="64" t="n">
        <v>26</v>
      </c>
      <c r="E217" s="64" t="n">
        <v>18</v>
      </c>
      <c r="F217" s="64" t="n">
        <v>22</v>
      </c>
      <c r="G217" s="64" t="n">
        <v>22</v>
      </c>
      <c r="H217" s="64" t="n">
        <v>12</v>
      </c>
      <c r="I217" s="64" t="n">
        <v>26</v>
      </c>
      <c r="J217" s="64" t="n">
        <v>29</v>
      </c>
      <c r="K217" s="64" t="n">
        <v>35</v>
      </c>
      <c r="L217" s="64" t="n">
        <v>19</v>
      </c>
      <c r="M217" s="64" t="n">
        <v>16</v>
      </c>
      <c r="N217" s="64" t="n">
        <v>29</v>
      </c>
      <c r="O217" s="64" t="n">
        <v>41</v>
      </c>
      <c r="P217" s="64" t="n">
        <v>23</v>
      </c>
    </row>
    <row r="218" ht="15.75" customHeight="1" s="45">
      <c r="A218" s="61" t="n">
        <v>46220</v>
      </c>
      <c r="B218" s="82" t="inlineStr">
        <is>
          <t>Pós-Projeto</t>
        </is>
      </c>
      <c r="C218" s="84" t="inlineStr">
        <is>
          <t>Eletrocardiogramas</t>
        </is>
      </c>
      <c r="D218" s="66" t="n">
        <v>23</v>
      </c>
      <c r="E218" s="67" t="n">
        <v>0</v>
      </c>
      <c r="F218" s="67" t="n">
        <v>0</v>
      </c>
      <c r="G218" s="67" t="n">
        <v>0</v>
      </c>
      <c r="H218" s="67" t="n">
        <v>0</v>
      </c>
      <c r="I218" s="66" t="n">
        <v>6</v>
      </c>
      <c r="J218" s="67" t="n">
        <v>0</v>
      </c>
      <c r="K218" s="66" t="n">
        <v>9</v>
      </c>
      <c r="L218" s="66" t="n">
        <v>16</v>
      </c>
      <c r="M218" s="67" t="n">
        <v>0</v>
      </c>
      <c r="N218" s="66" t="n">
        <v>9</v>
      </c>
      <c r="O218" s="67" t="n">
        <v>0</v>
      </c>
      <c r="P218" s="66" t="n">
        <v>9</v>
      </c>
    </row>
    <row r="219" ht="15.75" customHeight="1" s="45">
      <c r="A219" s="61" t="n">
        <v>46220</v>
      </c>
      <c r="B219" s="82" t="inlineStr">
        <is>
          <t>Pós-Projeto</t>
        </is>
      </c>
      <c r="C219" s="85" t="inlineStr">
        <is>
          <t>GAEs Abertas</t>
        </is>
      </c>
      <c r="D219" s="69" t="n">
        <v>177</v>
      </c>
      <c r="E219" s="69" t="n">
        <v>141</v>
      </c>
      <c r="F219" s="69" t="n">
        <v>146</v>
      </c>
      <c r="G219" s="69" t="n">
        <v>127</v>
      </c>
      <c r="H219" s="69" t="n">
        <v>103</v>
      </c>
      <c r="I219" s="69" t="n">
        <v>195</v>
      </c>
      <c r="J219" s="69" t="n">
        <v>131</v>
      </c>
      <c r="K219" s="69" t="n">
        <v>245</v>
      </c>
      <c r="L219" s="69" t="n">
        <v>124</v>
      </c>
      <c r="M219" s="69" t="n">
        <v>190</v>
      </c>
      <c r="N219" s="69" t="n">
        <v>191</v>
      </c>
      <c r="O219" s="69" t="n">
        <v>227</v>
      </c>
      <c r="P219" s="69" t="n">
        <v>187</v>
      </c>
    </row>
    <row r="220" ht="15.75" customHeight="1" s="45">
      <c r="A220" s="61" t="n">
        <v>46220</v>
      </c>
      <c r="B220" s="82" t="inlineStr">
        <is>
          <t>Pós-Projeto</t>
        </is>
      </c>
      <c r="C220" s="85" t="inlineStr">
        <is>
          <t>GAEs Classificadas</t>
        </is>
      </c>
      <c r="D220" s="69" t="n">
        <v>171</v>
      </c>
      <c r="E220" s="69" t="n">
        <v>131</v>
      </c>
      <c r="F220" s="69" t="n">
        <v>137</v>
      </c>
      <c r="G220" s="69" t="n">
        <v>124</v>
      </c>
      <c r="H220" s="69" t="n">
        <v>100</v>
      </c>
      <c r="I220" s="69" t="n">
        <v>178</v>
      </c>
      <c r="J220" s="69" t="n">
        <v>129</v>
      </c>
      <c r="K220" s="69" t="n">
        <v>220</v>
      </c>
      <c r="L220" s="69" t="n">
        <v>114</v>
      </c>
      <c r="M220" s="69" t="n">
        <v>186</v>
      </c>
      <c r="N220" s="69" t="n">
        <v>180</v>
      </c>
      <c r="O220" s="69" t="n">
        <v>216</v>
      </c>
      <c r="P220" s="69" t="n">
        <v>183</v>
      </c>
    </row>
    <row r="221" ht="15.75" customHeight="1" s="45">
      <c r="A221" s="61" t="n">
        <v>46220</v>
      </c>
      <c r="B221" s="82" t="inlineStr">
        <is>
          <t>Pós-Projeto</t>
        </is>
      </c>
      <c r="C221" s="86" t="inlineStr">
        <is>
          <t>Percentual de GAEs abertas classificadas</t>
        </is>
      </c>
      <c r="D221" s="71">
        <f>IFERROR(D220/D219,"-")</f>
        <v/>
      </c>
      <c r="E221" s="71">
        <f>IFERROR(E220/E219,"-")</f>
        <v/>
      </c>
      <c r="F221" s="71">
        <f>IFERROR(F220/F219,"-")</f>
        <v/>
      </c>
      <c r="G221" s="71">
        <f>IFERROR(G220/G219,"-")</f>
        <v/>
      </c>
      <c r="H221" s="71">
        <f>IFERROR(H220/H219,"-")</f>
        <v/>
      </c>
      <c r="I221" s="71">
        <f>IFERROR(I220/I219,"-")</f>
        <v/>
      </c>
      <c r="J221" s="71">
        <f>IFERROR(J220/J219,"-")</f>
        <v/>
      </c>
      <c r="K221" s="71">
        <f>IFERROR(K220/K219,"-")</f>
        <v/>
      </c>
      <c r="L221" s="71">
        <f>IFERROR(L220/L219,"-")</f>
        <v/>
      </c>
      <c r="M221" s="71">
        <f>IFERROR(M220/M219,"-")</f>
        <v/>
      </c>
      <c r="N221" s="71">
        <f>IFERROR(N220/N219,"-")</f>
        <v/>
      </c>
      <c r="O221" s="71">
        <f>IFERROR(O220/O219,"-")</f>
        <v/>
      </c>
      <c r="P221" s="71">
        <f>IFERROR(P220/P219,"-")</f>
        <v/>
      </c>
    </row>
    <row r="222" ht="15.75" customHeight="1" s="45">
      <c r="A222" s="61" t="n">
        <v>46220</v>
      </c>
      <c r="B222" s="82" t="inlineStr">
        <is>
          <t>Pós-Projeto</t>
        </is>
      </c>
      <c r="C222" s="87" t="inlineStr">
        <is>
          <t>Tempo Médio — 🟡 Amarelo (hh:mm)</t>
        </is>
      </c>
      <c r="D222" s="73" t="n">
        <v>0.02488425925925926</v>
      </c>
      <c r="E222" s="73" t="n">
        <v>0.1420601851851852</v>
      </c>
      <c r="F222" s="73" t="n">
        <v>0.0171875</v>
      </c>
      <c r="G222" s="73" t="n">
        <v>0.03851851851851852</v>
      </c>
      <c r="H222" s="73" t="n">
        <v>0.02854166666666667</v>
      </c>
      <c r="I222" s="73" t="n">
        <v>0.02965277777777778</v>
      </c>
      <c r="J222" s="73" t="n">
        <v>0.04590277777777778</v>
      </c>
      <c r="K222" s="73" t="n">
        <v>0.07070601851851852</v>
      </c>
      <c r="L222" s="73" t="n">
        <v>0.06760416666666667</v>
      </c>
      <c r="M222" s="73" t="n">
        <v>0.02811342592592593</v>
      </c>
      <c r="N222" s="73" t="n">
        <v>0.0337037037037037</v>
      </c>
      <c r="O222" s="73" t="n">
        <v>0.05429398148148148</v>
      </c>
      <c r="P222" s="73" t="n">
        <v>0.0334837962962963</v>
      </c>
    </row>
    <row r="223" ht="15.75" customHeight="1" s="45">
      <c r="A223" s="61" t="n">
        <v>46220</v>
      </c>
      <c r="B223" s="82" t="inlineStr">
        <is>
          <t>Pós-Projeto</t>
        </is>
      </c>
      <c r="C223" s="88" t="inlineStr">
        <is>
          <t>Tempo Médio — 🟠 Laranja (hh:mm)</t>
        </is>
      </c>
      <c r="D223" s="75" t="n">
        <v>0.01123842592592593</v>
      </c>
      <c r="E223" s="75" t="n">
        <v>0.01866898148148148</v>
      </c>
      <c r="F223" s="75" t="n">
        <v>0.004733796296296297</v>
      </c>
      <c r="G223" s="75" t="n">
        <v>0.003715277777777778</v>
      </c>
      <c r="H223" s="75" t="n">
        <v>0.005833333333333334</v>
      </c>
      <c r="I223" s="75" t="n">
        <v>0.004189814814814815</v>
      </c>
      <c r="J223" s="75" t="n">
        <v>0.00474537037037037</v>
      </c>
      <c r="K223" s="75" t="n">
        <v>0.01537037037037037</v>
      </c>
      <c r="L223" s="75" t="n">
        <v>0.01025462962962963</v>
      </c>
      <c r="M223" s="75" t="n">
        <v>0.009837962962962963</v>
      </c>
      <c r="N223" s="75" t="n">
        <v>0.00982638888888889</v>
      </c>
      <c r="O223" s="75" t="n">
        <v>0.01099537037037037</v>
      </c>
      <c r="P223" s="75" t="n">
        <v>0.007685185185185186</v>
      </c>
    </row>
    <row r="224" ht="15.75" customHeight="1" s="45">
      <c r="A224" s="76" t="n">
        <v>46220</v>
      </c>
      <c r="B224" s="82" t="inlineStr">
        <is>
          <t>Pós-Projeto</t>
        </is>
      </c>
      <c r="C224" s="91" t="inlineStr">
        <is>
          <t>Tempo Médio — 🟢 Verde   (hh:mm)</t>
        </is>
      </c>
      <c r="D224" s="79" t="n">
        <v>0.03710648148148148</v>
      </c>
      <c r="E224" s="79" t="n">
        <v>0.1702777777777778</v>
      </c>
      <c r="F224" s="79" t="n">
        <v>0.07413194444444444</v>
      </c>
      <c r="G224" s="79" t="n">
        <v>0.07163194444444444</v>
      </c>
      <c r="H224" s="79" t="n">
        <v>0.08167824074074075</v>
      </c>
      <c r="I224" s="79" t="n">
        <v>0.08520833333333333</v>
      </c>
      <c r="J224" s="79" t="n">
        <v>0.06501157407407407</v>
      </c>
      <c r="K224" s="79" t="n">
        <v>0.06793981481481481</v>
      </c>
      <c r="L224" s="79" t="n">
        <v>0.05631944444444444</v>
      </c>
      <c r="M224" s="79" t="n">
        <v>0.04090277777777778</v>
      </c>
      <c r="N224" s="79" t="n">
        <v>0.1163078703703704</v>
      </c>
      <c r="O224" s="79" t="n">
        <v>0.05565972222222222</v>
      </c>
      <c r="P224" s="79" t="n">
        <v>0.04096064814814815</v>
      </c>
    </row>
    <row r="225" ht="15.75" customHeight="1" s="45">
      <c r="A225" s="57" t="n">
        <v>46221</v>
      </c>
      <c r="B225" s="81" t="inlineStr">
        <is>
          <t>Pós-Projeto</t>
        </is>
      </c>
      <c r="C225" s="59" t="inlineStr">
        <is>
          <t>Acolhim. + Atend. Urgência + Atend. UPA</t>
        </is>
      </c>
      <c r="D225" s="60">
        <f>SUM(D226:D228)</f>
        <v/>
      </c>
      <c r="E225" s="60">
        <f>SUM(E226:E228)</f>
        <v/>
      </c>
      <c r="F225" s="60">
        <f>SUM(F226:F228)</f>
        <v/>
      </c>
      <c r="G225" s="60">
        <f>SUM(G226:G228)</f>
        <v/>
      </c>
      <c r="H225" s="60">
        <f>SUM(H226:H228)</f>
        <v/>
      </c>
      <c r="I225" s="60">
        <f>SUM(I226:I228)</f>
        <v/>
      </c>
      <c r="J225" s="60">
        <f>SUM(J226:J228)</f>
        <v/>
      </c>
      <c r="K225" s="60">
        <f>SUM(K226:K228)</f>
        <v/>
      </c>
      <c r="L225" s="60">
        <f>SUM(L226:L228)</f>
        <v/>
      </c>
      <c r="M225" s="60">
        <f>SUM(M226:M228)</f>
        <v/>
      </c>
      <c r="N225" s="60">
        <f>SUM(N226:N228)</f>
        <v/>
      </c>
      <c r="O225" s="60">
        <f>SUM(O226:O228)</f>
        <v/>
      </c>
      <c r="P225" s="60">
        <f>SUM(P226:P228)</f>
        <v/>
      </c>
    </row>
    <row r="226" ht="15.75" customHeight="1" s="45">
      <c r="A226" s="61" t="n">
        <v>46221</v>
      </c>
      <c r="B226" s="82" t="inlineStr">
        <is>
          <t>Pós-Projeto</t>
        </is>
      </c>
      <c r="C226" s="83" t="inlineStr">
        <is>
          <t>Acolhimento c/ Classif. de Risco</t>
        </is>
      </c>
      <c r="D226" s="64" t="n">
        <v>150</v>
      </c>
      <c r="E226" s="64" t="n">
        <v>119</v>
      </c>
      <c r="F226" s="64" t="n">
        <v>136</v>
      </c>
      <c r="G226" s="64" t="n">
        <v>128</v>
      </c>
      <c r="H226" s="64" t="n">
        <v>111</v>
      </c>
      <c r="I226" s="64" t="n">
        <v>131</v>
      </c>
      <c r="J226" s="64" t="n">
        <v>82</v>
      </c>
      <c r="K226" s="64" t="n">
        <v>197</v>
      </c>
      <c r="L226" s="64" t="n">
        <v>80</v>
      </c>
      <c r="M226" s="64" t="n">
        <v>178</v>
      </c>
      <c r="N226" s="64" t="n">
        <v>169</v>
      </c>
      <c r="O226" s="64" t="n">
        <v>230</v>
      </c>
      <c r="P226" s="64" t="n">
        <v>178</v>
      </c>
    </row>
    <row r="227" ht="15.75" customHeight="1" s="45">
      <c r="A227" s="61" t="n">
        <v>46221</v>
      </c>
      <c r="B227" s="82" t="inlineStr">
        <is>
          <t>Pós-Projeto</t>
        </is>
      </c>
      <c r="C227" s="84" t="inlineStr">
        <is>
          <t>Atend. Urgência Obs. ≤ 24h</t>
        </is>
      </c>
      <c r="D227" s="66" t="n">
        <v>4</v>
      </c>
      <c r="E227" s="66" t="n">
        <v>36</v>
      </c>
      <c r="F227" s="66" t="n">
        <v>16</v>
      </c>
      <c r="G227" s="66" t="n">
        <v>20</v>
      </c>
      <c r="H227" s="66" t="n">
        <v>23</v>
      </c>
      <c r="I227" s="66" t="n">
        <v>32</v>
      </c>
      <c r="J227" s="66" t="n">
        <v>11</v>
      </c>
      <c r="K227" s="66" t="n">
        <v>41</v>
      </c>
      <c r="L227" s="66" t="n">
        <v>27</v>
      </c>
      <c r="M227" s="66" t="n">
        <v>11</v>
      </c>
      <c r="N227" s="66" t="n">
        <v>16</v>
      </c>
      <c r="O227" s="66" t="n">
        <v>7</v>
      </c>
      <c r="P227" s="66" t="n">
        <v>17</v>
      </c>
    </row>
    <row r="228" ht="15.75" customHeight="1" s="45">
      <c r="A228" s="61" t="n">
        <v>46221</v>
      </c>
      <c r="B228" s="82" t="inlineStr">
        <is>
          <t>Pós-Projeto</t>
        </is>
      </c>
      <c r="C228" s="83" t="inlineStr">
        <is>
          <t>Atend. Médico em UPA</t>
        </is>
      </c>
      <c r="D228" s="64" t="n">
        <v>144</v>
      </c>
      <c r="E228" s="64" t="n">
        <v>78</v>
      </c>
      <c r="F228" s="64" t="n">
        <v>76</v>
      </c>
      <c r="G228" s="64" t="n">
        <v>82</v>
      </c>
      <c r="H228" s="64" t="n">
        <v>98</v>
      </c>
      <c r="I228" s="64" t="n">
        <v>114</v>
      </c>
      <c r="J228" s="64" t="n">
        <v>92</v>
      </c>
      <c r="K228" s="64" t="n">
        <v>102</v>
      </c>
      <c r="L228" s="64" t="n">
        <v>73</v>
      </c>
      <c r="M228" s="64" t="n">
        <v>109</v>
      </c>
      <c r="N228" s="64" t="n">
        <v>115</v>
      </c>
      <c r="O228" s="64" t="n">
        <v>176</v>
      </c>
      <c r="P228" s="64" t="n">
        <v>150</v>
      </c>
    </row>
    <row r="229" ht="15.75" customHeight="1" s="45">
      <c r="A229" s="61" t="n">
        <v>46221</v>
      </c>
      <c r="B229" s="82" t="inlineStr">
        <is>
          <t>Pós-Projeto</t>
        </is>
      </c>
      <c r="C229" s="84" t="inlineStr">
        <is>
          <t>Exames Laboratoriais</t>
        </is>
      </c>
      <c r="D229" s="66" t="n">
        <v>619</v>
      </c>
      <c r="E229" s="66" t="n">
        <v>353</v>
      </c>
      <c r="F229" s="66" t="n">
        <v>308</v>
      </c>
      <c r="G229" s="66" t="n">
        <v>219</v>
      </c>
      <c r="H229" s="66" t="n">
        <v>268</v>
      </c>
      <c r="I229" s="66" t="n">
        <v>548</v>
      </c>
      <c r="J229" s="66" t="n">
        <v>223</v>
      </c>
      <c r="K229" s="66" t="n">
        <v>501</v>
      </c>
      <c r="L229" s="66" t="n">
        <v>497</v>
      </c>
      <c r="M229" s="66" t="n">
        <v>475</v>
      </c>
      <c r="N229" s="66" t="n">
        <v>534</v>
      </c>
      <c r="O229" s="66" t="n">
        <v>376</v>
      </c>
      <c r="P229" s="66" t="n">
        <v>540</v>
      </c>
    </row>
    <row r="230" ht="15.75" customHeight="1" s="45">
      <c r="A230" s="61" t="n">
        <v>46221</v>
      </c>
      <c r="B230" s="82" t="inlineStr">
        <is>
          <t>Pós-Projeto</t>
        </is>
      </c>
      <c r="C230" s="83" t="inlineStr">
        <is>
          <t>Radiografias</t>
        </is>
      </c>
      <c r="D230" s="64" t="n">
        <v>19</v>
      </c>
      <c r="E230" s="64" t="n">
        <v>16</v>
      </c>
      <c r="F230" s="64" t="n">
        <v>19</v>
      </c>
      <c r="G230" s="64" t="n">
        <v>17</v>
      </c>
      <c r="H230" s="64" t="n">
        <v>12</v>
      </c>
      <c r="I230" s="64" t="n">
        <v>26</v>
      </c>
      <c r="J230" s="64" t="n">
        <v>16</v>
      </c>
      <c r="K230" s="64" t="n">
        <v>27</v>
      </c>
      <c r="L230" s="64" t="n">
        <v>16</v>
      </c>
      <c r="M230" s="64" t="n">
        <v>37</v>
      </c>
      <c r="N230" s="64" t="n">
        <v>15</v>
      </c>
      <c r="O230" s="64" t="n">
        <v>32</v>
      </c>
      <c r="P230" s="64" t="n">
        <v>29</v>
      </c>
    </row>
    <row r="231" ht="15.75" customHeight="1" s="45">
      <c r="A231" s="61" t="n">
        <v>46221</v>
      </c>
      <c r="B231" s="82" t="inlineStr">
        <is>
          <t>Pós-Projeto</t>
        </is>
      </c>
      <c r="C231" s="84" t="inlineStr">
        <is>
          <t>Eletrocardiogramas</t>
        </is>
      </c>
      <c r="D231" s="66" t="n">
        <v>21</v>
      </c>
      <c r="E231" s="66" t="n">
        <v>1</v>
      </c>
      <c r="F231" s="67" t="n">
        <v>0</v>
      </c>
      <c r="G231" s="66" t="n">
        <v>5</v>
      </c>
      <c r="H231" s="67" t="n">
        <v>0</v>
      </c>
      <c r="I231" s="67" t="n">
        <v>0</v>
      </c>
      <c r="J231" s="67" t="n">
        <v>0</v>
      </c>
      <c r="K231" s="66" t="n">
        <v>2</v>
      </c>
      <c r="L231" s="66" t="n">
        <v>6</v>
      </c>
      <c r="M231" s="67" t="n">
        <v>0</v>
      </c>
      <c r="N231" s="66" t="n">
        <v>6</v>
      </c>
      <c r="O231" s="67" t="n">
        <v>0</v>
      </c>
      <c r="P231" s="67" t="n">
        <v>0</v>
      </c>
    </row>
    <row r="232" ht="15.75" customHeight="1" s="45">
      <c r="A232" s="61" t="n">
        <v>46221</v>
      </c>
      <c r="B232" s="82" t="inlineStr">
        <is>
          <t>Pós-Projeto</t>
        </is>
      </c>
      <c r="C232" s="85" t="inlineStr">
        <is>
          <t>GAEs Abertas</t>
        </is>
      </c>
      <c r="D232" s="69" t="n">
        <v>156</v>
      </c>
      <c r="E232" s="69" t="n">
        <v>123</v>
      </c>
      <c r="F232" s="69" t="n">
        <v>143</v>
      </c>
      <c r="G232" s="69" t="n">
        <v>135</v>
      </c>
      <c r="H232" s="69" t="n">
        <v>115</v>
      </c>
      <c r="I232" s="69" t="n">
        <v>140</v>
      </c>
      <c r="J232" s="69" t="n">
        <v>83</v>
      </c>
      <c r="K232" s="69" t="n">
        <v>226</v>
      </c>
      <c r="L232" s="69" t="n">
        <v>102</v>
      </c>
      <c r="M232" s="69" t="n">
        <v>184</v>
      </c>
      <c r="N232" s="69" t="n">
        <v>176</v>
      </c>
      <c r="O232" s="69" t="n">
        <v>237</v>
      </c>
      <c r="P232" s="69" t="n">
        <v>180</v>
      </c>
    </row>
    <row r="233" ht="15.75" customHeight="1" s="45">
      <c r="A233" s="61" t="n">
        <v>46221</v>
      </c>
      <c r="B233" s="82" t="inlineStr">
        <is>
          <t>Pós-Projeto</t>
        </is>
      </c>
      <c r="C233" s="85" t="inlineStr">
        <is>
          <t>GAEs Classificadas</t>
        </is>
      </c>
      <c r="D233" s="69" t="n">
        <v>150</v>
      </c>
      <c r="E233" s="69" t="n">
        <v>119</v>
      </c>
      <c r="F233" s="69" t="n">
        <v>135</v>
      </c>
      <c r="G233" s="69" t="n">
        <v>130</v>
      </c>
      <c r="H233" s="69" t="n">
        <v>111</v>
      </c>
      <c r="I233" s="69" t="n">
        <v>130</v>
      </c>
      <c r="J233" s="69" t="n">
        <v>82</v>
      </c>
      <c r="K233" s="69" t="n">
        <v>200</v>
      </c>
      <c r="L233" s="69" t="n">
        <v>79</v>
      </c>
      <c r="M233" s="69" t="n">
        <v>175</v>
      </c>
      <c r="N233" s="69" t="n">
        <v>169</v>
      </c>
      <c r="O233" s="69" t="n">
        <v>230</v>
      </c>
      <c r="P233" s="69" t="n">
        <v>176</v>
      </c>
    </row>
    <row r="234" ht="15.75" customHeight="1" s="45">
      <c r="A234" s="61" t="n">
        <v>46221</v>
      </c>
      <c r="B234" s="82" t="inlineStr">
        <is>
          <t>Pós-Projeto</t>
        </is>
      </c>
      <c r="C234" s="86" t="inlineStr">
        <is>
          <t>Percentual de GAEs abertas classificadas</t>
        </is>
      </c>
      <c r="D234" s="71">
        <f>IFERROR(D233/D232,"-")</f>
        <v/>
      </c>
      <c r="E234" s="71">
        <f>IFERROR(E233/E232,"-")</f>
        <v/>
      </c>
      <c r="F234" s="71">
        <f>IFERROR(F233/F232,"-")</f>
        <v/>
      </c>
      <c r="G234" s="71">
        <f>IFERROR(G233/G232,"-")</f>
        <v/>
      </c>
      <c r="H234" s="71">
        <f>IFERROR(H233/H232,"-")</f>
        <v/>
      </c>
      <c r="I234" s="71">
        <f>IFERROR(I233/I232,"-")</f>
        <v/>
      </c>
      <c r="J234" s="71">
        <f>IFERROR(J233/J232,"-")</f>
        <v/>
      </c>
      <c r="K234" s="71">
        <f>IFERROR(K233/K232,"-")</f>
        <v/>
      </c>
      <c r="L234" s="71">
        <f>IFERROR(L233/L232,"-")</f>
        <v/>
      </c>
      <c r="M234" s="71">
        <f>IFERROR(M233/M232,"-")</f>
        <v/>
      </c>
      <c r="N234" s="71">
        <f>IFERROR(N233/N232,"-")</f>
        <v/>
      </c>
      <c r="O234" s="71">
        <f>IFERROR(O233/O232,"-")</f>
        <v/>
      </c>
      <c r="P234" s="71">
        <f>IFERROR(P233/P232,"-")</f>
        <v/>
      </c>
    </row>
    <row r="235" ht="15.75" customHeight="1" s="45">
      <c r="A235" s="61" t="n">
        <v>46221</v>
      </c>
      <c r="B235" s="82" t="inlineStr">
        <is>
          <t>Pós-Projeto</t>
        </is>
      </c>
      <c r="C235" s="87" t="inlineStr">
        <is>
          <t>Tempo Médio — 🟡 Amarelo (hh:mm)</t>
        </is>
      </c>
      <c r="D235" s="73" t="n">
        <v>0.02984953703703704</v>
      </c>
      <c r="E235" s="73" t="n">
        <v>0.09351851851851851</v>
      </c>
      <c r="F235" s="73" t="n">
        <v>0.1152430555555556</v>
      </c>
      <c r="G235" s="73" t="n">
        <v>0.02288194444444444</v>
      </c>
      <c r="H235" s="73" t="n">
        <v>0.03041666666666667</v>
      </c>
      <c r="I235" s="73" t="n">
        <v>0.0237962962962963</v>
      </c>
      <c r="J235" s="73" t="n">
        <v>0.02818287037037037</v>
      </c>
      <c r="K235" s="73" t="n">
        <v>0.05701388888888889</v>
      </c>
      <c r="L235" s="73" t="n">
        <v>0.0812962962962963</v>
      </c>
      <c r="M235" s="73" t="n">
        <v>0.06959490740740741</v>
      </c>
      <c r="N235" s="73" t="n">
        <v>0.06557870370370371</v>
      </c>
      <c r="O235" s="73" t="n">
        <v>0.04201388888888889</v>
      </c>
      <c r="P235" s="73" t="n">
        <v>0.02451388888888889</v>
      </c>
    </row>
    <row r="236" ht="15.75" customHeight="1" s="45">
      <c r="A236" s="61" t="n">
        <v>46221</v>
      </c>
      <c r="B236" s="82" t="inlineStr">
        <is>
          <t>Pós-Projeto</t>
        </is>
      </c>
      <c r="C236" s="88" t="inlineStr">
        <is>
          <t>Tempo Médio — 🟠 Laranja (hh:mm)</t>
        </is>
      </c>
      <c r="D236" s="75" t="n">
        <v>0.004803240740740741</v>
      </c>
      <c r="E236" s="75" t="n">
        <v>0.01260416666666667</v>
      </c>
      <c r="F236" s="75" t="n">
        <v>0.0053125</v>
      </c>
      <c r="G236" s="75" t="n">
        <v>0.01121527777777778</v>
      </c>
      <c r="H236" s="75" t="n">
        <v>0.006053240740740741</v>
      </c>
      <c r="I236" s="75" t="n">
        <v>0.008368055555555556</v>
      </c>
      <c r="J236" s="75" t="n">
        <v>0.004178240740740741</v>
      </c>
      <c r="K236" s="75" t="n">
        <v>0.02737268518518518</v>
      </c>
      <c r="L236" s="75" t="n">
        <v>0.01809027777777778</v>
      </c>
      <c r="M236" s="75" t="n">
        <v>0.01870370370370371</v>
      </c>
      <c r="N236" s="75" t="n">
        <v>0.01266203703703704</v>
      </c>
      <c r="O236" s="75" t="n">
        <v>0.00798611111111111</v>
      </c>
      <c r="P236" s="75" t="n">
        <v>0.01150462962962963</v>
      </c>
    </row>
    <row r="237" ht="15.75" customHeight="1" s="45">
      <c r="A237" s="76" t="n">
        <v>46221</v>
      </c>
      <c r="B237" s="82" t="inlineStr">
        <is>
          <t>Pós-Projeto</t>
        </is>
      </c>
      <c r="C237" s="91" t="inlineStr">
        <is>
          <t>Tempo Médio — 🟢 Verde   (hh:mm)</t>
        </is>
      </c>
      <c r="D237" s="79" t="n">
        <v>0.0516087962962963</v>
      </c>
      <c r="E237" s="79" t="n">
        <v>0.1368402777777778</v>
      </c>
      <c r="F237" s="79" t="n">
        <v>0.1627083333333333</v>
      </c>
      <c r="G237" s="79" t="n">
        <v>0.03137731481481482</v>
      </c>
      <c r="H237" s="79" t="n">
        <v>0.09797453703703704</v>
      </c>
      <c r="I237" s="79" t="n">
        <v>0.1414583333333333</v>
      </c>
      <c r="J237" s="79" t="n">
        <v>0.05662037037037037</v>
      </c>
      <c r="K237" s="79" t="n">
        <v>0.06116898148148148</v>
      </c>
      <c r="L237" s="79" t="n">
        <v>0.06483796296296296</v>
      </c>
      <c r="M237" s="79" t="n">
        <v>0.08032407407407408</v>
      </c>
      <c r="N237" s="79" t="n">
        <v>0.164849537037037</v>
      </c>
      <c r="O237" s="79" t="n">
        <v>0.1458449074074074</v>
      </c>
      <c r="P237" s="79" t="n">
        <v>0.0447337962962963</v>
      </c>
    </row>
    <row r="238" ht="15.75" customHeight="1" s="45">
      <c r="A238" s="57" t="n">
        <v>46222</v>
      </c>
      <c r="B238" s="81" t="inlineStr">
        <is>
          <t>Pós-Projeto</t>
        </is>
      </c>
      <c r="C238" s="59" t="inlineStr">
        <is>
          <t>Acolhim. + Atend. Urgência + Atend. UPA</t>
        </is>
      </c>
      <c r="D238" s="60">
        <f>SUM(D239:D241)</f>
        <v/>
      </c>
      <c r="E238" s="60">
        <f>SUM(E239:E241)</f>
        <v/>
      </c>
      <c r="F238" s="60">
        <f>SUM(F239:F241)</f>
        <v/>
      </c>
      <c r="G238" s="60">
        <f>SUM(G239:G241)</f>
        <v/>
      </c>
      <c r="H238" s="60">
        <f>SUM(H239:H241)</f>
        <v/>
      </c>
      <c r="I238" s="60">
        <f>SUM(I239:I241)</f>
        <v/>
      </c>
      <c r="J238" s="60">
        <f>SUM(J239:J241)</f>
        <v/>
      </c>
      <c r="K238" s="60">
        <f>SUM(K239:K241)</f>
        <v/>
      </c>
      <c r="L238" s="60">
        <f>SUM(L239:L241)</f>
        <v/>
      </c>
      <c r="M238" s="60">
        <f>SUM(M239:M241)</f>
        <v/>
      </c>
      <c r="N238" s="60">
        <f>SUM(N239:N241)</f>
        <v/>
      </c>
      <c r="O238" s="60">
        <f>SUM(O239:O241)</f>
        <v/>
      </c>
      <c r="P238" s="60">
        <f>SUM(P239:P241)</f>
        <v/>
      </c>
    </row>
    <row r="239" ht="15.75" customHeight="1" s="45">
      <c r="A239" s="61" t="n">
        <v>46222</v>
      </c>
      <c r="B239" s="82" t="inlineStr">
        <is>
          <t>Pós-Projeto</t>
        </is>
      </c>
      <c r="C239" s="83" t="inlineStr">
        <is>
          <t>Acolhimento c/ Classif. de Risco</t>
        </is>
      </c>
      <c r="D239" s="64" t="n">
        <v>149</v>
      </c>
      <c r="E239" s="64" t="n">
        <v>128</v>
      </c>
      <c r="F239" s="64" t="n">
        <v>97</v>
      </c>
      <c r="G239" s="64" t="n">
        <v>111</v>
      </c>
      <c r="H239" s="64" t="n">
        <v>102</v>
      </c>
      <c r="I239" s="64" t="n">
        <v>145</v>
      </c>
      <c r="J239" s="64" t="n">
        <v>84</v>
      </c>
      <c r="K239" s="64" t="n">
        <v>212</v>
      </c>
      <c r="L239" s="64" t="n">
        <v>82</v>
      </c>
      <c r="M239" s="64" t="n">
        <v>176</v>
      </c>
      <c r="N239" s="64" t="n">
        <v>166</v>
      </c>
      <c r="O239" s="64" t="n">
        <v>166</v>
      </c>
      <c r="P239" s="64" t="n">
        <v>182</v>
      </c>
    </row>
    <row r="240" ht="15.75" customHeight="1" s="45">
      <c r="A240" s="61" t="n">
        <v>46222</v>
      </c>
      <c r="B240" s="82" t="inlineStr">
        <is>
          <t>Pós-Projeto</t>
        </is>
      </c>
      <c r="C240" s="84" t="inlineStr">
        <is>
          <t>Atend. Urgência Obs. ≤ 24h</t>
        </is>
      </c>
      <c r="D240" s="66" t="n">
        <v>2</v>
      </c>
      <c r="E240" s="66" t="n">
        <v>35</v>
      </c>
      <c r="F240" s="66" t="n">
        <v>19</v>
      </c>
      <c r="G240" s="66" t="n">
        <v>21</v>
      </c>
      <c r="H240" s="66" t="n">
        <v>6</v>
      </c>
      <c r="I240" s="66" t="n">
        <v>25</v>
      </c>
      <c r="J240" s="66" t="n">
        <v>12</v>
      </c>
      <c r="K240" s="66" t="n">
        <v>35</v>
      </c>
      <c r="L240" s="66" t="n">
        <v>36</v>
      </c>
      <c r="M240" s="66" t="n">
        <v>15</v>
      </c>
      <c r="N240" s="66" t="n">
        <v>35</v>
      </c>
      <c r="O240" s="66" t="n">
        <v>9</v>
      </c>
      <c r="P240" s="66" t="n">
        <v>33</v>
      </c>
    </row>
    <row r="241" ht="15.75" customHeight="1" s="45">
      <c r="A241" s="61" t="n">
        <v>46222</v>
      </c>
      <c r="B241" s="82" t="inlineStr">
        <is>
          <t>Pós-Projeto</t>
        </is>
      </c>
      <c r="C241" s="83" t="inlineStr">
        <is>
          <t>Atend. Médico em UPA</t>
        </is>
      </c>
      <c r="D241" s="64" t="n">
        <v>130</v>
      </c>
      <c r="E241" s="64" t="n">
        <v>103</v>
      </c>
      <c r="F241" s="64" t="n">
        <v>73</v>
      </c>
      <c r="G241" s="64" t="n">
        <v>64</v>
      </c>
      <c r="H241" s="64" t="n">
        <v>69</v>
      </c>
      <c r="I241" s="64" t="n">
        <v>136</v>
      </c>
      <c r="J241" s="64" t="n">
        <v>69</v>
      </c>
      <c r="K241" s="64" t="n">
        <v>160</v>
      </c>
      <c r="L241" s="64" t="n">
        <v>64</v>
      </c>
      <c r="M241" s="64" t="n">
        <v>134</v>
      </c>
      <c r="N241" s="64" t="n">
        <v>89</v>
      </c>
      <c r="O241" s="64" t="n">
        <v>106</v>
      </c>
      <c r="P241" s="64" t="n">
        <v>121</v>
      </c>
    </row>
    <row r="242" ht="15.75" customHeight="1" s="45">
      <c r="A242" s="61" t="n">
        <v>46222</v>
      </c>
      <c r="B242" s="82" t="inlineStr">
        <is>
          <t>Pós-Projeto</t>
        </is>
      </c>
      <c r="C242" s="84" t="inlineStr">
        <is>
          <t>Exames Laboratoriais</t>
        </is>
      </c>
      <c r="D242" s="66" t="n">
        <v>489</v>
      </c>
      <c r="E242" s="66" t="n">
        <v>443</v>
      </c>
      <c r="F242" s="66" t="n">
        <v>444</v>
      </c>
      <c r="G242" s="66" t="n">
        <v>327</v>
      </c>
      <c r="H242" s="66" t="n">
        <v>236</v>
      </c>
      <c r="I242" s="66" t="n">
        <v>588</v>
      </c>
      <c r="J242" s="66" t="n">
        <v>154</v>
      </c>
      <c r="K242" s="66" t="n">
        <v>600</v>
      </c>
      <c r="L242" s="66" t="n">
        <v>514</v>
      </c>
      <c r="M242" s="66" t="n">
        <v>737</v>
      </c>
      <c r="N242" s="66" t="n">
        <v>451</v>
      </c>
      <c r="O242" s="66" t="n">
        <v>415</v>
      </c>
      <c r="P242" s="66" t="n">
        <v>450</v>
      </c>
    </row>
    <row r="243" ht="15.75" customHeight="1" s="45">
      <c r="A243" s="61" t="n">
        <v>46222</v>
      </c>
      <c r="B243" s="82" t="inlineStr">
        <is>
          <t>Pós-Projeto</t>
        </is>
      </c>
      <c r="C243" s="83" t="inlineStr">
        <is>
          <t>Radiografias</t>
        </is>
      </c>
      <c r="D243" s="64" t="n">
        <v>27</v>
      </c>
      <c r="E243" s="64" t="n">
        <v>17</v>
      </c>
      <c r="F243" s="64" t="n">
        <v>16</v>
      </c>
      <c r="G243" s="64" t="n">
        <v>17</v>
      </c>
      <c r="H243" s="64" t="n">
        <v>10</v>
      </c>
      <c r="I243" s="64" t="n">
        <v>22</v>
      </c>
      <c r="J243" s="64" t="n">
        <v>7</v>
      </c>
      <c r="K243" s="64" t="n">
        <v>32</v>
      </c>
      <c r="L243" s="64" t="n">
        <v>18</v>
      </c>
      <c r="M243" s="64" t="n">
        <v>35</v>
      </c>
      <c r="N243" s="64" t="n">
        <v>29</v>
      </c>
      <c r="O243" s="64" t="n">
        <v>12</v>
      </c>
      <c r="P243" s="64" t="n">
        <v>41</v>
      </c>
    </row>
    <row r="244" ht="15.75" customHeight="1" s="45">
      <c r="A244" s="61" t="n">
        <v>46222</v>
      </c>
      <c r="B244" s="82" t="inlineStr">
        <is>
          <t>Pós-Projeto</t>
        </is>
      </c>
      <c r="C244" s="84" t="inlineStr">
        <is>
          <t>Eletrocardiogramas</t>
        </is>
      </c>
      <c r="D244" s="66" t="n">
        <v>13</v>
      </c>
      <c r="E244" s="67" t="n">
        <v>0</v>
      </c>
      <c r="F244" s="67" t="n">
        <v>0</v>
      </c>
      <c r="G244" s="66" t="n">
        <v>1</v>
      </c>
      <c r="H244" s="67" t="n">
        <v>0</v>
      </c>
      <c r="I244" s="66" t="n">
        <v>1</v>
      </c>
      <c r="J244" s="67" t="n">
        <v>0</v>
      </c>
      <c r="K244" s="66" t="n">
        <v>3</v>
      </c>
      <c r="L244" s="66" t="n">
        <v>11</v>
      </c>
      <c r="M244" s="67" t="n">
        <v>0</v>
      </c>
      <c r="N244" s="66" t="n">
        <v>11</v>
      </c>
      <c r="O244" s="67" t="n">
        <v>0</v>
      </c>
      <c r="P244" s="66" t="n">
        <v>6</v>
      </c>
    </row>
    <row r="245" ht="15.75" customHeight="1" s="45">
      <c r="A245" s="61" t="n">
        <v>46222</v>
      </c>
      <c r="B245" s="82" t="inlineStr">
        <is>
          <t>Pós-Projeto</t>
        </is>
      </c>
      <c r="C245" s="85" t="inlineStr">
        <is>
          <t>GAEs Abertas</t>
        </is>
      </c>
      <c r="D245" s="69" t="n">
        <v>151</v>
      </c>
      <c r="E245" s="69" t="n">
        <v>133</v>
      </c>
      <c r="F245" s="69" t="n">
        <v>104</v>
      </c>
      <c r="G245" s="69" t="n">
        <v>131</v>
      </c>
      <c r="H245" s="69" t="n">
        <v>105</v>
      </c>
      <c r="I245" s="69" t="n">
        <v>157</v>
      </c>
      <c r="J245" s="69" t="n">
        <v>87</v>
      </c>
      <c r="K245" s="69" t="n">
        <v>229</v>
      </c>
      <c r="L245" s="69" t="n">
        <v>91</v>
      </c>
      <c r="M245" s="69" t="n">
        <v>183</v>
      </c>
      <c r="N245" s="69" t="n">
        <v>169</v>
      </c>
      <c r="O245" s="69" t="n">
        <v>171</v>
      </c>
      <c r="P245" s="69" t="n">
        <v>186</v>
      </c>
    </row>
    <row r="246" ht="15.75" customHeight="1" s="45">
      <c r="A246" s="61" t="n">
        <v>46222</v>
      </c>
      <c r="B246" s="82" t="inlineStr">
        <is>
          <t>Pós-Projeto</t>
        </is>
      </c>
      <c r="C246" s="85" t="inlineStr">
        <is>
          <t>GAEs Classificadas</t>
        </is>
      </c>
      <c r="D246" s="69" t="n">
        <v>149</v>
      </c>
      <c r="E246" s="69" t="n">
        <v>128</v>
      </c>
      <c r="F246" s="69" t="n">
        <v>97</v>
      </c>
      <c r="G246" s="69" t="n">
        <v>109</v>
      </c>
      <c r="H246" s="69" t="n">
        <v>102</v>
      </c>
      <c r="I246" s="69" t="n">
        <v>145</v>
      </c>
      <c r="J246" s="69" t="n">
        <v>84</v>
      </c>
      <c r="K246" s="69" t="n">
        <v>210</v>
      </c>
      <c r="L246" s="69" t="n">
        <v>82</v>
      </c>
      <c r="M246" s="69" t="n">
        <v>176</v>
      </c>
      <c r="N246" s="69" t="n">
        <v>167</v>
      </c>
      <c r="O246" s="69" t="n">
        <v>167</v>
      </c>
      <c r="P246" s="69" t="n">
        <v>182</v>
      </c>
    </row>
    <row r="247" ht="15.75" customHeight="1" s="45">
      <c r="A247" s="61" t="n">
        <v>46222</v>
      </c>
      <c r="B247" s="82" t="inlineStr">
        <is>
          <t>Pós-Projeto</t>
        </is>
      </c>
      <c r="C247" s="86" t="inlineStr">
        <is>
          <t>Percentual de GAEs abertas classificadas</t>
        </is>
      </c>
      <c r="D247" s="71">
        <f>IFERROR(D246/D245,"-")</f>
        <v/>
      </c>
      <c r="E247" s="71">
        <f>IFERROR(E246/E245,"-")</f>
        <v/>
      </c>
      <c r="F247" s="71">
        <f>IFERROR(F246/F245,"-")</f>
        <v/>
      </c>
      <c r="G247" s="71">
        <f>IFERROR(G246/G245,"-")</f>
        <v/>
      </c>
      <c r="H247" s="71">
        <f>IFERROR(H246/H245,"-")</f>
        <v/>
      </c>
      <c r="I247" s="71">
        <f>IFERROR(I246/I245,"-")</f>
        <v/>
      </c>
      <c r="J247" s="71">
        <f>IFERROR(J246/J245,"-")</f>
        <v/>
      </c>
      <c r="K247" s="71">
        <f>IFERROR(K246/K245,"-")</f>
        <v/>
      </c>
      <c r="L247" s="71">
        <f>IFERROR(L246/L245,"-")</f>
        <v/>
      </c>
      <c r="M247" s="71">
        <f>IFERROR(M246/M245,"-")</f>
        <v/>
      </c>
      <c r="N247" s="71">
        <f>IFERROR(N246/N245,"-")</f>
        <v/>
      </c>
      <c r="O247" s="71">
        <f>IFERROR(O246/O245,"-")</f>
        <v/>
      </c>
      <c r="P247" s="71">
        <f>IFERROR(P246/P245,"-")</f>
        <v/>
      </c>
    </row>
    <row r="248" ht="15.75" customHeight="1" s="45">
      <c r="A248" s="61" t="n">
        <v>46222</v>
      </c>
      <c r="B248" s="82" t="inlineStr">
        <is>
          <t>Pós-Projeto</t>
        </is>
      </c>
      <c r="C248" s="87" t="inlineStr">
        <is>
          <t>Tempo Médio — 🟡 Amarelo (hh:mm)</t>
        </is>
      </c>
      <c r="D248" s="73" t="n">
        <v>0.02502314814814815</v>
      </c>
      <c r="E248" s="73" t="n">
        <v>0.04548611111111111</v>
      </c>
      <c r="F248" s="73" t="n">
        <v>0.0525</v>
      </c>
      <c r="G248" s="73" t="n">
        <v>0.05944444444444445</v>
      </c>
      <c r="H248" s="73" t="n">
        <v>0.04574074074074074</v>
      </c>
      <c r="I248" s="73" t="n">
        <v>0.0218287037037037</v>
      </c>
      <c r="J248" s="73" t="n">
        <v>0.09890046296296297</v>
      </c>
      <c r="K248" s="73" t="n">
        <v>0.08939814814814814</v>
      </c>
      <c r="L248" s="73" t="n">
        <v>0.0817824074074074</v>
      </c>
      <c r="M248" s="73" t="n">
        <v>0.03803240740740741</v>
      </c>
      <c r="N248" s="73" t="n">
        <v>0.04157407407407408</v>
      </c>
      <c r="O248" s="73" t="n">
        <v>0.04158564814814815</v>
      </c>
      <c r="P248" s="73" t="n">
        <v>0.02461805555555556</v>
      </c>
    </row>
    <row r="249" ht="15.75" customHeight="1" s="45">
      <c r="A249" s="61" t="n">
        <v>46222</v>
      </c>
      <c r="B249" s="82" t="inlineStr">
        <is>
          <t>Pós-Projeto</t>
        </is>
      </c>
      <c r="C249" s="88" t="inlineStr">
        <is>
          <t>Tempo Médio — 🟠 Laranja (hh:mm)</t>
        </is>
      </c>
      <c r="D249" s="75" t="n">
        <v>0.008287037037037037</v>
      </c>
      <c r="E249" s="75" t="n">
        <v>0.008449074074074074</v>
      </c>
      <c r="F249" s="75" t="n">
        <v>0.009710648148148149</v>
      </c>
      <c r="G249" s="75" t="n">
        <v>0.005381944444444444</v>
      </c>
      <c r="H249" s="75" t="n">
        <v>0.008067129629629629</v>
      </c>
      <c r="I249" s="75" t="n">
        <v>0.0075</v>
      </c>
      <c r="J249" s="75" t="n">
        <v>0.010625</v>
      </c>
      <c r="K249" s="75" t="n">
        <v>0.0128587962962963</v>
      </c>
      <c r="L249" s="75" t="n">
        <v>0.01481481481481482</v>
      </c>
      <c r="M249" s="75" t="n">
        <v>0.007094907407407407</v>
      </c>
      <c r="N249" s="75" t="n">
        <v>0.008402777777777778</v>
      </c>
      <c r="O249" s="75" t="n">
        <v>0.01186342592592593</v>
      </c>
      <c r="P249" s="75" t="n">
        <v>0.005324074074074074</v>
      </c>
    </row>
    <row r="250" ht="15.75" customHeight="1" s="45">
      <c r="A250" s="76" t="n">
        <v>46222</v>
      </c>
      <c r="B250" s="82" t="inlineStr">
        <is>
          <t>Pós-Projeto</t>
        </is>
      </c>
      <c r="C250" s="91" t="inlineStr">
        <is>
          <t>Tempo Médio — 🟢 Verde   (hh:mm)</t>
        </is>
      </c>
      <c r="D250" s="79" t="n">
        <v>0.09221064814814815</v>
      </c>
      <c r="E250" s="79" t="n">
        <v>0.1590625</v>
      </c>
      <c r="F250" s="79" t="n">
        <v>0.2136921296296296</v>
      </c>
      <c r="G250" s="79" t="n">
        <v>0.1106481481481481</v>
      </c>
      <c r="H250" s="79" t="n">
        <v>0.03872685185185185</v>
      </c>
      <c r="I250" s="79" t="n">
        <v>0.08113425925925925</v>
      </c>
      <c r="J250" s="79" t="n">
        <v>0.1701041666666667</v>
      </c>
      <c r="K250" s="79" t="n">
        <v>0.1246527777777778</v>
      </c>
      <c r="L250" s="79" t="n">
        <v>0.1054166666666667</v>
      </c>
      <c r="M250" s="79" t="n">
        <v>0.0293287037037037</v>
      </c>
      <c r="N250" s="79" t="n">
        <v>0.1107638888888889</v>
      </c>
      <c r="O250" s="79" t="n">
        <v>0.06434027777777777</v>
      </c>
      <c r="P250" s="79" t="n">
        <v>0.06234953703703704</v>
      </c>
    </row>
    <row r="251" ht="15.75" customHeight="1" s="45">
      <c r="A251" s="57" t="n">
        <v>46223</v>
      </c>
      <c r="B251" s="81" t="inlineStr">
        <is>
          <t>Pós-Projeto</t>
        </is>
      </c>
      <c r="C251" s="59" t="inlineStr">
        <is>
          <t>Acolhim. + Atend. Urgência + Atend. UPA</t>
        </is>
      </c>
      <c r="D251" s="60">
        <f>SUM(D252:D254)</f>
        <v/>
      </c>
      <c r="E251" s="60">
        <f>SUM(E252:E254)</f>
        <v/>
      </c>
      <c r="F251" s="60">
        <f>SUM(F252:F254)</f>
        <v/>
      </c>
      <c r="G251" s="60">
        <f>SUM(G252:G254)</f>
        <v/>
      </c>
      <c r="H251" s="60">
        <f>SUM(H252:H254)</f>
        <v/>
      </c>
      <c r="I251" s="60">
        <f>SUM(I252:I254)</f>
        <v/>
      </c>
      <c r="J251" s="60">
        <f>SUM(J252:J254)</f>
        <v/>
      </c>
      <c r="K251" s="60">
        <f>SUM(K252:K254)</f>
        <v/>
      </c>
      <c r="L251" s="60">
        <f>SUM(L252:L254)</f>
        <v/>
      </c>
      <c r="M251" s="60">
        <f>SUM(M252:M254)</f>
        <v/>
      </c>
      <c r="N251" s="60">
        <f>SUM(N252:N254)</f>
        <v/>
      </c>
      <c r="O251" s="60">
        <f>SUM(O252:O254)</f>
        <v/>
      </c>
      <c r="P251" s="60">
        <f>SUM(P252:P254)</f>
        <v/>
      </c>
    </row>
    <row r="252" ht="15.75" customHeight="1" s="45">
      <c r="A252" s="61" t="n">
        <v>46223</v>
      </c>
      <c r="B252" s="82" t="inlineStr">
        <is>
          <t>Pós-Projeto</t>
        </is>
      </c>
      <c r="C252" s="83" t="inlineStr">
        <is>
          <t>Acolhimento c/ Classif. de Risco</t>
        </is>
      </c>
      <c r="D252" s="64" t="n">
        <v>240</v>
      </c>
      <c r="E252" s="64" t="n">
        <v>162</v>
      </c>
      <c r="F252" s="64" t="n">
        <v>144</v>
      </c>
      <c r="G252" s="64" t="n">
        <v>172</v>
      </c>
      <c r="H252" s="64" t="n">
        <v>158</v>
      </c>
      <c r="I252" s="64" t="n">
        <v>197</v>
      </c>
      <c r="J252" s="64" t="n">
        <v>118</v>
      </c>
      <c r="K252" s="64" t="n">
        <v>292</v>
      </c>
      <c r="L252" s="64" t="n">
        <v>134</v>
      </c>
      <c r="M252" s="64" t="n">
        <v>204</v>
      </c>
      <c r="N252" s="64" t="n">
        <v>219</v>
      </c>
      <c r="O252" s="64" t="n">
        <v>270</v>
      </c>
      <c r="P252" s="64" t="n">
        <v>226</v>
      </c>
    </row>
    <row r="253" ht="15.75" customHeight="1" s="45">
      <c r="A253" s="61" t="n">
        <v>46223</v>
      </c>
      <c r="B253" s="82" t="inlineStr">
        <is>
          <t>Pós-Projeto</t>
        </is>
      </c>
      <c r="C253" s="84" t="inlineStr">
        <is>
          <t>Atend. Urgência Obs. ≤ 24h</t>
        </is>
      </c>
      <c r="D253" s="66" t="n">
        <v>12</v>
      </c>
      <c r="E253" s="66" t="n">
        <v>12</v>
      </c>
      <c r="F253" s="66" t="n">
        <v>14</v>
      </c>
      <c r="G253" s="66" t="n">
        <v>21</v>
      </c>
      <c r="H253" s="66" t="n">
        <v>3</v>
      </c>
      <c r="I253" s="66" t="n">
        <v>13</v>
      </c>
      <c r="J253" s="66" t="n">
        <v>4</v>
      </c>
      <c r="K253" s="66" t="n">
        <v>22</v>
      </c>
      <c r="L253" s="66" t="n">
        <v>34</v>
      </c>
      <c r="M253" s="66" t="n">
        <v>31</v>
      </c>
      <c r="N253" s="66" t="n">
        <v>33</v>
      </c>
      <c r="O253" s="66" t="n">
        <v>33</v>
      </c>
      <c r="P253" s="66" t="n">
        <v>16</v>
      </c>
    </row>
    <row r="254" ht="15.75" customHeight="1" s="45">
      <c r="A254" s="61" t="n">
        <v>46223</v>
      </c>
      <c r="B254" s="82" t="inlineStr">
        <is>
          <t>Pós-Projeto</t>
        </is>
      </c>
      <c r="C254" s="83" t="inlineStr">
        <is>
          <t>Atend. Médico em UPA</t>
        </is>
      </c>
      <c r="D254" s="64" t="n">
        <v>177</v>
      </c>
      <c r="E254" s="64" t="n">
        <v>135</v>
      </c>
      <c r="F254" s="64" t="n">
        <v>114</v>
      </c>
      <c r="G254" s="64" t="n">
        <v>135</v>
      </c>
      <c r="H254" s="64" t="n">
        <v>112</v>
      </c>
      <c r="I254" s="64" t="n">
        <v>150</v>
      </c>
      <c r="J254" s="64" t="n">
        <v>88</v>
      </c>
      <c r="K254" s="64" t="n">
        <v>233</v>
      </c>
      <c r="L254" s="64" t="n">
        <v>69</v>
      </c>
      <c r="M254" s="64" t="n">
        <v>152</v>
      </c>
      <c r="N254" s="64" t="n">
        <v>146</v>
      </c>
      <c r="O254" s="64" t="n">
        <v>200</v>
      </c>
      <c r="P254" s="64" t="n">
        <v>166</v>
      </c>
    </row>
    <row r="255" ht="15.75" customHeight="1" s="45">
      <c r="A255" s="61" t="n">
        <v>46223</v>
      </c>
      <c r="B255" s="82" t="inlineStr">
        <is>
          <t>Pós-Projeto</t>
        </is>
      </c>
      <c r="C255" s="84" t="inlineStr">
        <is>
          <t>Exames Laboratoriais</t>
        </is>
      </c>
      <c r="D255" s="66" t="n">
        <v>599</v>
      </c>
      <c r="E255" s="66" t="n">
        <v>575</v>
      </c>
      <c r="F255" s="66" t="n">
        <v>356</v>
      </c>
      <c r="G255" s="66" t="n">
        <v>513</v>
      </c>
      <c r="H255" s="66" t="n">
        <v>303</v>
      </c>
      <c r="I255" s="66" t="n">
        <v>515</v>
      </c>
      <c r="J255" s="66" t="n">
        <v>280</v>
      </c>
      <c r="K255" s="66" t="n">
        <v>910</v>
      </c>
      <c r="L255" s="66" t="n">
        <v>387</v>
      </c>
      <c r="M255" s="66" t="n">
        <v>483</v>
      </c>
      <c r="N255" s="66" t="n">
        <v>330</v>
      </c>
      <c r="O255" s="66" t="n">
        <v>636</v>
      </c>
      <c r="P255" s="66" t="n">
        <v>184</v>
      </c>
    </row>
    <row r="256" ht="15.75" customHeight="1" s="45">
      <c r="A256" s="61" t="n">
        <v>46223</v>
      </c>
      <c r="B256" s="82" t="inlineStr">
        <is>
          <t>Pós-Projeto</t>
        </is>
      </c>
      <c r="C256" s="83" t="inlineStr">
        <is>
          <t>Radiografias</t>
        </is>
      </c>
      <c r="D256" s="64" t="n">
        <v>42</v>
      </c>
      <c r="E256" s="64" t="n">
        <v>34</v>
      </c>
      <c r="F256" s="64" t="n">
        <v>20</v>
      </c>
      <c r="G256" s="64" t="n">
        <v>27</v>
      </c>
      <c r="H256" s="64" t="n">
        <v>19</v>
      </c>
      <c r="I256" s="64" t="n">
        <v>15</v>
      </c>
      <c r="J256" s="64" t="n">
        <v>14</v>
      </c>
      <c r="K256" s="64" t="n">
        <v>57</v>
      </c>
      <c r="L256" s="64" t="n">
        <v>8</v>
      </c>
      <c r="M256" s="64" t="n">
        <v>25</v>
      </c>
      <c r="N256" s="64" t="n">
        <v>7</v>
      </c>
      <c r="O256" s="64" t="n">
        <v>32</v>
      </c>
      <c r="P256" s="64" t="n">
        <v>47</v>
      </c>
    </row>
    <row r="257" ht="15.75" customHeight="1" s="45">
      <c r="A257" s="61" t="n">
        <v>46223</v>
      </c>
      <c r="B257" s="82" t="inlineStr">
        <is>
          <t>Pós-Projeto</t>
        </is>
      </c>
      <c r="C257" s="84" t="inlineStr">
        <is>
          <t>Eletrocardiogramas</t>
        </is>
      </c>
      <c r="D257" s="66" t="n">
        <v>15</v>
      </c>
      <c r="E257" s="67" t="n">
        <v>0</v>
      </c>
      <c r="F257" s="67" t="n">
        <v>0</v>
      </c>
      <c r="G257" s="66" t="n">
        <v>24</v>
      </c>
      <c r="H257" s="67" t="n">
        <v>0</v>
      </c>
      <c r="I257" s="67" t="n">
        <v>0</v>
      </c>
      <c r="J257" s="67" t="n">
        <v>0</v>
      </c>
      <c r="K257" s="66" t="n">
        <v>4</v>
      </c>
      <c r="L257" s="67" t="n">
        <v>0</v>
      </c>
      <c r="M257" s="67" t="n">
        <v>0</v>
      </c>
      <c r="N257" s="66" t="n">
        <v>15</v>
      </c>
      <c r="O257" s="67" t="n">
        <v>0</v>
      </c>
      <c r="P257" s="66" t="n">
        <v>5</v>
      </c>
    </row>
    <row r="258" ht="15.75" customHeight="1" s="45">
      <c r="A258" s="61" t="n">
        <v>46223</v>
      </c>
      <c r="B258" s="82" t="inlineStr">
        <is>
          <t>Pós-Projeto</t>
        </is>
      </c>
      <c r="C258" s="85" t="inlineStr">
        <is>
          <t>GAEs Abertas</t>
        </is>
      </c>
      <c r="D258" s="69" t="n">
        <v>255</v>
      </c>
      <c r="E258" s="69" t="n">
        <v>164</v>
      </c>
      <c r="F258" s="69" t="n">
        <v>153</v>
      </c>
      <c r="G258" s="69" t="n">
        <v>174</v>
      </c>
      <c r="H258" s="69" t="n">
        <v>165</v>
      </c>
      <c r="I258" s="69" t="n">
        <v>213</v>
      </c>
      <c r="J258" s="69" t="n">
        <v>125</v>
      </c>
      <c r="K258" s="69" t="n">
        <v>302</v>
      </c>
      <c r="L258" s="69" t="n">
        <v>147</v>
      </c>
      <c r="M258" s="69" t="n">
        <v>208</v>
      </c>
      <c r="N258" s="69" t="n">
        <v>223</v>
      </c>
      <c r="O258" s="69" t="n">
        <v>279</v>
      </c>
      <c r="P258" s="69" t="n">
        <v>239</v>
      </c>
    </row>
    <row r="259" ht="15.75" customHeight="1" s="45">
      <c r="A259" s="61" t="n">
        <v>46223</v>
      </c>
      <c r="B259" s="82" t="inlineStr">
        <is>
          <t>Pós-Projeto</t>
        </is>
      </c>
      <c r="C259" s="85" t="inlineStr">
        <is>
          <t>GAEs Classificadas</t>
        </is>
      </c>
      <c r="D259" s="69" t="n">
        <v>240</v>
      </c>
      <c r="E259" s="69" t="n">
        <v>162</v>
      </c>
      <c r="F259" s="69" t="n">
        <v>146</v>
      </c>
      <c r="G259" s="69" t="n">
        <v>173</v>
      </c>
      <c r="H259" s="69" t="n">
        <v>160</v>
      </c>
      <c r="I259" s="69" t="n">
        <v>195</v>
      </c>
      <c r="J259" s="69" t="n">
        <v>118</v>
      </c>
      <c r="K259" s="69" t="n">
        <v>292</v>
      </c>
      <c r="L259" s="69" t="n">
        <v>136</v>
      </c>
      <c r="M259" s="69" t="n">
        <v>205</v>
      </c>
      <c r="N259" s="69" t="n">
        <v>219</v>
      </c>
      <c r="O259" s="69" t="n">
        <v>270</v>
      </c>
      <c r="P259" s="69" t="n">
        <v>226</v>
      </c>
    </row>
    <row r="260" ht="15.75" customHeight="1" s="45">
      <c r="A260" s="61" t="n">
        <v>46223</v>
      </c>
      <c r="B260" s="82" t="inlineStr">
        <is>
          <t>Pós-Projeto</t>
        </is>
      </c>
      <c r="C260" s="86" t="inlineStr">
        <is>
          <t>Percentual de GAEs abertas classificadas</t>
        </is>
      </c>
      <c r="D260" s="71">
        <f>IFERROR(D259/D258,"-")</f>
        <v/>
      </c>
      <c r="E260" s="71">
        <f>IFERROR(E259/E258,"-")</f>
        <v/>
      </c>
      <c r="F260" s="71">
        <f>IFERROR(F259/F258,"-")</f>
        <v/>
      </c>
      <c r="G260" s="71">
        <f>IFERROR(G259/G258,"-")</f>
        <v/>
      </c>
      <c r="H260" s="71">
        <f>IFERROR(H259/H258,"-")</f>
        <v/>
      </c>
      <c r="I260" s="71">
        <f>IFERROR(I259/I258,"-")</f>
        <v/>
      </c>
      <c r="J260" s="71">
        <f>IFERROR(J259/J258,"-")</f>
        <v/>
      </c>
      <c r="K260" s="71">
        <f>IFERROR(K259/K258,"-")</f>
        <v/>
      </c>
      <c r="L260" s="71">
        <f>IFERROR(L259/L258,"-")</f>
        <v/>
      </c>
      <c r="M260" s="71">
        <f>IFERROR(M259/M258,"-")</f>
        <v/>
      </c>
      <c r="N260" s="71">
        <f>IFERROR(N259/N258,"-")</f>
        <v/>
      </c>
      <c r="O260" s="71">
        <f>IFERROR(O259/O258,"-")</f>
        <v/>
      </c>
      <c r="P260" s="71">
        <f>IFERROR(P259/P258,"-")</f>
        <v/>
      </c>
    </row>
    <row r="261" ht="15.75" customHeight="1" s="45">
      <c r="A261" s="61" t="n">
        <v>46223</v>
      </c>
      <c r="B261" s="82" t="inlineStr">
        <is>
          <t>Pós-Projeto</t>
        </is>
      </c>
      <c r="C261" s="87" t="inlineStr">
        <is>
          <t>Tempo Médio — 🟡 Amarelo (hh:mm)</t>
        </is>
      </c>
      <c r="D261" s="73" t="n">
        <v>0.06159722222222222</v>
      </c>
      <c r="E261" s="73" t="n">
        <v>0.09405092592592593</v>
      </c>
      <c r="F261" s="73" t="n">
        <v>0.05554398148148148</v>
      </c>
      <c r="G261" s="73" t="n">
        <v>0.02054398148148148</v>
      </c>
      <c r="H261" s="73" t="n">
        <v>0.04766203703703704</v>
      </c>
      <c r="I261" s="73" t="n">
        <v>0.0168287037037037</v>
      </c>
      <c r="J261" s="73" t="n">
        <v>0.07704861111111111</v>
      </c>
      <c r="K261" s="73" t="n">
        <v>0.06976851851851852</v>
      </c>
      <c r="L261" s="73" t="n">
        <v>0.1287384259259259</v>
      </c>
      <c r="M261" s="73" t="n">
        <v>0.03137731481481482</v>
      </c>
      <c r="N261" s="73" t="n">
        <v>0.09489583333333333</v>
      </c>
      <c r="O261" s="73" t="n">
        <v>0.02028935185185185</v>
      </c>
      <c r="P261" s="73" t="n">
        <v>0.03793981481481482</v>
      </c>
    </row>
    <row r="262" ht="15.75" customHeight="1" s="45">
      <c r="A262" s="61" t="n">
        <v>46223</v>
      </c>
      <c r="B262" s="82" t="inlineStr">
        <is>
          <t>Pós-Projeto</t>
        </is>
      </c>
      <c r="C262" s="88" t="inlineStr">
        <is>
          <t>Tempo Médio — 🟠 Laranja (hh:mm)</t>
        </is>
      </c>
      <c r="D262" s="75" t="n">
        <v>0.01314814814814815</v>
      </c>
      <c r="E262" s="75" t="n">
        <v>0.01365740740740741</v>
      </c>
      <c r="F262" s="75" t="n">
        <v>0.005543981481481481</v>
      </c>
      <c r="G262" s="75" t="n">
        <v>0.005659722222222222</v>
      </c>
      <c r="H262" s="75" t="n">
        <v>0.004421296296296296</v>
      </c>
      <c r="I262" s="75" t="n">
        <v>0.003935185185185185</v>
      </c>
      <c r="J262" s="75" t="n">
        <v>0.01217592592592593</v>
      </c>
      <c r="K262" s="75" t="n">
        <v>0.01037037037037037</v>
      </c>
      <c r="L262" s="75" t="n">
        <v>0.01292824074074074</v>
      </c>
      <c r="M262" s="75" t="n">
        <v>0.009340277777777777</v>
      </c>
      <c r="N262" s="75" t="n">
        <v>0.009074074074074075</v>
      </c>
      <c r="O262" s="80" t="n">
        <v>0</v>
      </c>
      <c r="P262" s="75" t="n">
        <v>0.01032407407407407</v>
      </c>
    </row>
    <row r="263" ht="15.75" customHeight="1" s="45">
      <c r="A263" s="76" t="n">
        <v>46223</v>
      </c>
      <c r="B263" s="82" t="inlineStr">
        <is>
          <t>Pós-Projeto</t>
        </is>
      </c>
      <c r="C263" s="91" t="inlineStr">
        <is>
          <t>Tempo Médio — 🟢 Verde   (hh:mm)</t>
        </is>
      </c>
      <c r="D263" s="79" t="n">
        <v>0.08565972222222222</v>
      </c>
      <c r="E263" s="79" t="n">
        <v>0.1327199074074074</v>
      </c>
      <c r="F263" s="79" t="n">
        <v>0.1059953703703704</v>
      </c>
      <c r="G263" s="79" t="n">
        <v>0.07425925925925926</v>
      </c>
      <c r="H263" s="79" t="n">
        <v>0.07283564814814815</v>
      </c>
      <c r="I263" s="79" t="n">
        <v>0.07033564814814815</v>
      </c>
      <c r="J263" s="79" t="n">
        <v>0.1050115740740741</v>
      </c>
      <c r="K263" s="79" t="n">
        <v>0.1005208333333333</v>
      </c>
      <c r="L263" s="79" t="n">
        <v>0.1363310185185185</v>
      </c>
      <c r="M263" s="79" t="n">
        <v>0.09221064814814815</v>
      </c>
      <c r="N263" s="79" t="n">
        <v>0.1336458333333333</v>
      </c>
      <c r="O263" s="79" t="n">
        <v>0.0465625</v>
      </c>
      <c r="P263" s="79" t="n">
        <v>0.0596412037037037</v>
      </c>
    </row>
    <row r="264" ht="15.75" customHeight="1" s="45">
      <c r="A264" s="57" t="n">
        <v>46224</v>
      </c>
      <c r="B264" s="81" t="inlineStr">
        <is>
          <t>Pós-Projeto</t>
        </is>
      </c>
      <c r="C264" s="59" t="inlineStr">
        <is>
          <t>Acolhim. + Atend. Urgência + Atend. UPA</t>
        </is>
      </c>
      <c r="D264" s="60">
        <f>SUM(D265:D267)</f>
        <v/>
      </c>
      <c r="E264" s="60">
        <f>SUM(E265:E267)</f>
        <v/>
      </c>
      <c r="F264" s="60">
        <f>SUM(F265:F267)</f>
        <v/>
      </c>
      <c r="G264" s="60">
        <f>SUM(G265:G267)</f>
        <v/>
      </c>
      <c r="H264" s="60">
        <f>SUM(H265:H267)</f>
        <v/>
      </c>
      <c r="I264" s="60">
        <f>SUM(I265:I267)</f>
        <v/>
      </c>
      <c r="J264" s="60">
        <f>SUM(J265:J267)</f>
        <v/>
      </c>
      <c r="K264" s="60">
        <f>SUM(K265:K267)</f>
        <v/>
      </c>
      <c r="L264" s="60">
        <f>SUM(L265:L267)</f>
        <v/>
      </c>
      <c r="M264" s="60">
        <f>SUM(M265:M267)</f>
        <v/>
      </c>
      <c r="N264" s="60">
        <f>SUM(N265:N267)</f>
        <v/>
      </c>
      <c r="O264" s="60">
        <f>SUM(O265:O267)</f>
        <v/>
      </c>
      <c r="P264" s="60">
        <f>SUM(P265:P267)</f>
        <v/>
      </c>
    </row>
    <row r="265" ht="15.75" customHeight="1" s="45">
      <c r="A265" s="61" t="n">
        <v>46224</v>
      </c>
      <c r="B265" s="82" t="inlineStr">
        <is>
          <t>Pós-Projeto</t>
        </is>
      </c>
      <c r="C265" s="83" t="inlineStr">
        <is>
          <t>Acolhimento c/ Classif. de Risco</t>
        </is>
      </c>
      <c r="D265" s="64" t="n">
        <v>214</v>
      </c>
      <c r="E265" s="64" t="n">
        <v>164</v>
      </c>
      <c r="F265" s="64" t="n">
        <v>138</v>
      </c>
      <c r="G265" s="64" t="n">
        <v>145</v>
      </c>
      <c r="H265" s="64" t="n">
        <v>136</v>
      </c>
      <c r="I265" s="64" t="n">
        <v>172</v>
      </c>
      <c r="J265" s="64" t="n">
        <v>101</v>
      </c>
      <c r="K265" s="64" t="n">
        <v>275</v>
      </c>
      <c r="L265" s="64" t="n">
        <v>130</v>
      </c>
      <c r="M265" s="64" t="n">
        <v>212</v>
      </c>
      <c r="N265" s="64" t="n">
        <v>185</v>
      </c>
      <c r="O265" s="64" t="n">
        <v>224</v>
      </c>
      <c r="P265" s="64" t="n">
        <v>211</v>
      </c>
    </row>
    <row r="266" ht="15.75" customHeight="1" s="45">
      <c r="A266" s="61" t="n">
        <v>46224</v>
      </c>
      <c r="B266" s="82" t="inlineStr">
        <is>
          <t>Pós-Projeto</t>
        </is>
      </c>
      <c r="C266" s="84" t="inlineStr">
        <is>
          <t>Atend. Urgência Obs. ≤ 24h</t>
        </is>
      </c>
      <c r="D266" s="66" t="n">
        <v>27</v>
      </c>
      <c r="E266" s="66" t="n">
        <v>27</v>
      </c>
      <c r="F266" s="66" t="n">
        <v>20</v>
      </c>
      <c r="G266" s="66" t="n">
        <v>21</v>
      </c>
      <c r="H266" s="66" t="n">
        <v>5</v>
      </c>
      <c r="I266" s="66" t="n">
        <v>17</v>
      </c>
      <c r="J266" s="66" t="n">
        <v>2</v>
      </c>
      <c r="K266" s="66" t="n">
        <v>45</v>
      </c>
      <c r="L266" s="66" t="n">
        <v>41</v>
      </c>
      <c r="M266" s="66" t="n">
        <v>68</v>
      </c>
      <c r="N266" s="66" t="n">
        <v>32</v>
      </c>
      <c r="O266" s="66" t="n">
        <v>26</v>
      </c>
      <c r="P266" s="66" t="n">
        <v>11</v>
      </c>
    </row>
    <row r="267" ht="15.75" customHeight="1" s="45">
      <c r="A267" s="61" t="n">
        <v>46224</v>
      </c>
      <c r="B267" s="82" t="inlineStr">
        <is>
          <t>Pós-Projeto</t>
        </is>
      </c>
      <c r="C267" s="83" t="inlineStr">
        <is>
          <t>Atend. Médico em UPA</t>
        </is>
      </c>
      <c r="D267" s="64" t="n">
        <v>206</v>
      </c>
      <c r="E267" s="64" t="n">
        <v>74</v>
      </c>
      <c r="F267" s="64" t="n">
        <v>94</v>
      </c>
      <c r="G267" s="64" t="n">
        <v>91</v>
      </c>
      <c r="H267" s="64" t="n">
        <v>107</v>
      </c>
      <c r="I267" s="64" t="n">
        <v>160</v>
      </c>
      <c r="J267" s="64" t="n">
        <v>84</v>
      </c>
      <c r="K267" s="64" t="n">
        <v>221</v>
      </c>
      <c r="L267" s="64" t="n">
        <v>139</v>
      </c>
      <c r="M267" s="64" t="n">
        <v>187</v>
      </c>
      <c r="N267" s="64" t="n">
        <v>159</v>
      </c>
      <c r="O267" s="64" t="n">
        <v>159</v>
      </c>
      <c r="P267" s="64" t="n">
        <v>125</v>
      </c>
    </row>
    <row r="268" ht="15.75" customHeight="1" s="45">
      <c r="A268" s="61" t="n">
        <v>46224</v>
      </c>
      <c r="B268" s="82" t="inlineStr">
        <is>
          <t>Pós-Projeto</t>
        </is>
      </c>
      <c r="C268" s="84" t="inlineStr">
        <is>
          <t>Exames Laboratoriais</t>
        </is>
      </c>
      <c r="D268" s="66" t="n">
        <v>733</v>
      </c>
      <c r="E268" s="66" t="n">
        <v>609</v>
      </c>
      <c r="F268" s="66" t="n">
        <v>424</v>
      </c>
      <c r="G268" s="66" t="n">
        <v>306</v>
      </c>
      <c r="H268" s="66" t="n">
        <v>446</v>
      </c>
      <c r="I268" s="66" t="n">
        <v>639</v>
      </c>
      <c r="J268" s="66" t="n">
        <v>229</v>
      </c>
      <c r="K268" s="66" t="n">
        <v>917</v>
      </c>
      <c r="L268" s="66" t="n">
        <v>644</v>
      </c>
      <c r="M268" s="66" t="n">
        <v>524</v>
      </c>
      <c r="N268" s="66" t="n">
        <v>428</v>
      </c>
      <c r="O268" s="66" t="n">
        <v>429</v>
      </c>
      <c r="P268" s="66" t="n">
        <v>652</v>
      </c>
    </row>
    <row r="269" ht="15.75" customHeight="1" s="45">
      <c r="A269" s="61" t="n">
        <v>46224</v>
      </c>
      <c r="B269" s="82" t="inlineStr">
        <is>
          <t>Pós-Projeto</t>
        </is>
      </c>
      <c r="C269" s="83" t="inlineStr">
        <is>
          <t>Radiografias</t>
        </is>
      </c>
      <c r="D269" s="64" t="n">
        <v>31</v>
      </c>
      <c r="E269" s="64" t="n">
        <v>13</v>
      </c>
      <c r="F269" s="64" t="n">
        <v>30</v>
      </c>
      <c r="G269" s="64" t="n">
        <v>16</v>
      </c>
      <c r="H269" s="64" t="n">
        <v>28</v>
      </c>
      <c r="I269" s="64" t="n">
        <v>21</v>
      </c>
      <c r="J269" s="64" t="n">
        <v>21</v>
      </c>
      <c r="K269" s="64" t="n">
        <v>41</v>
      </c>
      <c r="L269" s="64" t="n">
        <v>12</v>
      </c>
      <c r="M269" s="64" t="n">
        <v>63</v>
      </c>
      <c r="N269" s="64" t="n">
        <v>1</v>
      </c>
      <c r="O269" s="64" t="n">
        <v>25</v>
      </c>
      <c r="P269" s="64" t="n">
        <v>34</v>
      </c>
    </row>
    <row r="270" ht="15.75" customHeight="1" s="45">
      <c r="A270" s="61" t="n">
        <v>46224</v>
      </c>
      <c r="B270" s="82" t="inlineStr">
        <is>
          <t>Pós-Projeto</t>
        </is>
      </c>
      <c r="C270" s="84" t="inlineStr">
        <is>
          <t>Eletrocardiogramas</t>
        </is>
      </c>
      <c r="D270" s="67" t="n">
        <v>0</v>
      </c>
      <c r="E270" s="67" t="n">
        <v>0</v>
      </c>
      <c r="F270" s="67" t="n">
        <v>0</v>
      </c>
      <c r="G270" s="66" t="n">
        <v>5</v>
      </c>
      <c r="H270" s="67" t="n">
        <v>0</v>
      </c>
      <c r="I270" s="67" t="n">
        <v>0</v>
      </c>
      <c r="J270" s="67" t="n">
        <v>0</v>
      </c>
      <c r="K270" s="66" t="n">
        <v>2</v>
      </c>
      <c r="L270" s="67" t="n">
        <v>0</v>
      </c>
      <c r="M270" s="67" t="n">
        <v>0</v>
      </c>
      <c r="N270" s="66" t="n">
        <v>10</v>
      </c>
      <c r="O270" s="67" t="n">
        <v>0</v>
      </c>
      <c r="P270" s="66" t="n">
        <v>1</v>
      </c>
    </row>
    <row r="271" ht="15.75" customHeight="1" s="45">
      <c r="A271" s="61" t="n">
        <v>46224</v>
      </c>
      <c r="B271" s="82" t="inlineStr">
        <is>
          <t>Pós-Projeto</t>
        </is>
      </c>
      <c r="C271" s="85" t="inlineStr">
        <is>
          <t>GAEs Abertas</t>
        </is>
      </c>
      <c r="D271" s="69" t="n">
        <v>216</v>
      </c>
      <c r="E271" s="69" t="n">
        <v>167</v>
      </c>
      <c r="F271" s="69" t="n">
        <v>142</v>
      </c>
      <c r="G271" s="69" t="n">
        <v>151</v>
      </c>
      <c r="H271" s="69" t="n">
        <v>137</v>
      </c>
      <c r="I271" s="69" t="n">
        <v>182</v>
      </c>
      <c r="J271" s="69" t="n">
        <v>103</v>
      </c>
      <c r="K271" s="69" t="n">
        <v>286</v>
      </c>
      <c r="L271" s="69" t="n">
        <v>139</v>
      </c>
      <c r="M271" s="69" t="n">
        <v>213</v>
      </c>
      <c r="N271" s="69" t="n">
        <v>192</v>
      </c>
      <c r="O271" s="69" t="n">
        <v>233</v>
      </c>
      <c r="P271" s="69" t="n">
        <v>215</v>
      </c>
    </row>
    <row r="272" ht="15.75" customHeight="1" s="45">
      <c r="A272" s="61" t="n">
        <v>46224</v>
      </c>
      <c r="B272" s="82" t="inlineStr">
        <is>
          <t>Pós-Projeto</t>
        </is>
      </c>
      <c r="C272" s="85" t="inlineStr">
        <is>
          <t>GAEs Classificadas</t>
        </is>
      </c>
      <c r="D272" s="69" t="n">
        <v>214</v>
      </c>
      <c r="E272" s="69" t="n">
        <v>164</v>
      </c>
      <c r="F272" s="69" t="n">
        <v>136</v>
      </c>
      <c r="G272" s="69" t="n">
        <v>144</v>
      </c>
      <c r="H272" s="69" t="n">
        <v>134</v>
      </c>
      <c r="I272" s="69" t="n">
        <v>171</v>
      </c>
      <c r="J272" s="69" t="n">
        <v>101</v>
      </c>
      <c r="K272" s="69" t="n">
        <v>274</v>
      </c>
      <c r="L272" s="69" t="n">
        <v>128</v>
      </c>
      <c r="M272" s="69" t="n">
        <v>211</v>
      </c>
      <c r="N272" s="69" t="n">
        <v>184</v>
      </c>
      <c r="O272" s="69" t="n">
        <v>224</v>
      </c>
      <c r="P272" s="69" t="n">
        <v>211</v>
      </c>
    </row>
    <row r="273" ht="15.75" customHeight="1" s="45">
      <c r="A273" s="61" t="n">
        <v>46224</v>
      </c>
      <c r="B273" s="82" t="inlineStr">
        <is>
          <t>Pós-Projeto</t>
        </is>
      </c>
      <c r="C273" s="86" t="inlineStr">
        <is>
          <t>Percentual de GAEs abertas classificadas</t>
        </is>
      </c>
      <c r="D273" s="71">
        <f>IFERROR(D272/D271,"-")</f>
        <v/>
      </c>
      <c r="E273" s="71">
        <f>IFERROR(E272/E271,"-")</f>
        <v/>
      </c>
      <c r="F273" s="71">
        <f>IFERROR(F272/F271,"-")</f>
        <v/>
      </c>
      <c r="G273" s="71">
        <f>IFERROR(G272/G271,"-")</f>
        <v/>
      </c>
      <c r="H273" s="71">
        <f>IFERROR(H272/H271,"-")</f>
        <v/>
      </c>
      <c r="I273" s="71">
        <f>IFERROR(I272/I271,"-")</f>
        <v/>
      </c>
      <c r="J273" s="71">
        <f>IFERROR(J272/J271,"-")</f>
        <v/>
      </c>
      <c r="K273" s="71">
        <f>IFERROR(K272/K271,"-")</f>
        <v/>
      </c>
      <c r="L273" s="71">
        <f>IFERROR(L272/L271,"-")</f>
        <v/>
      </c>
      <c r="M273" s="71">
        <f>IFERROR(M272/M271,"-")</f>
        <v/>
      </c>
      <c r="N273" s="71">
        <f>IFERROR(N272/N271,"-")</f>
        <v/>
      </c>
      <c r="O273" s="71">
        <f>IFERROR(O272/O271,"-")</f>
        <v/>
      </c>
      <c r="P273" s="71">
        <f>IFERROR(P272/P271,"-")</f>
        <v/>
      </c>
    </row>
    <row r="274" ht="15.75" customHeight="1" s="45">
      <c r="A274" s="61" t="n">
        <v>46224</v>
      </c>
      <c r="B274" s="82" t="inlineStr">
        <is>
          <t>Pós-Projeto</t>
        </is>
      </c>
      <c r="C274" s="87" t="inlineStr">
        <is>
          <t>Tempo Médio — 🟡 Amarelo (hh:mm)</t>
        </is>
      </c>
      <c r="D274" s="73" t="n">
        <v>0.03648148148148148</v>
      </c>
      <c r="E274" s="73" t="n">
        <v>0.0747337962962963</v>
      </c>
      <c r="F274" s="73" t="n">
        <v>0.04303240740740741</v>
      </c>
      <c r="G274" s="73" t="n">
        <v>0.02587962962962963</v>
      </c>
      <c r="H274" s="73" t="n">
        <v>0.04134259259259259</v>
      </c>
      <c r="I274" s="73" t="n">
        <v>0.04355324074074074</v>
      </c>
      <c r="J274" s="73" t="n">
        <v>0.02521990740740741</v>
      </c>
      <c r="K274" s="73" t="n">
        <v>0.05375</v>
      </c>
      <c r="L274" s="73" t="n">
        <v>0.04392361111111111</v>
      </c>
      <c r="M274" s="73" t="n">
        <v>0.03453703703703704</v>
      </c>
      <c r="N274" s="73" t="n">
        <v>0.02994212962962963</v>
      </c>
      <c r="O274" s="73" t="n">
        <v>0.03241898148148148</v>
      </c>
      <c r="P274" s="73" t="n">
        <v>0.08199074074074074</v>
      </c>
    </row>
    <row r="275" ht="15.75" customHeight="1" s="45">
      <c r="A275" s="61" t="n">
        <v>46224</v>
      </c>
      <c r="B275" s="82" t="inlineStr">
        <is>
          <t>Pós-Projeto</t>
        </is>
      </c>
      <c r="C275" s="88" t="inlineStr">
        <is>
          <t>Tempo Médio — 🟠 Laranja (hh:mm)</t>
        </is>
      </c>
      <c r="D275" s="75" t="n">
        <v>0.002800925925925926</v>
      </c>
      <c r="E275" s="75" t="n">
        <v>0.01243055555555556</v>
      </c>
      <c r="F275" s="75" t="n">
        <v>0.008472222222222223</v>
      </c>
      <c r="G275" s="75" t="n">
        <v>0.004780092592592593</v>
      </c>
      <c r="H275" s="75" t="n">
        <v>0.0040625</v>
      </c>
      <c r="I275" s="75" t="n">
        <v>0.004791666666666666</v>
      </c>
      <c r="J275" s="75" t="n">
        <v>0.008171296296296296</v>
      </c>
      <c r="K275" s="75" t="n">
        <v>0.01496527777777778</v>
      </c>
      <c r="L275" s="75" t="n">
        <v>0.006782407407407407</v>
      </c>
      <c r="M275" s="75" t="n">
        <v>0.005115740740740741</v>
      </c>
      <c r="N275" s="75" t="n">
        <v>0.007951388888888888</v>
      </c>
      <c r="O275" s="75" t="n">
        <v>0.0122337962962963</v>
      </c>
      <c r="P275" s="75" t="n">
        <v>0.01621527777777778</v>
      </c>
    </row>
    <row r="276" ht="15.75" customHeight="1" s="45">
      <c r="A276" s="76" t="n">
        <v>46224</v>
      </c>
      <c r="B276" s="82" t="inlineStr">
        <is>
          <t>Pós-Projeto</t>
        </is>
      </c>
      <c r="C276" s="91" t="inlineStr">
        <is>
          <t>Tempo Médio — 🟢 Verde   (hh:mm)</t>
        </is>
      </c>
      <c r="D276" s="79" t="n">
        <v>0.08424768518518519</v>
      </c>
      <c r="E276" s="79" t="n">
        <v>0.0875462962962963</v>
      </c>
      <c r="F276" s="79" t="n">
        <v>0.056875</v>
      </c>
      <c r="G276" s="79" t="n">
        <v>0.07074074074074074</v>
      </c>
      <c r="H276" s="79" t="n">
        <v>0.1012384259259259</v>
      </c>
      <c r="I276" s="79" t="n">
        <v>0.1227083333333333</v>
      </c>
      <c r="J276" s="79" t="n">
        <v>0.0494212962962963</v>
      </c>
      <c r="K276" s="79" t="n">
        <v>0.05864583333333333</v>
      </c>
      <c r="L276" s="79" t="n">
        <v>0.1034837962962963</v>
      </c>
      <c r="M276" s="79" t="n">
        <v>0.05728009259259259</v>
      </c>
      <c r="N276" s="79" t="n">
        <v>0.04302083333333333</v>
      </c>
      <c r="O276" s="79" t="n">
        <v>0.0703125</v>
      </c>
      <c r="P276" s="79" t="n">
        <v>0.06563657407407407</v>
      </c>
    </row>
    <row r="277" ht="15.75" customHeight="1" s="45">
      <c r="A277" s="57" t="n">
        <v>46225</v>
      </c>
      <c r="B277" s="58" t="inlineStr">
        <is>
          <t>Pós-Projeto</t>
        </is>
      </c>
      <c r="C277" s="59" t="inlineStr">
        <is>
          <t>Acolhim. + Atend. Urgência + Atend. UPA</t>
        </is>
      </c>
      <c r="D277" s="60">
        <f>SUM(D278:D280)</f>
        <v/>
      </c>
      <c r="E277" s="60">
        <f>SUM(E278:E280)</f>
        <v/>
      </c>
      <c r="F277" s="60">
        <f>SUM(F278:F280)</f>
        <v/>
      </c>
      <c r="G277" s="60">
        <f>SUM(G278:G280)</f>
        <v/>
      </c>
      <c r="H277" s="60">
        <f>SUM(H278:H280)</f>
        <v/>
      </c>
      <c r="I277" s="60">
        <f>SUM(I278:I280)</f>
        <v/>
      </c>
      <c r="J277" s="60">
        <f>SUM(J278:J280)</f>
        <v/>
      </c>
      <c r="K277" s="60">
        <f>SUM(K278:K280)</f>
        <v/>
      </c>
      <c r="L277" s="60">
        <f>SUM(L278:L280)</f>
        <v/>
      </c>
      <c r="M277" s="60">
        <f>SUM(M278:M280)</f>
        <v/>
      </c>
      <c r="N277" s="60">
        <f>SUM(N278:N280)</f>
        <v/>
      </c>
      <c r="O277" s="60">
        <f>SUM(O278:O280)</f>
        <v/>
      </c>
      <c r="P277" s="60">
        <f>SUM(P278:P280)</f>
        <v/>
      </c>
    </row>
    <row r="278" ht="15.75" customHeight="1" s="45">
      <c r="A278" s="61" t="n">
        <v>46225</v>
      </c>
      <c r="B278" s="62" t="inlineStr">
        <is>
          <t>Pós-Projeto</t>
        </is>
      </c>
      <c r="C278" s="83" t="inlineStr">
        <is>
          <t>Acolhimento c/ Classif. de Risco</t>
        </is>
      </c>
      <c r="D278" s="64" t="n">
        <v>213</v>
      </c>
      <c r="E278" s="64" t="n">
        <v>175</v>
      </c>
      <c r="F278" s="64" t="n">
        <v>132</v>
      </c>
      <c r="G278" s="64" t="n">
        <v>164</v>
      </c>
      <c r="H278" s="64" t="n">
        <v>130</v>
      </c>
      <c r="I278" s="64" t="n">
        <v>173</v>
      </c>
      <c r="J278" s="64" t="n">
        <v>91</v>
      </c>
      <c r="K278" s="64" t="n">
        <v>237</v>
      </c>
      <c r="L278" s="64" t="n">
        <v>123</v>
      </c>
      <c r="M278" s="64" t="n">
        <v>216</v>
      </c>
      <c r="N278" s="64" t="n">
        <v>191</v>
      </c>
      <c r="O278" s="64" t="n">
        <v>248</v>
      </c>
      <c r="P278" s="64" t="n">
        <v>205</v>
      </c>
    </row>
    <row r="279" ht="15.75" customHeight="1" s="45">
      <c r="A279" s="61" t="n">
        <v>46225</v>
      </c>
      <c r="B279" s="62" t="inlineStr">
        <is>
          <t>Pós-Projeto</t>
        </is>
      </c>
      <c r="C279" s="84" t="inlineStr">
        <is>
          <t>Atend. Urgência Obs. ≤ 24h</t>
        </is>
      </c>
      <c r="D279" s="66" t="n">
        <v>14</v>
      </c>
      <c r="E279" s="66" t="n">
        <v>16</v>
      </c>
      <c r="F279" s="66" t="n">
        <v>19</v>
      </c>
      <c r="G279" s="66" t="n">
        <v>10</v>
      </c>
      <c r="H279" s="66" t="n">
        <v>14</v>
      </c>
      <c r="I279" s="66" t="n">
        <v>28</v>
      </c>
      <c r="J279" s="66" t="n">
        <v>2</v>
      </c>
      <c r="K279" s="66" t="n">
        <v>38</v>
      </c>
      <c r="L279" s="66" t="n">
        <v>49</v>
      </c>
      <c r="M279" s="66" t="n">
        <v>66</v>
      </c>
      <c r="N279" s="66" t="n">
        <v>53</v>
      </c>
      <c r="O279" s="66" t="n">
        <v>1</v>
      </c>
      <c r="P279" s="66" t="n">
        <v>7</v>
      </c>
    </row>
    <row r="280" ht="15.75" customHeight="1" s="45">
      <c r="A280" s="61" t="n">
        <v>46225</v>
      </c>
      <c r="B280" s="62" t="inlineStr">
        <is>
          <t>Pós-Projeto</t>
        </is>
      </c>
      <c r="C280" s="83" t="inlineStr">
        <is>
          <t>Atend. Médico em UPA</t>
        </is>
      </c>
      <c r="D280" s="64" t="n">
        <v>226</v>
      </c>
      <c r="E280" s="64" t="n">
        <v>92</v>
      </c>
      <c r="F280" s="64" t="n">
        <v>93</v>
      </c>
      <c r="G280" s="64" t="n">
        <v>101</v>
      </c>
      <c r="H280" s="64" t="n">
        <v>112</v>
      </c>
      <c r="I280" s="64" t="n">
        <v>153</v>
      </c>
      <c r="J280" s="64" t="n">
        <v>53</v>
      </c>
      <c r="K280" s="64" t="n">
        <v>192</v>
      </c>
      <c r="L280" s="64" t="n">
        <v>114</v>
      </c>
      <c r="M280" s="64" t="n">
        <v>184</v>
      </c>
      <c r="N280" s="64" t="n">
        <v>161</v>
      </c>
      <c r="O280" s="64" t="n">
        <v>191</v>
      </c>
      <c r="P280" s="64" t="n">
        <v>142</v>
      </c>
    </row>
    <row r="281" ht="15.75" customHeight="1" s="45">
      <c r="A281" s="61" t="n">
        <v>46225</v>
      </c>
      <c r="B281" s="62" t="inlineStr">
        <is>
          <t>Pós-Projeto</t>
        </is>
      </c>
      <c r="C281" s="84" t="inlineStr">
        <is>
          <t>Exames Laboratoriais</t>
        </is>
      </c>
      <c r="D281" s="66" t="n">
        <v>661</v>
      </c>
      <c r="E281" s="66" t="n">
        <v>472</v>
      </c>
      <c r="F281" s="66" t="n">
        <v>354</v>
      </c>
      <c r="G281" s="66" t="n">
        <v>256</v>
      </c>
      <c r="H281" s="66" t="n">
        <v>379</v>
      </c>
      <c r="I281" s="66" t="n">
        <v>635</v>
      </c>
      <c r="J281" s="66" t="n">
        <v>234</v>
      </c>
      <c r="K281" s="66" t="n">
        <v>828</v>
      </c>
      <c r="L281" s="66" t="n">
        <v>639</v>
      </c>
      <c r="M281" s="66" t="n">
        <v>611</v>
      </c>
      <c r="N281" s="66" t="n">
        <v>611</v>
      </c>
      <c r="O281" s="66" t="n">
        <v>499</v>
      </c>
      <c r="P281" s="66" t="n">
        <v>185</v>
      </c>
    </row>
    <row r="282" ht="15.75" customHeight="1" s="45">
      <c r="A282" s="61" t="n">
        <v>46225</v>
      </c>
      <c r="B282" s="62" t="inlineStr">
        <is>
          <t>Pós-Projeto</t>
        </is>
      </c>
      <c r="C282" s="83" t="inlineStr">
        <is>
          <t>Radiografias</t>
        </is>
      </c>
      <c r="D282" s="64" t="n">
        <v>29</v>
      </c>
      <c r="E282" s="64" t="n">
        <v>11</v>
      </c>
      <c r="F282" s="64" t="n">
        <v>16</v>
      </c>
      <c r="G282" s="64" t="n">
        <v>23</v>
      </c>
      <c r="H282" s="64" t="n">
        <v>28</v>
      </c>
      <c r="I282" s="64" t="n">
        <v>25</v>
      </c>
      <c r="J282" s="64" t="n">
        <v>6</v>
      </c>
      <c r="K282" s="64" t="n">
        <v>32</v>
      </c>
      <c r="L282" s="64" t="n">
        <v>16</v>
      </c>
      <c r="M282" s="64" t="n">
        <v>35</v>
      </c>
      <c r="N282" s="64" t="n">
        <v>27</v>
      </c>
      <c r="O282" s="64" t="n">
        <v>30</v>
      </c>
      <c r="P282" s="64" t="n">
        <v>41</v>
      </c>
    </row>
    <row r="283" ht="15.75" customHeight="1" s="45">
      <c r="A283" s="61" t="n">
        <v>46225</v>
      </c>
      <c r="B283" s="62" t="inlineStr">
        <is>
          <t>Pós-Projeto</t>
        </is>
      </c>
      <c r="C283" s="84" t="inlineStr">
        <is>
          <t>Eletrocardiogramas</t>
        </is>
      </c>
      <c r="D283" s="66" t="n">
        <v>11</v>
      </c>
      <c r="E283" s="67" t="n">
        <v>0</v>
      </c>
      <c r="F283" s="66" t="n">
        <v>1</v>
      </c>
      <c r="G283" s="66" t="n">
        <v>2</v>
      </c>
      <c r="H283" s="66" t="n">
        <v>5</v>
      </c>
      <c r="I283" s="67" t="n">
        <v>0</v>
      </c>
      <c r="J283" s="67" t="n">
        <v>0</v>
      </c>
      <c r="K283" s="66" t="n">
        <v>13</v>
      </c>
      <c r="L283" s="67" t="n">
        <v>0</v>
      </c>
      <c r="M283" s="67" t="n">
        <v>0</v>
      </c>
      <c r="N283" s="66" t="n">
        <v>5</v>
      </c>
      <c r="O283" s="66" t="n">
        <v>9</v>
      </c>
      <c r="P283" s="66" t="n">
        <v>2</v>
      </c>
    </row>
    <row r="284" ht="15.75" customHeight="1" s="45">
      <c r="A284" s="61" t="n">
        <v>46225</v>
      </c>
      <c r="B284" s="62" t="inlineStr">
        <is>
          <t>Pós-Projeto</t>
        </is>
      </c>
      <c r="C284" s="85" t="inlineStr">
        <is>
          <t>GAEs Abertas</t>
        </is>
      </c>
      <c r="D284" s="69" t="n">
        <v>225</v>
      </c>
      <c r="E284" s="69" t="n">
        <v>182</v>
      </c>
      <c r="F284" s="69" t="n">
        <v>139</v>
      </c>
      <c r="G284" s="69" t="n">
        <v>171</v>
      </c>
      <c r="H284" s="69" t="n">
        <v>135</v>
      </c>
      <c r="I284" s="69" t="n">
        <v>189</v>
      </c>
      <c r="J284" s="69" t="n">
        <v>94</v>
      </c>
      <c r="K284" s="69" t="n">
        <v>247</v>
      </c>
      <c r="L284" s="69" t="n">
        <v>129</v>
      </c>
      <c r="M284" s="69" t="n">
        <v>225</v>
      </c>
      <c r="N284" s="69" t="n">
        <v>202</v>
      </c>
      <c r="O284" s="69" t="n">
        <v>252</v>
      </c>
      <c r="P284" s="69" t="n">
        <v>217</v>
      </c>
    </row>
    <row r="285" ht="15.75" customHeight="1" s="45">
      <c r="A285" s="61" t="n">
        <v>46225</v>
      </c>
      <c r="B285" s="62" t="inlineStr">
        <is>
          <t>Pós-Projeto</t>
        </is>
      </c>
      <c r="C285" s="85" t="inlineStr">
        <is>
          <t>GAEs Classificadas</t>
        </is>
      </c>
      <c r="D285" s="69" t="n">
        <v>211</v>
      </c>
      <c r="E285" s="69" t="n">
        <v>175</v>
      </c>
      <c r="F285" s="69" t="n">
        <v>132</v>
      </c>
      <c r="G285" s="69" t="n">
        <v>165</v>
      </c>
      <c r="H285" s="69" t="n">
        <v>133</v>
      </c>
      <c r="I285" s="69" t="n">
        <v>174</v>
      </c>
      <c r="J285" s="69" t="n">
        <v>91</v>
      </c>
      <c r="K285" s="69" t="n">
        <v>239</v>
      </c>
      <c r="L285" s="69" t="n">
        <v>122</v>
      </c>
      <c r="M285" s="69" t="n">
        <v>217</v>
      </c>
      <c r="N285" s="69" t="n">
        <v>191</v>
      </c>
      <c r="O285" s="69" t="n">
        <v>248</v>
      </c>
      <c r="P285" s="69" t="n">
        <v>205</v>
      </c>
    </row>
    <row r="286" ht="15.75" customHeight="1" s="45">
      <c r="A286" s="61" t="n">
        <v>46225</v>
      </c>
      <c r="B286" s="62" t="inlineStr">
        <is>
          <t>Pós-Projeto</t>
        </is>
      </c>
      <c r="C286" s="86" t="inlineStr">
        <is>
          <t>Percentual de GAEs abertas classificadas</t>
        </is>
      </c>
      <c r="D286" s="71">
        <f>IFERROR(D285/D284,"-")</f>
        <v/>
      </c>
      <c r="E286" s="71">
        <f>IFERROR(E285/E284,"-")</f>
        <v/>
      </c>
      <c r="F286" s="71">
        <f>IFERROR(F285/F284,"-")</f>
        <v/>
      </c>
      <c r="G286" s="71">
        <f>IFERROR(G285/G284,"-")</f>
        <v/>
      </c>
      <c r="H286" s="71">
        <f>IFERROR(H285/H284,"-")</f>
        <v/>
      </c>
      <c r="I286" s="71">
        <f>IFERROR(I285/I284,"-")</f>
        <v/>
      </c>
      <c r="J286" s="71">
        <f>IFERROR(J285/J284,"-")</f>
        <v/>
      </c>
      <c r="K286" s="71">
        <f>IFERROR(K285/K284,"-")</f>
        <v/>
      </c>
      <c r="L286" s="71">
        <f>IFERROR(L285/L284,"-")</f>
        <v/>
      </c>
      <c r="M286" s="71">
        <f>IFERROR(M285/M284,"-")</f>
        <v/>
      </c>
      <c r="N286" s="71">
        <f>IFERROR(N285/N284,"-")</f>
        <v/>
      </c>
      <c r="O286" s="71">
        <f>IFERROR(O285/O284,"-")</f>
        <v/>
      </c>
      <c r="P286" s="71">
        <f>IFERROR(P285/P284,"-")</f>
        <v/>
      </c>
    </row>
    <row r="287" ht="15.75" customHeight="1" s="45">
      <c r="A287" s="61" t="n">
        <v>46225</v>
      </c>
      <c r="B287" s="62" t="inlineStr">
        <is>
          <t>Pós-Projeto</t>
        </is>
      </c>
      <c r="C287" s="87" t="inlineStr">
        <is>
          <t>Tempo Médio — 🟡 Amarelo (hh:mm)</t>
        </is>
      </c>
      <c r="D287" s="73" t="n">
        <v>0.02939814814814815</v>
      </c>
      <c r="E287" s="73" t="n">
        <v>0.1065625</v>
      </c>
      <c r="F287" s="73" t="n">
        <v>0.06193287037037037</v>
      </c>
      <c r="G287" s="73" t="n">
        <v>0.04255787037037037</v>
      </c>
      <c r="H287" s="73" t="n">
        <v>0.03387731481481481</v>
      </c>
      <c r="I287" s="73" t="n">
        <v>0.04403935185185185</v>
      </c>
      <c r="J287" s="73" t="n">
        <v>0.04418981481481481</v>
      </c>
      <c r="K287" s="73" t="n">
        <v>0.08679398148148149</v>
      </c>
      <c r="L287" s="73" t="n">
        <v>0.05996527777777778</v>
      </c>
      <c r="M287" s="73" t="n">
        <v>0.0400462962962963</v>
      </c>
      <c r="N287" s="73" t="n">
        <v>0.05702546296296297</v>
      </c>
      <c r="O287" s="73" t="n">
        <v>0.05280092592592592</v>
      </c>
      <c r="P287" s="73" t="n">
        <v>0.04479166666666667</v>
      </c>
    </row>
    <row r="288" ht="15.75" customHeight="1" s="45">
      <c r="A288" s="61" t="n">
        <v>46225</v>
      </c>
      <c r="B288" s="62" t="inlineStr">
        <is>
          <t>Pós-Projeto</t>
        </is>
      </c>
      <c r="C288" s="88" t="inlineStr">
        <is>
          <t>Tempo Médio — 🟠 Laranja (hh:mm)</t>
        </is>
      </c>
      <c r="D288" s="75" t="n">
        <v>0.008472222222222223</v>
      </c>
      <c r="E288" s="75" t="n">
        <v>0.0171875</v>
      </c>
      <c r="F288" s="75" t="n">
        <v>0.004236111111111112</v>
      </c>
      <c r="G288" s="75" t="n">
        <v>0.004166666666666667</v>
      </c>
      <c r="H288" s="75" t="n">
        <v>0.01011574074074074</v>
      </c>
      <c r="I288" s="75" t="n">
        <v>0.005196759259259259</v>
      </c>
      <c r="J288" s="75" t="n">
        <v>0.01539351851851852</v>
      </c>
      <c r="K288" s="75" t="n">
        <v>0.01168981481481481</v>
      </c>
      <c r="L288" s="75" t="n">
        <v>0.01408564814814815</v>
      </c>
      <c r="M288" s="75" t="n">
        <v>0.009166666666666667</v>
      </c>
      <c r="N288" s="75" t="n">
        <v>0.008796296296296297</v>
      </c>
      <c r="O288" s="75" t="n">
        <v>0.01417824074074074</v>
      </c>
      <c r="P288" s="75" t="n">
        <v>0.009791666666666667</v>
      </c>
    </row>
    <row r="289" ht="15.75" customHeight="1" s="45">
      <c r="A289" s="76" t="n">
        <v>46225</v>
      </c>
      <c r="B289" s="62" t="inlineStr">
        <is>
          <t>Pós-Projeto</t>
        </is>
      </c>
      <c r="C289" s="91" t="inlineStr">
        <is>
          <t>Tempo Médio — 🟢 Verde   (hh:mm)</t>
        </is>
      </c>
      <c r="D289" s="79" t="n">
        <v>0.05762731481481481</v>
      </c>
      <c r="E289" s="79" t="n">
        <v>0.1768518518518518</v>
      </c>
      <c r="F289" s="79" t="n">
        <v>0.04121527777777778</v>
      </c>
      <c r="G289" s="79" t="n">
        <v>0.08621527777777778</v>
      </c>
      <c r="H289" s="79" t="n">
        <v>0.0542824074074074</v>
      </c>
      <c r="I289" s="79" t="n">
        <v>0.1110300925925926</v>
      </c>
      <c r="J289" s="79" t="n">
        <v>0.02290509259259259</v>
      </c>
      <c r="K289" s="79" t="n">
        <v>0.08099537037037037</v>
      </c>
      <c r="L289" s="79" t="n">
        <v>0.1541550925925926</v>
      </c>
      <c r="M289" s="79" t="n">
        <v>0.07899305555555555</v>
      </c>
      <c r="N289" s="79" t="n">
        <v>0.07336805555555556</v>
      </c>
      <c r="O289" s="79" t="n">
        <v>0.08034722222222222</v>
      </c>
      <c r="P289" s="79" t="n">
        <v>0.03910879629629629</v>
      </c>
    </row>
    <row r="290" ht="15.75" customHeight="1" s="45">
      <c r="A290" s="57" t="n">
        <v>46226</v>
      </c>
      <c r="B290" s="81" t="inlineStr">
        <is>
          <t>Pós-Projeto</t>
        </is>
      </c>
      <c r="C290" s="59" t="inlineStr">
        <is>
          <t>Acolhim. + Atend. Urgência + Atend. UPA</t>
        </is>
      </c>
      <c r="D290" s="60">
        <f>SUM(D291:D293)</f>
        <v/>
      </c>
      <c r="E290" s="60">
        <f>SUM(E291:E293)</f>
        <v/>
      </c>
      <c r="F290" s="60">
        <f>SUM(F291:F293)</f>
        <v/>
      </c>
      <c r="G290" s="60">
        <f>SUM(G291:G293)</f>
        <v/>
      </c>
      <c r="H290" s="60">
        <f>SUM(H291:H293)</f>
        <v/>
      </c>
      <c r="I290" s="60">
        <f>SUM(I291:I293)</f>
        <v/>
      </c>
      <c r="J290" s="60">
        <f>SUM(J291:J293)</f>
        <v/>
      </c>
      <c r="K290" s="60">
        <f>SUM(K291:K293)</f>
        <v/>
      </c>
      <c r="L290" s="60">
        <f>SUM(L291:L293)</f>
        <v/>
      </c>
      <c r="M290" s="60">
        <f>SUM(M291:M293)</f>
        <v/>
      </c>
      <c r="N290" s="60">
        <f>SUM(N291:N293)</f>
        <v/>
      </c>
      <c r="O290" s="60">
        <f>SUM(O291:O293)</f>
        <v/>
      </c>
      <c r="P290" s="60">
        <f>SUM(P291:P293)</f>
        <v/>
      </c>
    </row>
    <row r="291" ht="15.75" customHeight="1" s="45">
      <c r="A291" s="61" t="n">
        <v>46226</v>
      </c>
      <c r="B291" s="82" t="inlineStr">
        <is>
          <t>Pós-Projeto</t>
        </is>
      </c>
      <c r="C291" s="83" t="inlineStr">
        <is>
          <t>Acolhimento c/ Classif. de Risco</t>
        </is>
      </c>
      <c r="D291" s="64" t="n">
        <v>238</v>
      </c>
      <c r="E291" s="64" t="n">
        <v>135</v>
      </c>
      <c r="F291" s="64" t="n">
        <v>133</v>
      </c>
      <c r="G291" s="64" t="n">
        <v>153</v>
      </c>
      <c r="H291" s="64" t="n">
        <v>163</v>
      </c>
      <c r="I291" s="64" t="n">
        <v>191</v>
      </c>
      <c r="J291" s="64" t="n">
        <v>108</v>
      </c>
      <c r="K291" s="64" t="n">
        <v>266</v>
      </c>
      <c r="L291" s="64" t="n">
        <v>115</v>
      </c>
      <c r="M291" s="64" t="n">
        <v>197</v>
      </c>
      <c r="N291" s="64" t="n">
        <v>200</v>
      </c>
      <c r="O291" s="64" t="n">
        <v>254</v>
      </c>
      <c r="P291" s="64" t="n">
        <v>217</v>
      </c>
    </row>
    <row r="292" ht="15.75" customHeight="1" s="45">
      <c r="A292" s="61" t="n">
        <v>46226</v>
      </c>
      <c r="B292" s="82" t="inlineStr">
        <is>
          <t>Pós-Projeto</t>
        </is>
      </c>
      <c r="C292" s="84" t="inlineStr">
        <is>
          <t>Atend. Urgência Obs. ≤ 24h</t>
        </is>
      </c>
      <c r="D292" s="66" t="n">
        <v>30</v>
      </c>
      <c r="E292" s="66" t="n">
        <v>27</v>
      </c>
      <c r="F292" s="66" t="n">
        <v>31</v>
      </c>
      <c r="G292" s="66" t="n">
        <v>11</v>
      </c>
      <c r="H292" s="66" t="n">
        <v>24</v>
      </c>
      <c r="I292" s="66" t="n">
        <v>19</v>
      </c>
      <c r="J292" s="66" t="n">
        <v>2</v>
      </c>
      <c r="K292" s="66" t="n">
        <v>49</v>
      </c>
      <c r="L292" s="66" t="n">
        <v>49</v>
      </c>
      <c r="M292" s="66" t="n">
        <v>33</v>
      </c>
      <c r="N292" s="66" t="n">
        <v>57</v>
      </c>
      <c r="O292" s="66" t="n">
        <v>10</v>
      </c>
      <c r="P292" s="66" t="n">
        <v>42</v>
      </c>
    </row>
    <row r="293" ht="15.75" customHeight="1" s="45">
      <c r="A293" s="61" t="n">
        <v>46226</v>
      </c>
      <c r="B293" s="82" t="inlineStr">
        <is>
          <t>Pós-Projeto</t>
        </is>
      </c>
      <c r="C293" s="83" t="inlineStr">
        <is>
          <t>Atend. Médico em UPA</t>
        </is>
      </c>
      <c r="D293" s="64" t="n">
        <v>223</v>
      </c>
      <c r="E293" s="64" t="n">
        <v>100</v>
      </c>
      <c r="F293" s="64" t="n">
        <v>108</v>
      </c>
      <c r="G293" s="64" t="n">
        <v>123</v>
      </c>
      <c r="H293" s="64" t="n">
        <v>106</v>
      </c>
      <c r="I293" s="64" t="n">
        <v>174</v>
      </c>
      <c r="J293" s="64" t="n">
        <v>81</v>
      </c>
      <c r="K293" s="64" t="n">
        <v>190</v>
      </c>
      <c r="L293" s="64" t="n">
        <v>97</v>
      </c>
      <c r="M293" s="64" t="n">
        <v>100</v>
      </c>
      <c r="N293" s="64" t="n">
        <v>159</v>
      </c>
      <c r="O293" s="64" t="n">
        <v>215</v>
      </c>
      <c r="P293" s="64" t="n">
        <v>173</v>
      </c>
    </row>
    <row r="294" ht="15.75" customHeight="1" s="45">
      <c r="A294" s="61" t="n">
        <v>46226</v>
      </c>
      <c r="B294" s="82" t="inlineStr">
        <is>
          <t>Pós-Projeto</t>
        </is>
      </c>
      <c r="C294" s="84" t="inlineStr">
        <is>
          <t>Exames Laboratoriais</t>
        </is>
      </c>
      <c r="D294" s="66" t="n">
        <v>669</v>
      </c>
      <c r="E294" s="66" t="n">
        <v>549</v>
      </c>
      <c r="F294" s="66" t="n">
        <v>624</v>
      </c>
      <c r="G294" s="66" t="n">
        <v>421</v>
      </c>
      <c r="H294" s="66" t="n">
        <v>586</v>
      </c>
      <c r="I294" s="66" t="n">
        <v>713</v>
      </c>
      <c r="J294" s="66" t="n">
        <v>316</v>
      </c>
      <c r="K294" s="66" t="n">
        <v>948</v>
      </c>
      <c r="L294" s="66" t="n">
        <v>492</v>
      </c>
      <c r="M294" s="66" t="n">
        <v>546</v>
      </c>
      <c r="N294" s="66" t="n">
        <v>566</v>
      </c>
      <c r="O294" s="66" t="n">
        <v>376</v>
      </c>
      <c r="P294" s="66" t="n">
        <v>296</v>
      </c>
    </row>
    <row r="295" ht="15.75" customHeight="1" s="45">
      <c r="A295" s="61" t="n">
        <v>46226</v>
      </c>
      <c r="B295" s="82" t="inlineStr">
        <is>
          <t>Pós-Projeto</t>
        </is>
      </c>
      <c r="C295" s="83" t="inlineStr">
        <is>
          <t>Radiografias</t>
        </is>
      </c>
      <c r="D295" s="64" t="n">
        <v>30</v>
      </c>
      <c r="E295" s="64" t="n">
        <v>28</v>
      </c>
      <c r="F295" s="64" t="n">
        <v>29</v>
      </c>
      <c r="G295" s="64" t="n">
        <v>39</v>
      </c>
      <c r="H295" s="64" t="n">
        <v>34</v>
      </c>
      <c r="I295" s="64" t="n">
        <v>28</v>
      </c>
      <c r="J295" s="64" t="n">
        <v>29</v>
      </c>
      <c r="K295" s="64" t="n">
        <v>42</v>
      </c>
      <c r="L295" s="64" t="n">
        <v>10</v>
      </c>
      <c r="M295" s="64" t="n">
        <v>36</v>
      </c>
      <c r="N295" s="64" t="n">
        <v>22</v>
      </c>
      <c r="O295" s="64" t="n">
        <v>46</v>
      </c>
      <c r="P295" s="64" t="n">
        <v>25</v>
      </c>
    </row>
    <row r="296" ht="15.75" customHeight="1" s="45">
      <c r="A296" s="61" t="n">
        <v>46226</v>
      </c>
      <c r="B296" s="82" t="inlineStr">
        <is>
          <t>Pós-Projeto</t>
        </is>
      </c>
      <c r="C296" s="84" t="inlineStr">
        <is>
          <t>Eletrocardiogramas</t>
        </is>
      </c>
      <c r="D296" s="67" t="n">
        <v>0</v>
      </c>
      <c r="E296" s="66" t="n">
        <v>1</v>
      </c>
      <c r="F296" s="67" t="n">
        <v>0</v>
      </c>
      <c r="G296" s="66" t="n">
        <v>2</v>
      </c>
      <c r="H296" s="67" t="n">
        <v>0</v>
      </c>
      <c r="I296" s="66" t="n">
        <v>1</v>
      </c>
      <c r="J296" s="67" t="n">
        <v>0</v>
      </c>
      <c r="K296" s="66" t="n">
        <v>2</v>
      </c>
      <c r="L296" s="66" t="n">
        <v>1</v>
      </c>
      <c r="M296" s="67" t="n">
        <v>0</v>
      </c>
      <c r="N296" s="66" t="n">
        <v>10</v>
      </c>
      <c r="O296" s="67" t="n">
        <v>0</v>
      </c>
      <c r="P296" s="66" t="n">
        <v>1</v>
      </c>
    </row>
    <row r="297" ht="15.75" customHeight="1" s="45">
      <c r="A297" s="61" t="n">
        <v>46226</v>
      </c>
      <c r="B297" s="82" t="inlineStr">
        <is>
          <t>Pós-Projeto</t>
        </is>
      </c>
      <c r="C297" s="85" t="inlineStr">
        <is>
          <t>GAEs Abertas</t>
        </is>
      </c>
      <c r="D297" s="69" t="n">
        <v>260</v>
      </c>
      <c r="E297" s="69" t="n">
        <v>142</v>
      </c>
      <c r="F297" s="69" t="n">
        <v>136</v>
      </c>
      <c r="G297" s="69" t="n">
        <v>158</v>
      </c>
      <c r="H297" s="69" t="n">
        <v>163</v>
      </c>
      <c r="I297" s="69" t="n">
        <v>206</v>
      </c>
      <c r="J297" s="69" t="n">
        <v>109</v>
      </c>
      <c r="K297" s="69" t="n">
        <v>284</v>
      </c>
      <c r="L297" s="69" t="n">
        <v>123</v>
      </c>
      <c r="M297" s="69" t="n">
        <v>202</v>
      </c>
      <c r="N297" s="69" t="n">
        <v>206</v>
      </c>
      <c r="O297" s="69" t="n">
        <v>259</v>
      </c>
      <c r="P297" s="69" t="n">
        <v>231</v>
      </c>
    </row>
    <row r="298" ht="15.75" customHeight="1" s="45">
      <c r="A298" s="61" t="n">
        <v>46226</v>
      </c>
      <c r="B298" s="82" t="inlineStr">
        <is>
          <t>Pós-Projeto</t>
        </is>
      </c>
      <c r="C298" s="85" t="inlineStr">
        <is>
          <t>GAEs Classificadas</t>
        </is>
      </c>
      <c r="D298" s="69" t="n">
        <v>244</v>
      </c>
      <c r="E298" s="69" t="n">
        <v>136</v>
      </c>
      <c r="F298" s="69" t="n">
        <v>134</v>
      </c>
      <c r="G298" s="69" t="n">
        <v>152</v>
      </c>
      <c r="H298" s="69" t="n">
        <v>160</v>
      </c>
      <c r="I298" s="69" t="n">
        <v>190</v>
      </c>
      <c r="J298" s="69" t="n">
        <v>109</v>
      </c>
      <c r="K298" s="69" t="n">
        <v>264</v>
      </c>
      <c r="L298" s="69" t="n">
        <v>115</v>
      </c>
      <c r="M298" s="69" t="n">
        <v>200</v>
      </c>
      <c r="N298" s="69" t="n">
        <v>203</v>
      </c>
      <c r="O298" s="69" t="n">
        <v>253</v>
      </c>
      <c r="P298" s="69" t="n">
        <v>217</v>
      </c>
    </row>
    <row r="299" ht="15.75" customHeight="1" s="45">
      <c r="A299" s="61" t="n">
        <v>46226</v>
      </c>
      <c r="B299" s="82" t="inlineStr">
        <is>
          <t>Pós-Projeto</t>
        </is>
      </c>
      <c r="C299" s="86" t="inlineStr">
        <is>
          <t>Percentual de GAEs abertas classificadas</t>
        </is>
      </c>
      <c r="D299" s="71">
        <f>IFERROR(D298/D297,"-")</f>
        <v/>
      </c>
      <c r="E299" s="71">
        <f>IFERROR(E298/E297,"-")</f>
        <v/>
      </c>
      <c r="F299" s="71">
        <f>IFERROR(F298/F297,"-")</f>
        <v/>
      </c>
      <c r="G299" s="71">
        <f>IFERROR(G298/G297,"-")</f>
        <v/>
      </c>
      <c r="H299" s="71">
        <f>IFERROR(H298/H297,"-")</f>
        <v/>
      </c>
      <c r="I299" s="71">
        <f>IFERROR(I298/I297,"-")</f>
        <v/>
      </c>
      <c r="J299" s="71">
        <f>IFERROR(J298/J297,"-")</f>
        <v/>
      </c>
      <c r="K299" s="71">
        <f>IFERROR(K298/K297,"-")</f>
        <v/>
      </c>
      <c r="L299" s="71">
        <f>IFERROR(L298/L297,"-")</f>
        <v/>
      </c>
      <c r="M299" s="71">
        <f>IFERROR(M298/M297,"-")</f>
        <v/>
      </c>
      <c r="N299" s="71">
        <f>IFERROR(N298/N297,"-")</f>
        <v/>
      </c>
      <c r="O299" s="71">
        <f>IFERROR(O298/O297,"-")</f>
        <v/>
      </c>
      <c r="P299" s="71">
        <f>IFERROR(P298/P297,"-")</f>
        <v/>
      </c>
    </row>
    <row r="300" ht="15.75" customHeight="1" s="45">
      <c r="A300" s="61" t="n">
        <v>46226</v>
      </c>
      <c r="B300" s="82" t="inlineStr">
        <is>
          <t>Pós-Projeto</t>
        </is>
      </c>
      <c r="C300" s="87" t="inlineStr">
        <is>
          <t>Tempo Médio — 🟡 Amarelo (hh:mm)</t>
        </is>
      </c>
      <c r="D300" s="73" t="n">
        <v>0.02138888888888889</v>
      </c>
      <c r="E300" s="73" t="n">
        <v>0.1095717592592593</v>
      </c>
      <c r="F300" s="73" t="n">
        <v>0.04528935185185185</v>
      </c>
      <c r="G300" s="73" t="n">
        <v>0.02549768518518519</v>
      </c>
      <c r="H300" s="73" t="n">
        <v>0.05550925925925926</v>
      </c>
      <c r="I300" s="73" t="n">
        <v>0.03164351851851852</v>
      </c>
      <c r="J300" s="73" t="n">
        <v>0.05398148148148148</v>
      </c>
      <c r="K300" s="73" t="n">
        <v>0.1041203703703704</v>
      </c>
      <c r="L300" s="73" t="n">
        <v>0.1549074074074074</v>
      </c>
      <c r="M300" s="73" t="n">
        <v>0.03721064814814815</v>
      </c>
      <c r="N300" s="73" t="n">
        <v>0.08576388888888889</v>
      </c>
      <c r="O300" s="73" t="n">
        <v>0.02253472222222222</v>
      </c>
      <c r="P300" s="73" t="n">
        <v>0.05368055555555556</v>
      </c>
    </row>
    <row r="301" ht="15.75" customHeight="1" s="45">
      <c r="A301" s="61" t="n">
        <v>46226</v>
      </c>
      <c r="B301" s="82" t="inlineStr">
        <is>
          <t>Pós-Projeto</t>
        </is>
      </c>
      <c r="C301" s="88" t="inlineStr">
        <is>
          <t>Tempo Médio — 🟠 Laranja (hh:mm)</t>
        </is>
      </c>
      <c r="D301" s="75" t="n">
        <v>0.005300925925925926</v>
      </c>
      <c r="E301" s="75" t="n">
        <v>0.01231481481481481</v>
      </c>
      <c r="F301" s="75" t="n">
        <v>0.006076388888888889</v>
      </c>
      <c r="G301" s="75" t="n">
        <v>0.01109953703703704</v>
      </c>
      <c r="H301" s="75" t="n">
        <v>0.004467592592592592</v>
      </c>
      <c r="I301" s="75" t="n">
        <v>0.004409722222222222</v>
      </c>
      <c r="J301" s="75" t="n">
        <v>0.009108796296296297</v>
      </c>
      <c r="K301" s="75" t="n">
        <v>0.01835648148148148</v>
      </c>
      <c r="L301" s="75" t="n">
        <v>0.008506944444444444</v>
      </c>
      <c r="M301" s="75" t="n">
        <v>0.009027777777777777</v>
      </c>
      <c r="N301" s="75" t="n">
        <v>0.01590277777777778</v>
      </c>
      <c r="O301" s="75" t="n">
        <v>0.01126157407407407</v>
      </c>
      <c r="P301" s="75" t="n">
        <v>0.01320601851851852</v>
      </c>
    </row>
    <row r="302" ht="15.75" customHeight="1" s="45">
      <c r="A302" s="76" t="n">
        <v>46226</v>
      </c>
      <c r="B302" s="82" t="inlineStr">
        <is>
          <t>Pós-Projeto</t>
        </is>
      </c>
      <c r="C302" s="91" t="inlineStr">
        <is>
          <t>Tempo Médio — 🟢 Verde   (hh:mm)</t>
        </is>
      </c>
      <c r="D302" s="79" t="n">
        <v>0.04608796296296296</v>
      </c>
      <c r="E302" s="79" t="n">
        <v>0.2300578703703704</v>
      </c>
      <c r="F302" s="79" t="n">
        <v>0.1088657407407407</v>
      </c>
      <c r="G302" s="79" t="n">
        <v>0.09611111111111111</v>
      </c>
      <c r="H302" s="79" t="n">
        <v>0.1098958333333333</v>
      </c>
      <c r="I302" s="79" t="n">
        <v>0.09596064814814814</v>
      </c>
      <c r="J302" s="79" t="n">
        <v>0.04170138888888889</v>
      </c>
      <c r="K302" s="79" t="n">
        <v>0.1357407407407407</v>
      </c>
      <c r="L302" s="79" t="n">
        <v>0.1599768518518518</v>
      </c>
      <c r="M302" s="79" t="n">
        <v>0.06452546296296297</v>
      </c>
      <c r="N302" s="79" t="n">
        <v>0.1076851851851852</v>
      </c>
      <c r="O302" s="79" t="n">
        <v>0.09363425925925926</v>
      </c>
      <c r="P302" s="79" t="n">
        <v>0.02496527777777778</v>
      </c>
    </row>
    <row r="303" ht="15.75" customHeight="1" s="45">
      <c r="A303" s="57" t="n">
        <v>46227</v>
      </c>
      <c r="B303" s="81" t="inlineStr">
        <is>
          <t>Pós-Projeto</t>
        </is>
      </c>
      <c r="C303" s="59" t="inlineStr">
        <is>
          <t>Acolhim. + Atend. Urgência + Atend. UPA</t>
        </is>
      </c>
      <c r="D303" s="60">
        <f>SUM(D304:D306)</f>
        <v/>
      </c>
      <c r="E303" s="60">
        <f>SUM(E304:E306)</f>
        <v/>
      </c>
      <c r="F303" s="60">
        <f>SUM(F304:F306)</f>
        <v/>
      </c>
      <c r="G303" s="60">
        <f>SUM(G304:G306)</f>
        <v/>
      </c>
      <c r="H303" s="60">
        <f>SUM(H304:H306)</f>
        <v/>
      </c>
      <c r="I303" s="60">
        <f>SUM(I304:I306)</f>
        <v/>
      </c>
      <c r="J303" s="60">
        <f>SUM(J304:J306)</f>
        <v/>
      </c>
      <c r="K303" s="60">
        <f>SUM(K304:K306)</f>
        <v/>
      </c>
      <c r="L303" s="60">
        <f>SUM(L304:L306)</f>
        <v/>
      </c>
      <c r="M303" s="60">
        <f>SUM(M304:M306)</f>
        <v/>
      </c>
      <c r="N303" s="60">
        <f>SUM(N304:N306)</f>
        <v/>
      </c>
      <c r="O303" s="60">
        <f>SUM(O304:O306)</f>
        <v/>
      </c>
      <c r="P303" s="60">
        <f>SUM(P304:P306)</f>
        <v/>
      </c>
    </row>
    <row r="304" ht="15.75" customHeight="1" s="45">
      <c r="A304" s="61" t="n">
        <v>46227</v>
      </c>
      <c r="B304" s="82" t="inlineStr">
        <is>
          <t>Pós-Projeto</t>
        </is>
      </c>
      <c r="C304" s="83" t="inlineStr">
        <is>
          <t>Acolhimento c/ Classif. de Risco</t>
        </is>
      </c>
      <c r="D304" s="64" t="n">
        <v>216</v>
      </c>
      <c r="E304" s="64" t="n">
        <v>157</v>
      </c>
      <c r="F304" s="64" t="n">
        <v>161</v>
      </c>
      <c r="G304" s="64" t="n">
        <v>145</v>
      </c>
      <c r="H304" s="64" t="n">
        <v>155</v>
      </c>
      <c r="I304" s="64" t="n">
        <v>183</v>
      </c>
      <c r="J304" s="64" t="n">
        <v>101</v>
      </c>
      <c r="K304" s="64" t="n">
        <v>242</v>
      </c>
      <c r="L304" s="64" t="n">
        <v>110</v>
      </c>
      <c r="M304" s="64" t="n">
        <v>229</v>
      </c>
      <c r="N304" s="64" t="n">
        <v>190</v>
      </c>
      <c r="O304" s="64" t="n">
        <v>228</v>
      </c>
      <c r="P304" s="64" t="n">
        <v>196</v>
      </c>
    </row>
    <row r="305" ht="15.75" customHeight="1" s="45">
      <c r="A305" s="61" t="n">
        <v>46227</v>
      </c>
      <c r="B305" s="82" t="inlineStr">
        <is>
          <t>Pós-Projeto</t>
        </is>
      </c>
      <c r="C305" s="84" t="inlineStr">
        <is>
          <t>Atend. Urgência Obs. ≤ 24h</t>
        </is>
      </c>
      <c r="D305" s="66" t="n">
        <v>30</v>
      </c>
      <c r="E305" s="66" t="n">
        <v>20</v>
      </c>
      <c r="F305" s="66" t="n">
        <v>18</v>
      </c>
      <c r="G305" s="66" t="n">
        <v>21</v>
      </c>
      <c r="H305" s="66" t="n">
        <v>17</v>
      </c>
      <c r="I305" s="66" t="n">
        <v>11</v>
      </c>
      <c r="J305" s="66" t="n">
        <v>2</v>
      </c>
      <c r="K305" s="66" t="n">
        <v>36</v>
      </c>
      <c r="L305" s="66" t="n">
        <v>35</v>
      </c>
      <c r="M305" s="66" t="n">
        <v>26</v>
      </c>
      <c r="N305" s="66" t="n">
        <v>37</v>
      </c>
      <c r="O305" s="66" t="n">
        <v>10</v>
      </c>
      <c r="P305" s="66" t="n">
        <v>64</v>
      </c>
    </row>
    <row r="306" ht="15.75" customHeight="1" s="45">
      <c r="A306" s="61" t="n">
        <v>46227</v>
      </c>
      <c r="B306" s="82" t="inlineStr">
        <is>
          <t>Pós-Projeto</t>
        </is>
      </c>
      <c r="C306" s="83" t="inlineStr">
        <is>
          <t>Atend. Médico em UPA</t>
        </is>
      </c>
      <c r="D306" s="64" t="n">
        <v>224</v>
      </c>
      <c r="E306" s="64" t="n">
        <v>74</v>
      </c>
      <c r="F306" s="64" t="n">
        <v>103</v>
      </c>
      <c r="G306" s="64" t="n">
        <v>94</v>
      </c>
      <c r="H306" s="64" t="n">
        <v>127</v>
      </c>
      <c r="I306" s="64" t="n">
        <v>160</v>
      </c>
      <c r="J306" s="64" t="n">
        <v>72</v>
      </c>
      <c r="K306" s="64" t="n">
        <v>181</v>
      </c>
      <c r="L306" s="64" t="n">
        <v>99</v>
      </c>
      <c r="M306" s="64" t="n">
        <v>152</v>
      </c>
      <c r="N306" s="64" t="n">
        <v>144</v>
      </c>
      <c r="O306" s="64" t="n">
        <v>161</v>
      </c>
      <c r="P306" s="64" t="n">
        <v>156</v>
      </c>
    </row>
    <row r="307" ht="15.75" customHeight="1" s="45">
      <c r="A307" s="61" t="n">
        <v>46227</v>
      </c>
      <c r="B307" s="82" t="inlineStr">
        <is>
          <t>Pós-Projeto</t>
        </is>
      </c>
      <c r="C307" s="84" t="inlineStr">
        <is>
          <t>Exames Laboratoriais</t>
        </is>
      </c>
      <c r="D307" s="66" t="n">
        <v>530</v>
      </c>
      <c r="E307" s="66" t="n">
        <v>530</v>
      </c>
      <c r="F307" s="66" t="n">
        <v>296</v>
      </c>
      <c r="G307" s="66" t="n">
        <v>273</v>
      </c>
      <c r="H307" s="66" t="n">
        <v>480</v>
      </c>
      <c r="I307" s="66" t="n">
        <v>554</v>
      </c>
      <c r="J307" s="66" t="n">
        <v>233</v>
      </c>
      <c r="K307" s="66" t="n">
        <v>822</v>
      </c>
      <c r="L307" s="66" t="n">
        <v>592</v>
      </c>
      <c r="M307" s="66" t="n">
        <v>516</v>
      </c>
      <c r="N307" s="66" t="n">
        <v>490</v>
      </c>
      <c r="O307" s="66" t="n">
        <v>433</v>
      </c>
      <c r="P307" s="66" t="n">
        <v>434</v>
      </c>
    </row>
    <row r="308" ht="15.75" customHeight="1" s="45">
      <c r="A308" s="61" t="n">
        <v>46227</v>
      </c>
      <c r="B308" s="82" t="inlineStr">
        <is>
          <t>Pós-Projeto</t>
        </is>
      </c>
      <c r="C308" s="83" t="inlineStr">
        <is>
          <t>Radiografias</t>
        </is>
      </c>
      <c r="D308" s="64" t="n">
        <v>21</v>
      </c>
      <c r="E308" s="64" t="n">
        <v>16</v>
      </c>
      <c r="F308" s="64" t="n">
        <v>22</v>
      </c>
      <c r="G308" s="64" t="n">
        <v>18</v>
      </c>
      <c r="H308" s="64" t="n">
        <v>14</v>
      </c>
      <c r="I308" s="64" t="n">
        <v>31</v>
      </c>
      <c r="J308" s="64" t="n">
        <v>20</v>
      </c>
      <c r="K308" s="64" t="n">
        <v>39</v>
      </c>
      <c r="L308" s="64" t="n">
        <v>18</v>
      </c>
      <c r="M308" s="64" t="n">
        <v>22</v>
      </c>
      <c r="N308" s="64" t="n">
        <v>29</v>
      </c>
      <c r="O308" s="64" t="n">
        <v>33</v>
      </c>
      <c r="P308" s="64" t="n">
        <v>27</v>
      </c>
    </row>
    <row r="309" ht="15.75" customHeight="1" s="45">
      <c r="A309" s="61" t="n">
        <v>46227</v>
      </c>
      <c r="B309" s="82" t="inlineStr">
        <is>
          <t>Pós-Projeto</t>
        </is>
      </c>
      <c r="C309" s="84" t="inlineStr">
        <is>
          <t>Eletrocardiogramas</t>
        </is>
      </c>
      <c r="D309" s="66" t="n">
        <v>9</v>
      </c>
      <c r="E309" s="66" t="n">
        <v>2</v>
      </c>
      <c r="F309" s="67" t="n">
        <v>0</v>
      </c>
      <c r="G309" s="66" t="n">
        <v>5</v>
      </c>
      <c r="H309" s="67" t="n">
        <v>0</v>
      </c>
      <c r="I309" s="67" t="n">
        <v>0</v>
      </c>
      <c r="J309" s="67" t="n">
        <v>0</v>
      </c>
      <c r="K309" s="66" t="n">
        <v>11</v>
      </c>
      <c r="L309" s="67" t="n">
        <v>0</v>
      </c>
      <c r="M309" s="67" t="n">
        <v>0</v>
      </c>
      <c r="N309" s="66" t="n">
        <v>16</v>
      </c>
      <c r="O309" s="67" t="n">
        <v>0</v>
      </c>
      <c r="P309" s="66" t="n">
        <v>14</v>
      </c>
    </row>
    <row r="310" ht="15.75" customHeight="1" s="45">
      <c r="A310" s="61" t="n">
        <v>46227</v>
      </c>
      <c r="B310" s="82" t="inlineStr">
        <is>
          <t>Pós-Projeto</t>
        </is>
      </c>
      <c r="C310" s="85" t="inlineStr">
        <is>
          <t>GAEs Abertas</t>
        </is>
      </c>
      <c r="D310" s="69" t="n">
        <v>223</v>
      </c>
      <c r="E310" s="69" t="n">
        <v>164</v>
      </c>
      <c r="F310" s="69" t="n">
        <v>165</v>
      </c>
      <c r="G310" s="69" t="n">
        <v>147</v>
      </c>
      <c r="H310" s="69" t="n">
        <v>165</v>
      </c>
      <c r="I310" s="69" t="n">
        <v>199</v>
      </c>
      <c r="J310" s="69" t="n">
        <v>103</v>
      </c>
      <c r="K310" s="69" t="n">
        <v>259</v>
      </c>
      <c r="L310" s="69" t="n">
        <v>118</v>
      </c>
      <c r="M310" s="69" t="n">
        <v>238</v>
      </c>
      <c r="N310" s="69" t="n">
        <v>200</v>
      </c>
      <c r="O310" s="69" t="n">
        <v>231</v>
      </c>
      <c r="P310" s="69" t="n">
        <v>207</v>
      </c>
    </row>
    <row r="311" ht="15.75" customHeight="1" s="45">
      <c r="A311" s="61" t="n">
        <v>46227</v>
      </c>
      <c r="B311" s="82" t="inlineStr">
        <is>
          <t>Pós-Projeto</t>
        </is>
      </c>
      <c r="C311" s="85" t="inlineStr">
        <is>
          <t>GAEs Classificadas</t>
        </is>
      </c>
      <c r="D311" s="69" t="n">
        <v>210</v>
      </c>
      <c r="E311" s="69" t="n">
        <v>158</v>
      </c>
      <c r="F311" s="69" t="n">
        <v>161</v>
      </c>
      <c r="G311" s="69" t="n">
        <v>146</v>
      </c>
      <c r="H311" s="69" t="n">
        <v>158</v>
      </c>
      <c r="I311" s="69" t="n">
        <v>182</v>
      </c>
      <c r="J311" s="69" t="n">
        <v>100</v>
      </c>
      <c r="K311" s="69" t="n">
        <v>247</v>
      </c>
      <c r="L311" s="69" t="n">
        <v>113</v>
      </c>
      <c r="M311" s="69" t="n">
        <v>225</v>
      </c>
      <c r="N311" s="69" t="n">
        <v>190</v>
      </c>
      <c r="O311" s="69" t="n">
        <v>228</v>
      </c>
      <c r="P311" s="69" t="n">
        <v>196</v>
      </c>
    </row>
    <row r="312" ht="15.75" customHeight="1" s="45">
      <c r="A312" s="61" t="n">
        <v>46227</v>
      </c>
      <c r="B312" s="82" t="inlineStr">
        <is>
          <t>Pós-Projeto</t>
        </is>
      </c>
      <c r="C312" s="86" t="inlineStr">
        <is>
          <t>Percentual de GAEs abertas classificadas</t>
        </is>
      </c>
      <c r="D312" s="71">
        <f>IFERROR(D311/D310,"-")</f>
        <v/>
      </c>
      <c r="E312" s="71">
        <f>IFERROR(E311/E310,"-")</f>
        <v/>
      </c>
      <c r="F312" s="71">
        <f>IFERROR(F311/F310,"-")</f>
        <v/>
      </c>
      <c r="G312" s="71">
        <f>IFERROR(G311/G310,"-")</f>
        <v/>
      </c>
      <c r="H312" s="71">
        <f>IFERROR(H311/H310,"-")</f>
        <v/>
      </c>
      <c r="I312" s="71">
        <f>IFERROR(I311/I310,"-")</f>
        <v/>
      </c>
      <c r="J312" s="71">
        <f>IFERROR(J311/J310,"-")</f>
        <v/>
      </c>
      <c r="K312" s="71">
        <f>IFERROR(K311/K310,"-")</f>
        <v/>
      </c>
      <c r="L312" s="71">
        <f>IFERROR(L311/L310,"-")</f>
        <v/>
      </c>
      <c r="M312" s="71">
        <f>IFERROR(M311/M310,"-")</f>
        <v/>
      </c>
      <c r="N312" s="71">
        <f>IFERROR(N311/N310,"-")</f>
        <v/>
      </c>
      <c r="O312" s="71">
        <f>IFERROR(O311/O310,"-")</f>
        <v/>
      </c>
      <c r="P312" s="71">
        <f>IFERROR(P311/P310,"-")</f>
        <v/>
      </c>
    </row>
    <row r="313" ht="15.75" customHeight="1" s="45">
      <c r="A313" s="61" t="n">
        <v>46227</v>
      </c>
      <c r="B313" s="82" t="inlineStr">
        <is>
          <t>Pós-Projeto</t>
        </is>
      </c>
      <c r="C313" s="87" t="inlineStr">
        <is>
          <t>Tempo Médio — 🟡 Amarelo (hh:mm)</t>
        </is>
      </c>
      <c r="D313" s="73" t="n">
        <v>0.02623842592592593</v>
      </c>
      <c r="E313" s="73" t="n">
        <v>0.1569791666666667</v>
      </c>
      <c r="F313" s="73" t="n">
        <v>0.05439814814814815</v>
      </c>
      <c r="G313" s="73" t="n">
        <v>0.02074074074074074</v>
      </c>
      <c r="H313" s="73" t="n">
        <v>0.0490625</v>
      </c>
      <c r="I313" s="73" t="n">
        <v>0.02976851851851852</v>
      </c>
      <c r="J313" s="73" t="n">
        <v>0.02576388888888889</v>
      </c>
      <c r="K313" s="73" t="n">
        <v>0.07503472222222222</v>
      </c>
      <c r="L313" s="73" t="n">
        <v>0.1187847222222222</v>
      </c>
      <c r="M313" s="73" t="n">
        <v>0.03724537037037037</v>
      </c>
      <c r="N313" s="73" t="n">
        <v>0.1105439814814815</v>
      </c>
      <c r="O313" s="73" t="n">
        <v>0.02512731481481481</v>
      </c>
      <c r="P313" s="73" t="n">
        <v>0.03074074074074074</v>
      </c>
    </row>
    <row r="314" ht="15.75" customHeight="1" s="45">
      <c r="A314" s="61" t="n">
        <v>46227</v>
      </c>
      <c r="B314" s="82" t="inlineStr">
        <is>
          <t>Pós-Projeto</t>
        </is>
      </c>
      <c r="C314" s="88" t="inlineStr">
        <is>
          <t>Tempo Médio — 🟠 Laranja (hh:mm)</t>
        </is>
      </c>
      <c r="D314" s="75" t="n">
        <v>0.01054398148148148</v>
      </c>
      <c r="E314" s="75" t="n">
        <v>0.02777777777777778</v>
      </c>
      <c r="F314" s="75" t="n">
        <v>0.007418981481481481</v>
      </c>
      <c r="G314" s="75" t="n">
        <v>0.004918981481481482</v>
      </c>
      <c r="H314" s="75" t="n">
        <v>0.004386574074074074</v>
      </c>
      <c r="I314" s="75" t="n">
        <v>0.005324074074074074</v>
      </c>
      <c r="J314" s="75" t="n">
        <v>0.004247685185185185</v>
      </c>
      <c r="K314" s="80" t="n">
        <v>0</v>
      </c>
      <c r="L314" s="75" t="n">
        <v>0.011875</v>
      </c>
      <c r="M314" s="75" t="n">
        <v>0.004837962962962963</v>
      </c>
      <c r="N314" s="75" t="n">
        <v>0.02178240740740741</v>
      </c>
      <c r="O314" s="75" t="n">
        <v>0.008946759259259258</v>
      </c>
      <c r="P314" s="75" t="n">
        <v>0.009097222222222222</v>
      </c>
    </row>
    <row r="315" ht="15.75" customHeight="1" s="45">
      <c r="A315" s="76" t="n">
        <v>46227</v>
      </c>
      <c r="B315" s="82" t="inlineStr">
        <is>
          <t>Pós-Projeto</t>
        </is>
      </c>
      <c r="C315" s="91" t="inlineStr">
        <is>
          <t>Tempo Médio — 🟢 Verde   (hh:mm)</t>
        </is>
      </c>
      <c r="D315" s="79" t="n">
        <v>0.04065972222222222</v>
      </c>
      <c r="E315" s="79" t="n">
        <v>0.3038425925925926</v>
      </c>
      <c r="F315" s="79" t="n">
        <v>0.07350694444444444</v>
      </c>
      <c r="G315" s="79" t="n">
        <v>0.05710648148148148</v>
      </c>
      <c r="H315" s="79" t="n">
        <v>0.09195601851851852</v>
      </c>
      <c r="I315" s="79" t="n">
        <v>0.09701388888888889</v>
      </c>
      <c r="J315" s="79" t="n">
        <v>0.05005787037037037</v>
      </c>
      <c r="K315" s="79" t="n">
        <v>0.04584490740740741</v>
      </c>
      <c r="L315" s="79" t="n">
        <v>0.1318518518518519</v>
      </c>
      <c r="M315" s="79" t="n">
        <v>0.09175925925925926</v>
      </c>
      <c r="N315" s="79" t="n">
        <v>0.1302777777777778</v>
      </c>
      <c r="O315" s="79" t="n">
        <v>0.07518518518518519</v>
      </c>
      <c r="P315" s="79" t="n">
        <v>0.04638888888888889</v>
      </c>
    </row>
    <row r="316" ht="15.75" customHeight="1" s="45">
      <c r="A316" s="57" t="n">
        <v>46228</v>
      </c>
      <c r="B316" s="81" t="inlineStr">
        <is>
          <t>Pós-Projeto</t>
        </is>
      </c>
      <c r="C316" s="59" t="inlineStr">
        <is>
          <t>Acolhim. + Atend. Urgência + Atend. UPA</t>
        </is>
      </c>
      <c r="D316" s="60">
        <f>SUM(D317:D319)</f>
        <v/>
      </c>
      <c r="E316" s="60">
        <f>SUM(E317:E319)</f>
        <v/>
      </c>
      <c r="F316" s="60">
        <f>SUM(F317:F319)</f>
        <v/>
      </c>
      <c r="G316" s="60">
        <f>SUM(G317:G319)</f>
        <v/>
      </c>
      <c r="H316" s="60">
        <f>SUM(H317:H319)</f>
        <v/>
      </c>
      <c r="I316" s="60">
        <f>SUM(I317:I319)</f>
        <v/>
      </c>
      <c r="J316" s="60">
        <f>SUM(J317:J319)</f>
        <v/>
      </c>
      <c r="K316" s="60">
        <f>SUM(K317:K319)</f>
        <v/>
      </c>
      <c r="L316" s="60">
        <f>SUM(L317:L319)</f>
        <v/>
      </c>
      <c r="M316" s="60">
        <f>SUM(M317:M319)</f>
        <v/>
      </c>
      <c r="N316" s="60">
        <f>SUM(N317:N319)</f>
        <v/>
      </c>
      <c r="O316" s="60">
        <f>SUM(O317:O319)</f>
        <v/>
      </c>
      <c r="P316" s="60">
        <f>SUM(P317:P319)</f>
        <v/>
      </c>
    </row>
    <row r="317" ht="15.75" customHeight="1" s="45">
      <c r="A317" s="61" t="n">
        <v>46228</v>
      </c>
      <c r="B317" s="82" t="inlineStr">
        <is>
          <t>Pós-Projeto</t>
        </is>
      </c>
      <c r="C317" s="83" t="inlineStr">
        <is>
          <t>Acolhimento c/ Classif. de Risco</t>
        </is>
      </c>
      <c r="D317" s="64" t="n">
        <v>179</v>
      </c>
      <c r="E317" s="64" t="n">
        <v>135</v>
      </c>
      <c r="F317" s="64" t="n">
        <v>132</v>
      </c>
      <c r="G317" s="64" t="n">
        <v>130</v>
      </c>
      <c r="H317" s="64" t="n">
        <v>158</v>
      </c>
      <c r="I317" s="64" t="n">
        <v>175</v>
      </c>
      <c r="J317" s="64" t="n">
        <v>88</v>
      </c>
      <c r="K317" s="64" t="n">
        <v>237</v>
      </c>
      <c r="L317" s="64" t="n">
        <v>99</v>
      </c>
      <c r="M317" s="64" t="n">
        <v>180</v>
      </c>
      <c r="N317" s="64" t="n">
        <v>156</v>
      </c>
      <c r="O317" s="64" t="n">
        <v>215</v>
      </c>
      <c r="P317" s="64" t="n">
        <v>156</v>
      </c>
    </row>
    <row r="318" ht="15.75" customHeight="1" s="45">
      <c r="A318" s="61" t="n">
        <v>46228</v>
      </c>
      <c r="B318" s="82" t="inlineStr">
        <is>
          <t>Pós-Projeto</t>
        </is>
      </c>
      <c r="C318" s="84" t="inlineStr">
        <is>
          <t>Atend. Urgência Obs. ≤ 24h</t>
        </is>
      </c>
      <c r="D318" s="66" t="n">
        <v>34</v>
      </c>
      <c r="E318" s="66" t="n">
        <v>25</v>
      </c>
      <c r="F318" s="66" t="n">
        <v>28</v>
      </c>
      <c r="G318" s="66" t="n">
        <v>26</v>
      </c>
      <c r="H318" s="66" t="n">
        <v>18</v>
      </c>
      <c r="I318" s="66" t="n">
        <v>13</v>
      </c>
      <c r="J318" s="66" t="n">
        <v>6</v>
      </c>
      <c r="K318" s="66" t="n">
        <v>49</v>
      </c>
      <c r="L318" s="66" t="n">
        <v>43</v>
      </c>
      <c r="M318" s="66" t="n">
        <v>34</v>
      </c>
      <c r="N318" s="66" t="n">
        <v>24</v>
      </c>
      <c r="O318" s="66" t="n">
        <v>13</v>
      </c>
      <c r="P318" s="66" t="n">
        <v>22</v>
      </c>
    </row>
    <row r="319" ht="15.75" customHeight="1" s="45">
      <c r="A319" s="61" t="n">
        <v>46228</v>
      </c>
      <c r="B319" s="82" t="inlineStr">
        <is>
          <t>Pós-Projeto</t>
        </is>
      </c>
      <c r="C319" s="83" t="inlineStr">
        <is>
          <t>Atend. Médico em UPA</t>
        </is>
      </c>
      <c r="D319" s="64" t="n">
        <v>168</v>
      </c>
      <c r="E319" s="64" t="n">
        <v>68</v>
      </c>
      <c r="F319" s="64" t="n">
        <v>86</v>
      </c>
      <c r="G319" s="64" t="n">
        <v>66</v>
      </c>
      <c r="H319" s="64" t="n">
        <v>105</v>
      </c>
      <c r="I319" s="64" t="n">
        <v>136</v>
      </c>
      <c r="J319" s="64" t="n">
        <v>75</v>
      </c>
      <c r="K319" s="64" t="n">
        <v>200</v>
      </c>
      <c r="L319" s="64" t="n">
        <v>90</v>
      </c>
      <c r="M319" s="64" t="n">
        <v>104</v>
      </c>
      <c r="N319" s="64" t="n">
        <v>149</v>
      </c>
      <c r="O319" s="64" t="n">
        <v>209</v>
      </c>
      <c r="P319" s="64" t="n">
        <v>132</v>
      </c>
    </row>
    <row r="320" ht="15.75" customHeight="1" s="45">
      <c r="A320" s="61" t="n">
        <v>46228</v>
      </c>
      <c r="B320" s="82" t="inlineStr">
        <is>
          <t>Pós-Projeto</t>
        </is>
      </c>
      <c r="C320" s="84" t="inlineStr">
        <is>
          <t>Exames Laboratoriais</t>
        </is>
      </c>
      <c r="D320" s="66" t="n">
        <v>511</v>
      </c>
      <c r="E320" s="66" t="n">
        <v>404</v>
      </c>
      <c r="F320" s="66" t="n">
        <v>607</v>
      </c>
      <c r="G320" s="66" t="n">
        <v>194</v>
      </c>
      <c r="H320" s="66" t="n">
        <v>308</v>
      </c>
      <c r="I320" s="66" t="n">
        <v>428</v>
      </c>
      <c r="J320" s="66" t="n">
        <v>308</v>
      </c>
      <c r="K320" s="66" t="n">
        <v>738</v>
      </c>
      <c r="L320" s="66" t="n">
        <v>530</v>
      </c>
      <c r="M320" s="66" t="n">
        <v>612</v>
      </c>
      <c r="N320" s="66" t="n">
        <v>516</v>
      </c>
      <c r="O320" s="66" t="n">
        <v>438</v>
      </c>
      <c r="P320" s="66" t="n">
        <v>269</v>
      </c>
    </row>
    <row r="321" ht="15.75" customHeight="1" s="45">
      <c r="A321" s="61" t="n">
        <v>46228</v>
      </c>
      <c r="B321" s="82" t="inlineStr">
        <is>
          <t>Pós-Projeto</t>
        </is>
      </c>
      <c r="C321" s="83" t="inlineStr">
        <is>
          <t>Radiografias</t>
        </is>
      </c>
      <c r="D321" s="64" t="n">
        <v>19</v>
      </c>
      <c r="E321" s="64" t="n">
        <v>16</v>
      </c>
      <c r="F321" s="64" t="n">
        <v>18</v>
      </c>
      <c r="G321" s="64" t="n">
        <v>14</v>
      </c>
      <c r="H321" s="64" t="n">
        <v>10</v>
      </c>
      <c r="I321" s="64" t="n">
        <v>20</v>
      </c>
      <c r="J321" s="64" t="n">
        <v>13</v>
      </c>
      <c r="K321" s="64" t="n">
        <v>35</v>
      </c>
      <c r="L321" s="64" t="n">
        <v>14</v>
      </c>
      <c r="M321" s="64" t="n">
        <v>32</v>
      </c>
      <c r="N321" s="64" t="n">
        <v>28</v>
      </c>
      <c r="O321" s="64" t="n">
        <v>43</v>
      </c>
      <c r="P321" s="64" t="n">
        <v>26</v>
      </c>
    </row>
    <row r="322" ht="15.75" customHeight="1" s="45">
      <c r="A322" s="61" t="n">
        <v>46228</v>
      </c>
      <c r="B322" s="82" t="inlineStr">
        <is>
          <t>Pós-Projeto</t>
        </is>
      </c>
      <c r="C322" s="84" t="inlineStr">
        <is>
          <t>Eletrocardiogramas</t>
        </is>
      </c>
      <c r="D322" s="67" t="n">
        <v>0</v>
      </c>
      <c r="E322" s="67" t="n">
        <v>0</v>
      </c>
      <c r="F322" s="67" t="n">
        <v>0</v>
      </c>
      <c r="G322" s="66" t="n">
        <v>1</v>
      </c>
      <c r="H322" s="67" t="n">
        <v>0</v>
      </c>
      <c r="I322" s="66" t="n">
        <v>5</v>
      </c>
      <c r="J322" s="67" t="n">
        <v>0</v>
      </c>
      <c r="K322" s="66" t="n">
        <v>7</v>
      </c>
      <c r="L322" s="67" t="n">
        <v>0</v>
      </c>
      <c r="M322" s="67" t="n">
        <v>0</v>
      </c>
      <c r="N322" s="66" t="n">
        <v>8</v>
      </c>
      <c r="O322" s="67" t="n">
        <v>0</v>
      </c>
      <c r="P322" s="66" t="n">
        <v>13</v>
      </c>
    </row>
    <row r="323" ht="15.75" customHeight="1" s="45">
      <c r="A323" s="61" t="n">
        <v>46228</v>
      </c>
      <c r="B323" s="82" t="inlineStr">
        <is>
          <t>Pós-Projeto</t>
        </is>
      </c>
      <c r="C323" s="85" t="inlineStr">
        <is>
          <t>GAEs Abertas</t>
        </is>
      </c>
      <c r="D323" s="69" t="n">
        <v>187</v>
      </c>
      <c r="E323" s="69" t="n">
        <v>161</v>
      </c>
      <c r="F323" s="69" t="n">
        <v>135</v>
      </c>
      <c r="G323" s="69" t="n">
        <v>133</v>
      </c>
      <c r="H323" s="69" t="n">
        <v>162</v>
      </c>
      <c r="I323" s="69" t="n">
        <v>189</v>
      </c>
      <c r="J323" s="69" t="n">
        <v>90</v>
      </c>
      <c r="K323" s="69" t="n">
        <v>257</v>
      </c>
      <c r="L323" s="69" t="n">
        <v>98</v>
      </c>
      <c r="M323" s="69" t="n">
        <v>188</v>
      </c>
      <c r="N323" s="69" t="n">
        <v>167</v>
      </c>
      <c r="O323" s="69" t="n">
        <v>225</v>
      </c>
      <c r="P323" s="69" t="n">
        <v>162</v>
      </c>
    </row>
    <row r="324" ht="15.75" customHeight="1" s="45">
      <c r="A324" s="61" t="n">
        <v>46228</v>
      </c>
      <c r="B324" s="82" t="inlineStr">
        <is>
          <t>Pós-Projeto</t>
        </is>
      </c>
      <c r="C324" s="85" t="inlineStr">
        <is>
          <t>GAEs Classificadas</t>
        </is>
      </c>
      <c r="D324" s="69" t="n">
        <v>180</v>
      </c>
      <c r="E324" s="69" t="n">
        <v>135</v>
      </c>
      <c r="F324" s="69" t="n">
        <v>133</v>
      </c>
      <c r="G324" s="69" t="n">
        <v>129</v>
      </c>
      <c r="H324" s="69" t="n">
        <v>157</v>
      </c>
      <c r="I324" s="69" t="n">
        <v>179</v>
      </c>
      <c r="J324" s="69" t="n">
        <v>87</v>
      </c>
      <c r="K324" s="69" t="n">
        <v>238</v>
      </c>
      <c r="L324" s="69" t="n">
        <v>98</v>
      </c>
      <c r="M324" s="69" t="n">
        <v>182</v>
      </c>
      <c r="N324" s="69" t="n">
        <v>154</v>
      </c>
      <c r="O324" s="69" t="n">
        <v>217</v>
      </c>
      <c r="P324" s="69" t="n">
        <v>158</v>
      </c>
    </row>
    <row r="325" ht="15.75" customHeight="1" s="45">
      <c r="A325" s="61" t="n">
        <v>46228</v>
      </c>
      <c r="B325" s="82" t="inlineStr">
        <is>
          <t>Pós-Projeto</t>
        </is>
      </c>
      <c r="C325" s="86" t="inlineStr">
        <is>
          <t>Percentual de GAEs abertas classificadas</t>
        </is>
      </c>
      <c r="D325" s="71">
        <f>IFERROR(D324/D323,"-")</f>
        <v/>
      </c>
      <c r="E325" s="71">
        <f>IFERROR(E324/E323,"-")</f>
        <v/>
      </c>
      <c r="F325" s="71">
        <f>IFERROR(F324/F323,"-")</f>
        <v/>
      </c>
      <c r="G325" s="71">
        <f>IFERROR(G324/G323,"-")</f>
        <v/>
      </c>
      <c r="H325" s="71">
        <f>IFERROR(H324/H323,"-")</f>
        <v/>
      </c>
      <c r="I325" s="71">
        <f>IFERROR(I324/I323,"-")</f>
        <v/>
      </c>
      <c r="J325" s="71">
        <f>IFERROR(J324/J323,"-")</f>
        <v/>
      </c>
      <c r="K325" s="71">
        <f>IFERROR(K324/K323,"-")</f>
        <v/>
      </c>
      <c r="L325" s="71">
        <f>IFERROR(L324/L323,"-")</f>
        <v/>
      </c>
      <c r="M325" s="71">
        <f>IFERROR(M324/M323,"-")</f>
        <v/>
      </c>
      <c r="N325" s="71">
        <f>IFERROR(N324/N323,"-")</f>
        <v/>
      </c>
      <c r="O325" s="71">
        <f>IFERROR(O324/O323,"-")</f>
        <v/>
      </c>
      <c r="P325" s="71">
        <f>IFERROR(P324/P323,"-")</f>
        <v/>
      </c>
    </row>
    <row r="326" ht="15.75" customHeight="1" s="45">
      <c r="A326" s="61" t="n">
        <v>46228</v>
      </c>
      <c r="B326" s="82" t="inlineStr">
        <is>
          <t>Pós-Projeto</t>
        </is>
      </c>
      <c r="C326" s="87" t="inlineStr">
        <is>
          <t>Tempo Médio — 🟡 Amarelo (hh:mm)</t>
        </is>
      </c>
      <c r="D326" s="73" t="n">
        <v>0.07656250000000001</v>
      </c>
      <c r="E326" s="73" t="n">
        <v>0.1159837962962963</v>
      </c>
      <c r="F326" s="73" t="n">
        <v>0.1506828703703704</v>
      </c>
      <c r="G326" s="73" t="n">
        <v>0.02902777777777778</v>
      </c>
      <c r="H326" s="73" t="n">
        <v>0.02954861111111111</v>
      </c>
      <c r="I326" s="73" t="n">
        <v>0.07063657407407407</v>
      </c>
      <c r="J326" s="73" t="n">
        <v>0.01337962962962963</v>
      </c>
      <c r="K326" s="73" t="n">
        <v>0.08231481481481481</v>
      </c>
      <c r="L326" s="73" t="n">
        <v>0.05759259259259259</v>
      </c>
      <c r="M326" s="73" t="n">
        <v>0.02512731481481481</v>
      </c>
      <c r="N326" s="73" t="n">
        <v>0.03828703703703704</v>
      </c>
      <c r="O326" s="73" t="n">
        <v>0.01909722222222222</v>
      </c>
      <c r="P326" s="73" t="n">
        <v>0.04061342592592593</v>
      </c>
    </row>
    <row r="327" ht="15.75" customHeight="1" s="45">
      <c r="A327" s="61" t="n">
        <v>46228</v>
      </c>
      <c r="B327" s="82" t="inlineStr">
        <is>
          <t>Pós-Projeto</t>
        </is>
      </c>
      <c r="C327" s="88" t="inlineStr">
        <is>
          <t>Tempo Médio — 🟠 Laranja (hh:mm)</t>
        </is>
      </c>
      <c r="D327" s="75" t="n">
        <v>0.006435185185185185</v>
      </c>
      <c r="E327" s="75" t="n">
        <v>0.01835648148148148</v>
      </c>
      <c r="F327" s="75" t="n">
        <v>0.004641203703703704</v>
      </c>
      <c r="G327" s="75" t="n">
        <v>0.009143518518518518</v>
      </c>
      <c r="H327" s="75" t="n">
        <v>0.004525462962962963</v>
      </c>
      <c r="I327" s="75" t="n">
        <v>0.005844907407407407</v>
      </c>
      <c r="J327" s="75" t="n">
        <v>0.001909722222222222</v>
      </c>
      <c r="K327" s="75" t="n">
        <v>0.01234953703703704</v>
      </c>
      <c r="L327" s="75" t="n">
        <v>0.01331018518518519</v>
      </c>
      <c r="M327" s="75" t="n">
        <v>0.01394675925925926</v>
      </c>
      <c r="N327" s="75" t="n">
        <v>0.0128125</v>
      </c>
      <c r="O327" s="75" t="n">
        <v>0.01012731481481481</v>
      </c>
      <c r="P327" s="75" t="n">
        <v>0.008506944444444444</v>
      </c>
    </row>
    <row r="328" ht="15.75" customHeight="1" s="45">
      <c r="A328" s="76" t="n">
        <v>46228</v>
      </c>
      <c r="B328" s="82" t="inlineStr">
        <is>
          <t>Pós-Projeto</t>
        </is>
      </c>
      <c r="C328" s="91" t="inlineStr">
        <is>
          <t>Tempo Médio — 🟢 Verde   (hh:mm)</t>
        </is>
      </c>
      <c r="D328" s="79" t="n">
        <v>0.09998842592592593</v>
      </c>
      <c r="E328" s="79" t="n">
        <v>0.2029861111111111</v>
      </c>
      <c r="F328" s="79" t="n">
        <v>0.1801388888888889</v>
      </c>
      <c r="G328" s="79" t="n">
        <v>0.1297337962962963</v>
      </c>
      <c r="H328" s="79" t="n">
        <v>0.1101041666666667</v>
      </c>
      <c r="I328" s="79" t="n">
        <v>0.1502546296296296</v>
      </c>
      <c r="J328" s="79" t="n">
        <v>0.02853009259259259</v>
      </c>
      <c r="K328" s="79" t="n">
        <v>0.137650462962963</v>
      </c>
      <c r="L328" s="79" t="n">
        <v>0.2133101851851852</v>
      </c>
      <c r="M328" s="79" t="n">
        <v>0.04855324074074074</v>
      </c>
      <c r="N328" s="79" t="n">
        <v>0.09196759259259259</v>
      </c>
      <c r="O328" s="79" t="n">
        <v>0.03118055555555556</v>
      </c>
      <c r="P328" s="79" t="n">
        <v>0.1054398148148148</v>
      </c>
    </row>
    <row r="329" ht="15.75" customHeight="1" s="45">
      <c r="A329" s="57" t="n">
        <v>46229</v>
      </c>
      <c r="B329" s="81" t="inlineStr">
        <is>
          <t>Pós-Projeto</t>
        </is>
      </c>
      <c r="C329" s="59" t="inlineStr">
        <is>
          <t>Acolhim. + Atend. Urgência + Atend. UPA</t>
        </is>
      </c>
      <c r="D329" s="60">
        <f>SUM(D330:D332)</f>
        <v/>
      </c>
      <c r="E329" s="60">
        <f>SUM(E330:E332)</f>
        <v/>
      </c>
      <c r="F329" s="60">
        <f>SUM(F330:F332)</f>
        <v/>
      </c>
      <c r="G329" s="60">
        <f>SUM(G330:G332)</f>
        <v/>
      </c>
      <c r="H329" s="60">
        <f>SUM(H330:H332)</f>
        <v/>
      </c>
      <c r="I329" s="60">
        <f>SUM(I330:I332)</f>
        <v/>
      </c>
      <c r="J329" s="60">
        <f>SUM(J330:J332)</f>
        <v/>
      </c>
      <c r="K329" s="60">
        <f>SUM(K330:K332)</f>
        <v/>
      </c>
      <c r="L329" s="60">
        <f>SUM(L330:L332)</f>
        <v/>
      </c>
      <c r="M329" s="60">
        <f>SUM(M330:M332)</f>
        <v/>
      </c>
      <c r="N329" s="60">
        <f>SUM(N330:N332)</f>
        <v/>
      </c>
      <c r="O329" s="60">
        <f>SUM(O330:O332)</f>
        <v/>
      </c>
      <c r="P329" s="60">
        <f>SUM(P330:P332)</f>
        <v/>
      </c>
    </row>
    <row r="330" ht="15.75" customHeight="1" s="45">
      <c r="A330" s="61" t="n">
        <v>46229</v>
      </c>
      <c r="B330" s="82" t="inlineStr">
        <is>
          <t>Pós-Projeto</t>
        </is>
      </c>
      <c r="C330" s="83" t="inlineStr">
        <is>
          <t>Acolhimento c/ Classif. de Risco</t>
        </is>
      </c>
      <c r="D330" s="64" t="n">
        <v>182</v>
      </c>
      <c r="E330" s="64" t="n">
        <v>115</v>
      </c>
      <c r="F330" s="64" t="n">
        <v>113</v>
      </c>
      <c r="G330" s="64" t="n">
        <v>133</v>
      </c>
      <c r="H330" s="64" t="n">
        <v>117</v>
      </c>
      <c r="I330" s="64" t="n">
        <v>142</v>
      </c>
      <c r="J330" s="64" t="n">
        <v>69</v>
      </c>
      <c r="K330" s="64" t="n">
        <v>230</v>
      </c>
      <c r="L330" s="64" t="n">
        <v>101</v>
      </c>
      <c r="M330" s="64" t="n">
        <v>174</v>
      </c>
      <c r="N330" s="64" t="n">
        <v>177</v>
      </c>
      <c r="O330" s="64" t="n">
        <v>204</v>
      </c>
      <c r="P330" s="64" t="n">
        <v>156</v>
      </c>
    </row>
    <row r="331" ht="15.75" customHeight="1" s="45">
      <c r="A331" s="61" t="n">
        <v>46229</v>
      </c>
      <c r="B331" s="82" t="inlineStr">
        <is>
          <t>Pós-Projeto</t>
        </is>
      </c>
      <c r="C331" s="84" t="inlineStr">
        <is>
          <t>Atend. Urgência Obs. ≤ 24h</t>
        </is>
      </c>
      <c r="D331" s="66" t="n">
        <v>25</v>
      </c>
      <c r="E331" s="66" t="n">
        <v>25</v>
      </c>
      <c r="F331" s="66" t="n">
        <v>28</v>
      </c>
      <c r="G331" s="66" t="n">
        <v>32</v>
      </c>
      <c r="H331" s="66" t="n">
        <v>24</v>
      </c>
      <c r="I331" s="66" t="n">
        <v>24</v>
      </c>
      <c r="J331" s="66" t="n">
        <v>14</v>
      </c>
      <c r="K331" s="66" t="n">
        <v>45</v>
      </c>
      <c r="L331" s="66" t="n">
        <v>36</v>
      </c>
      <c r="M331" s="66" t="n">
        <v>39</v>
      </c>
      <c r="N331" s="66" t="n">
        <v>31</v>
      </c>
      <c r="O331" s="66" t="n">
        <v>17</v>
      </c>
      <c r="P331" s="66" t="n">
        <v>30</v>
      </c>
    </row>
    <row r="332" ht="15.75" customHeight="1" s="45">
      <c r="A332" s="61" t="n">
        <v>46229</v>
      </c>
      <c r="B332" s="82" t="inlineStr">
        <is>
          <t>Pós-Projeto</t>
        </is>
      </c>
      <c r="C332" s="83" t="inlineStr">
        <is>
          <t>Atend. Médico em UPA</t>
        </is>
      </c>
      <c r="D332" s="64" t="n">
        <v>152</v>
      </c>
      <c r="E332" s="64" t="n">
        <v>75</v>
      </c>
      <c r="F332" s="64" t="n">
        <v>82</v>
      </c>
      <c r="G332" s="64" t="n">
        <v>118</v>
      </c>
      <c r="H332" s="64" t="n">
        <v>88</v>
      </c>
      <c r="I332" s="64" t="n">
        <v>110</v>
      </c>
      <c r="J332" s="64" t="n">
        <v>76</v>
      </c>
      <c r="K332" s="64" t="n">
        <v>203</v>
      </c>
      <c r="L332" s="64" t="n">
        <v>63</v>
      </c>
      <c r="M332" s="64" t="n">
        <v>86</v>
      </c>
      <c r="N332" s="64" t="n">
        <v>97</v>
      </c>
      <c r="O332" s="64" t="n">
        <v>158</v>
      </c>
      <c r="P332" s="64" t="n">
        <v>66</v>
      </c>
    </row>
    <row r="333" ht="15.75" customHeight="1" s="45">
      <c r="A333" s="61" t="n">
        <v>46229</v>
      </c>
      <c r="B333" s="82" t="inlineStr">
        <is>
          <t>Pós-Projeto</t>
        </is>
      </c>
      <c r="C333" s="84" t="inlineStr">
        <is>
          <t>Exames Laboratoriais</t>
        </is>
      </c>
      <c r="D333" s="66" t="n">
        <v>534</v>
      </c>
      <c r="E333" s="66" t="n">
        <v>378</v>
      </c>
      <c r="F333" s="66" t="n">
        <v>589</v>
      </c>
      <c r="G333" s="66" t="n">
        <v>239</v>
      </c>
      <c r="H333" s="66" t="n">
        <v>294</v>
      </c>
      <c r="I333" s="66" t="n">
        <v>461</v>
      </c>
      <c r="J333" s="66" t="n">
        <v>229</v>
      </c>
      <c r="K333" s="66" t="n">
        <v>955</v>
      </c>
      <c r="L333" s="66" t="n">
        <v>442</v>
      </c>
      <c r="M333" s="66" t="n">
        <v>497</v>
      </c>
      <c r="N333" s="66" t="n">
        <v>811</v>
      </c>
      <c r="O333" s="66" t="n">
        <v>360</v>
      </c>
      <c r="P333" s="66" t="n">
        <v>380</v>
      </c>
    </row>
    <row r="334" ht="15.75" customHeight="1" s="45">
      <c r="A334" s="61" t="n">
        <v>46229</v>
      </c>
      <c r="B334" s="82" t="inlineStr">
        <is>
          <t>Pós-Projeto</t>
        </is>
      </c>
      <c r="C334" s="83" t="inlineStr">
        <is>
          <t>Radiografias</t>
        </is>
      </c>
      <c r="D334" s="64" t="n">
        <v>15</v>
      </c>
      <c r="E334" s="64" t="n">
        <v>12</v>
      </c>
      <c r="F334" s="64" t="n">
        <v>23</v>
      </c>
      <c r="G334" s="64" t="n">
        <v>20</v>
      </c>
      <c r="H334" s="64" t="n">
        <v>13</v>
      </c>
      <c r="I334" s="64" t="n">
        <v>19</v>
      </c>
      <c r="J334" s="64" t="n">
        <v>7</v>
      </c>
      <c r="K334" s="64" t="n">
        <v>41</v>
      </c>
      <c r="L334" s="64" t="n">
        <v>10</v>
      </c>
      <c r="M334" s="64" t="n">
        <v>29</v>
      </c>
      <c r="N334" s="64" t="n">
        <v>21</v>
      </c>
      <c r="O334" s="64" t="n">
        <v>10</v>
      </c>
      <c r="P334" s="64" t="n">
        <v>35</v>
      </c>
    </row>
    <row r="335" ht="15.75" customHeight="1" s="45">
      <c r="A335" s="61" t="n">
        <v>46229</v>
      </c>
      <c r="B335" s="82" t="inlineStr">
        <is>
          <t>Pós-Projeto</t>
        </is>
      </c>
      <c r="C335" s="84" t="inlineStr">
        <is>
          <t>Eletrocardiogramas</t>
        </is>
      </c>
      <c r="D335" s="67" t="n">
        <v>0</v>
      </c>
      <c r="E335" s="67" t="n">
        <v>0</v>
      </c>
      <c r="F335" s="66" t="n">
        <v>26</v>
      </c>
      <c r="G335" s="67" t="n">
        <v>0</v>
      </c>
      <c r="H335" s="67" t="n">
        <v>0</v>
      </c>
      <c r="I335" s="67" t="n">
        <v>0</v>
      </c>
      <c r="J335" s="67" t="n">
        <v>0</v>
      </c>
      <c r="K335" s="67" t="n">
        <v>0</v>
      </c>
      <c r="L335" s="67" t="n">
        <v>0</v>
      </c>
      <c r="M335" s="67" t="n">
        <v>0</v>
      </c>
      <c r="N335" s="66" t="n">
        <v>1</v>
      </c>
      <c r="O335" s="67" t="n">
        <v>0</v>
      </c>
      <c r="P335" s="66" t="n">
        <v>22</v>
      </c>
    </row>
    <row r="336" ht="15.75" customHeight="1" s="45">
      <c r="A336" s="61" t="n">
        <v>46229</v>
      </c>
      <c r="B336" s="82" t="inlineStr">
        <is>
          <t>Pós-Projeto</t>
        </is>
      </c>
      <c r="C336" s="85" t="inlineStr">
        <is>
          <t>GAEs Abertas</t>
        </is>
      </c>
      <c r="D336" s="69" t="n">
        <v>194</v>
      </c>
      <c r="E336" s="69" t="n">
        <v>119</v>
      </c>
      <c r="F336" s="69" t="n">
        <v>116</v>
      </c>
      <c r="G336" s="69" t="n">
        <v>139</v>
      </c>
      <c r="H336" s="69" t="n">
        <v>127</v>
      </c>
      <c r="I336" s="69" t="n">
        <v>155</v>
      </c>
      <c r="J336" s="69" t="n">
        <v>71</v>
      </c>
      <c r="K336" s="69" t="n">
        <v>230</v>
      </c>
      <c r="L336" s="69" t="n">
        <v>104</v>
      </c>
      <c r="M336" s="69" t="n">
        <v>181</v>
      </c>
      <c r="N336" s="69" t="n">
        <v>183</v>
      </c>
      <c r="O336" s="69" t="n">
        <v>204</v>
      </c>
      <c r="P336" s="69" t="n">
        <v>163</v>
      </c>
    </row>
    <row r="337" ht="15.75" customHeight="1" s="45">
      <c r="A337" s="61" t="n">
        <v>46229</v>
      </c>
      <c r="B337" s="82" t="inlineStr">
        <is>
          <t>Pós-Projeto</t>
        </is>
      </c>
      <c r="C337" s="85" t="inlineStr">
        <is>
          <t>GAEs Classificadas</t>
        </is>
      </c>
      <c r="D337" s="69" t="n">
        <v>182</v>
      </c>
      <c r="E337" s="69" t="n">
        <v>115</v>
      </c>
      <c r="F337" s="69" t="n">
        <v>112</v>
      </c>
      <c r="G337" s="69" t="n">
        <v>136</v>
      </c>
      <c r="H337" s="69" t="n">
        <v>118</v>
      </c>
      <c r="I337" s="69" t="n">
        <v>138</v>
      </c>
      <c r="J337" s="69" t="n">
        <v>69</v>
      </c>
      <c r="K337" s="69" t="n">
        <v>225</v>
      </c>
      <c r="L337" s="69" t="n">
        <v>99</v>
      </c>
      <c r="M337" s="69" t="n">
        <v>173</v>
      </c>
      <c r="N337" s="69" t="n">
        <v>177</v>
      </c>
      <c r="O337" s="69" t="n">
        <v>202</v>
      </c>
      <c r="P337" s="69" t="n">
        <v>155</v>
      </c>
    </row>
    <row r="338" ht="15.75" customHeight="1" s="45">
      <c r="A338" s="61" t="n">
        <v>46229</v>
      </c>
      <c r="B338" s="82" t="inlineStr">
        <is>
          <t>Pós-Projeto</t>
        </is>
      </c>
      <c r="C338" s="86" t="inlineStr">
        <is>
          <t>Percentual de GAEs abertas classificadas</t>
        </is>
      </c>
      <c r="D338" s="71">
        <f>IFERROR(D337/D336,"-")</f>
        <v/>
      </c>
      <c r="E338" s="71">
        <f>IFERROR(E337/E336,"-")</f>
        <v/>
      </c>
      <c r="F338" s="71">
        <f>IFERROR(F337/F336,"-")</f>
        <v/>
      </c>
      <c r="G338" s="71">
        <f>IFERROR(G337/G336,"-")</f>
        <v/>
      </c>
      <c r="H338" s="71">
        <f>IFERROR(H337/H336,"-")</f>
        <v/>
      </c>
      <c r="I338" s="71">
        <f>IFERROR(I337/I336,"-")</f>
        <v/>
      </c>
      <c r="J338" s="71">
        <f>IFERROR(J337/J336,"-")</f>
        <v/>
      </c>
      <c r="K338" s="71">
        <f>IFERROR(K337/K336,"-")</f>
        <v/>
      </c>
      <c r="L338" s="71">
        <f>IFERROR(L337/L336,"-")</f>
        <v/>
      </c>
      <c r="M338" s="71">
        <f>IFERROR(M337/M336,"-")</f>
        <v/>
      </c>
      <c r="N338" s="71">
        <f>IFERROR(N337/N336,"-")</f>
        <v/>
      </c>
      <c r="O338" s="71">
        <f>IFERROR(O337/O336,"-")</f>
        <v/>
      </c>
      <c r="P338" s="71">
        <f>IFERROR(P337/P336,"-")</f>
        <v/>
      </c>
    </row>
    <row r="339" ht="15.75" customHeight="1" s="45">
      <c r="A339" s="61" t="n">
        <v>46229</v>
      </c>
      <c r="B339" s="82" t="inlineStr">
        <is>
          <t>Pós-Projeto</t>
        </is>
      </c>
      <c r="C339" s="87" t="inlineStr">
        <is>
          <t>Tempo Médio — 🟡 Amarelo (hh:mm)</t>
        </is>
      </c>
      <c r="D339" s="73" t="n">
        <v>0.09903935185185185</v>
      </c>
      <c r="E339" s="73" t="n">
        <v>0.07317129629629629</v>
      </c>
      <c r="F339" s="73" t="n">
        <v>0.07694444444444444</v>
      </c>
      <c r="G339" s="73" t="n">
        <v>0.02967592592592593</v>
      </c>
      <c r="H339" s="73" t="n">
        <v>0.03137731481481482</v>
      </c>
      <c r="I339" s="73" t="n">
        <v>0.03452546296296297</v>
      </c>
      <c r="J339" s="73" t="n">
        <v>0.02554398148148148</v>
      </c>
      <c r="K339" s="73" t="n">
        <v>0.04248842592592592</v>
      </c>
      <c r="L339" s="73" t="n">
        <v>0.08396990740740741</v>
      </c>
      <c r="M339" s="73" t="n">
        <v>0.08484953703703704</v>
      </c>
      <c r="N339" s="73" t="n">
        <v>0.07627314814814815</v>
      </c>
      <c r="O339" s="73" t="n">
        <v>0.02013888888888889</v>
      </c>
      <c r="P339" s="73" t="n">
        <v>0.04744212962962963</v>
      </c>
    </row>
    <row r="340" ht="15.75" customHeight="1" s="45">
      <c r="A340" s="61" t="n">
        <v>46229</v>
      </c>
      <c r="B340" s="82" t="inlineStr">
        <is>
          <t>Pós-Projeto</t>
        </is>
      </c>
      <c r="C340" s="88" t="inlineStr">
        <is>
          <t>Tempo Médio — 🟠 Laranja (hh:mm)</t>
        </is>
      </c>
      <c r="D340" s="75" t="n">
        <v>0.01336805555555555</v>
      </c>
      <c r="E340" s="75" t="n">
        <v>0.0122337962962963</v>
      </c>
      <c r="F340" s="75" t="n">
        <v>0.003148148148148148</v>
      </c>
      <c r="G340" s="75" t="n">
        <v>0.002488425925925926</v>
      </c>
      <c r="H340" s="75" t="n">
        <v>0.003923611111111111</v>
      </c>
      <c r="I340" s="75" t="n">
        <v>0.007638888888888889</v>
      </c>
      <c r="J340" s="75" t="n">
        <v>0.008136574074074074</v>
      </c>
      <c r="K340" s="75" t="n">
        <v>0.01174768518518519</v>
      </c>
      <c r="L340" s="75" t="n">
        <v>0.01399305555555556</v>
      </c>
      <c r="M340" s="75" t="n">
        <v>0.01769675925925926</v>
      </c>
      <c r="N340" s="75" t="n">
        <v>0.01061342592592593</v>
      </c>
      <c r="O340" s="75" t="n">
        <v>0.008831018518518519</v>
      </c>
      <c r="P340" s="75" t="n">
        <v>0.01142361111111111</v>
      </c>
    </row>
    <row r="341" ht="15.75" customHeight="1" s="45">
      <c r="A341" s="76" t="n">
        <v>46229</v>
      </c>
      <c r="B341" s="82" t="inlineStr">
        <is>
          <t>Pós-Projeto</t>
        </is>
      </c>
      <c r="C341" s="91" t="inlineStr">
        <is>
          <t>Tempo Médio — 🟢 Verde   (hh:mm)</t>
        </is>
      </c>
      <c r="D341" s="79" t="n">
        <v>0.1097569444444444</v>
      </c>
      <c r="E341" s="79" t="n">
        <v>0.1821180555555555</v>
      </c>
      <c r="F341" s="79" t="n">
        <v>0.1337268518518518</v>
      </c>
      <c r="G341" s="79" t="n">
        <v>0.05583333333333333</v>
      </c>
      <c r="H341" s="79" t="n">
        <v>0.1358101851851852</v>
      </c>
      <c r="I341" s="79" t="n">
        <v>0.136087962962963</v>
      </c>
      <c r="J341" s="79" t="n">
        <v>0.05662037037037037</v>
      </c>
      <c r="K341" s="79" t="n">
        <v>0.06842592592592593</v>
      </c>
      <c r="L341" s="79" t="n">
        <v>0.1894444444444444</v>
      </c>
      <c r="M341" s="79" t="n">
        <v>0.07274305555555556</v>
      </c>
      <c r="N341" s="79" t="n">
        <v>0.2130555555555556</v>
      </c>
      <c r="O341" s="79" t="n">
        <v>0.04584490740740741</v>
      </c>
      <c r="P341" s="79" t="n">
        <v>0.1010532407407407</v>
      </c>
    </row>
    <row r="342" ht="15.75" customHeight="1" s="45">
      <c r="A342" s="57" t="n">
        <v>46230</v>
      </c>
      <c r="B342" s="81" t="inlineStr">
        <is>
          <t>Pós-Projeto</t>
        </is>
      </c>
      <c r="C342" s="59" t="inlineStr">
        <is>
          <t>Acolhim. + Atend. Urgência + Atend. UPA</t>
        </is>
      </c>
      <c r="D342" s="60">
        <f>SUM(D343:D345)</f>
        <v/>
      </c>
      <c r="E342" s="60">
        <f>SUM(E343:E345)</f>
        <v/>
      </c>
      <c r="F342" s="60">
        <f>SUM(F343:F345)</f>
        <v/>
      </c>
      <c r="G342" s="60">
        <f>SUM(G343:G345)</f>
        <v/>
      </c>
      <c r="H342" s="60">
        <f>SUM(H343:H345)</f>
        <v/>
      </c>
      <c r="I342" s="60">
        <f>SUM(I343:I345)</f>
        <v/>
      </c>
      <c r="J342" s="60">
        <f>SUM(J343:J345)</f>
        <v/>
      </c>
      <c r="K342" s="60">
        <f>SUM(K343:K345)</f>
        <v/>
      </c>
      <c r="L342" s="60">
        <f>SUM(L343:L345)</f>
        <v/>
      </c>
      <c r="M342" s="60">
        <f>SUM(M343:M345)</f>
        <v/>
      </c>
      <c r="N342" s="60">
        <f>SUM(N343:N345)</f>
        <v/>
      </c>
      <c r="O342" s="60">
        <f>SUM(O343:O345)</f>
        <v/>
      </c>
      <c r="P342" s="60">
        <f>SUM(P343:P345)</f>
        <v/>
      </c>
    </row>
    <row r="343" ht="15.75" customHeight="1" s="45">
      <c r="A343" s="61" t="n">
        <v>46230</v>
      </c>
      <c r="B343" s="82" t="inlineStr">
        <is>
          <t>Pós-Projeto</t>
        </is>
      </c>
      <c r="C343" s="83" t="inlineStr">
        <is>
          <t>Acolhimento c/ Classif. de Risco</t>
        </is>
      </c>
      <c r="D343" s="64" t="n">
        <v>248</v>
      </c>
      <c r="E343" s="64" t="n">
        <v>169</v>
      </c>
      <c r="F343" s="64" t="n">
        <v>186</v>
      </c>
      <c r="G343" s="64" t="n">
        <v>201</v>
      </c>
      <c r="H343" s="64" t="n">
        <v>160</v>
      </c>
      <c r="I343" s="64" t="n">
        <v>217</v>
      </c>
      <c r="J343" s="64" t="n">
        <v>115</v>
      </c>
      <c r="K343" s="64" t="n">
        <v>295</v>
      </c>
      <c r="L343" s="64" t="n">
        <v>143</v>
      </c>
      <c r="M343" s="64" t="n">
        <v>216</v>
      </c>
      <c r="N343" s="64" t="n">
        <v>223</v>
      </c>
      <c r="O343" s="64" t="n">
        <v>272</v>
      </c>
      <c r="P343" s="64" t="n">
        <v>247</v>
      </c>
    </row>
    <row r="344" ht="15.75" customHeight="1" s="45">
      <c r="A344" s="61" t="n">
        <v>46230</v>
      </c>
      <c r="B344" s="82" t="inlineStr">
        <is>
          <t>Pós-Projeto</t>
        </is>
      </c>
      <c r="C344" s="84" t="inlineStr">
        <is>
          <t>Atend. Urgência Obs. ≤ 24h</t>
        </is>
      </c>
      <c r="D344" s="66" t="n">
        <v>41</v>
      </c>
      <c r="E344" s="66" t="n">
        <v>11</v>
      </c>
      <c r="F344" s="66" t="n">
        <v>20</v>
      </c>
      <c r="G344" s="66" t="n">
        <v>17</v>
      </c>
      <c r="H344" s="66" t="n">
        <v>24</v>
      </c>
      <c r="I344" s="66" t="n">
        <v>11</v>
      </c>
      <c r="J344" s="66" t="n">
        <v>8</v>
      </c>
      <c r="K344" s="66" t="n">
        <v>28</v>
      </c>
      <c r="L344" s="66" t="n">
        <v>41</v>
      </c>
      <c r="M344" s="66" t="n">
        <v>38</v>
      </c>
      <c r="N344" s="66" t="n">
        <v>39</v>
      </c>
      <c r="O344" s="66" t="n">
        <v>23</v>
      </c>
      <c r="P344" s="66" t="n">
        <v>6</v>
      </c>
    </row>
    <row r="345" ht="15.75" customHeight="1" s="45">
      <c r="A345" s="61" t="n">
        <v>46230</v>
      </c>
      <c r="B345" s="82" t="inlineStr">
        <is>
          <t>Pós-Projeto</t>
        </is>
      </c>
      <c r="C345" s="83" t="inlineStr">
        <is>
          <t>Atend. Médico em UPA</t>
        </is>
      </c>
      <c r="D345" s="64" t="n">
        <v>227</v>
      </c>
      <c r="E345" s="64" t="n">
        <v>102</v>
      </c>
      <c r="F345" s="64" t="n">
        <v>94</v>
      </c>
      <c r="G345" s="64" t="n">
        <v>99</v>
      </c>
      <c r="H345" s="64" t="n">
        <v>111</v>
      </c>
      <c r="I345" s="64" t="n">
        <v>179</v>
      </c>
      <c r="J345" s="64" t="n">
        <v>72</v>
      </c>
      <c r="K345" s="64" t="n">
        <v>255</v>
      </c>
      <c r="L345" s="64" t="n">
        <v>115</v>
      </c>
      <c r="M345" s="64" t="n">
        <v>139</v>
      </c>
      <c r="N345" s="64" t="n">
        <v>227</v>
      </c>
      <c r="O345" s="64" t="n">
        <v>196</v>
      </c>
      <c r="P345" s="64" t="n">
        <v>108</v>
      </c>
    </row>
    <row r="346" ht="15.75" customHeight="1" s="45">
      <c r="A346" s="61" t="n">
        <v>46230</v>
      </c>
      <c r="B346" s="82" t="inlineStr">
        <is>
          <t>Pós-Projeto</t>
        </is>
      </c>
      <c r="C346" s="84" t="inlineStr">
        <is>
          <t>Exames Laboratoriais</t>
        </is>
      </c>
      <c r="D346" s="66" t="n">
        <v>794</v>
      </c>
      <c r="E346" s="66" t="n">
        <v>447</v>
      </c>
      <c r="F346" s="66" t="n">
        <v>515</v>
      </c>
      <c r="G346" s="66" t="n">
        <v>353</v>
      </c>
      <c r="H346" s="66" t="n">
        <v>391</v>
      </c>
      <c r="I346" s="66" t="n">
        <v>652</v>
      </c>
      <c r="J346" s="66" t="n">
        <v>306</v>
      </c>
      <c r="K346" s="66" t="n">
        <v>858</v>
      </c>
      <c r="L346" s="66" t="n">
        <v>543</v>
      </c>
      <c r="M346" s="66" t="n">
        <v>559</v>
      </c>
      <c r="N346" s="66" t="n">
        <v>692</v>
      </c>
      <c r="O346" s="66" t="n">
        <v>486</v>
      </c>
      <c r="P346" s="66" t="n">
        <v>443</v>
      </c>
    </row>
    <row r="347" ht="15.75" customHeight="1" s="45">
      <c r="A347" s="61" t="n">
        <v>46230</v>
      </c>
      <c r="B347" s="82" t="inlineStr">
        <is>
          <t>Pós-Projeto</t>
        </is>
      </c>
      <c r="C347" s="83" t="inlineStr">
        <is>
          <t>Radiografias</t>
        </is>
      </c>
      <c r="D347" s="64" t="n">
        <v>25</v>
      </c>
      <c r="E347" s="64" t="n">
        <v>40</v>
      </c>
      <c r="F347" s="64" t="n">
        <v>32</v>
      </c>
      <c r="G347" s="64" t="n">
        <v>41</v>
      </c>
      <c r="H347" s="64" t="n">
        <v>26</v>
      </c>
      <c r="I347" s="64" t="n">
        <v>18</v>
      </c>
      <c r="J347" s="64" t="n">
        <v>13</v>
      </c>
      <c r="K347" s="64" t="n">
        <v>35</v>
      </c>
      <c r="L347" s="64" t="n">
        <v>20</v>
      </c>
      <c r="M347" s="64" t="n">
        <v>40</v>
      </c>
      <c r="N347" s="64" t="n">
        <v>35</v>
      </c>
      <c r="O347" s="64" t="n">
        <v>24</v>
      </c>
      <c r="P347" s="64" t="n">
        <v>45</v>
      </c>
    </row>
    <row r="348" ht="15.75" customHeight="1" s="45">
      <c r="A348" s="61" t="n">
        <v>46230</v>
      </c>
      <c r="B348" s="82" t="inlineStr">
        <is>
          <t>Pós-Projeto</t>
        </is>
      </c>
      <c r="C348" s="84" t="inlineStr">
        <is>
          <t>Eletrocardiogramas</t>
        </is>
      </c>
      <c r="D348" s="66" t="n">
        <v>19</v>
      </c>
      <c r="E348" s="67" t="n">
        <v>0</v>
      </c>
      <c r="F348" s="66" t="n">
        <v>33</v>
      </c>
      <c r="G348" s="66" t="n">
        <v>21</v>
      </c>
      <c r="H348" s="67" t="n">
        <v>0</v>
      </c>
      <c r="I348" s="66" t="n">
        <v>1</v>
      </c>
      <c r="J348" s="67" t="n">
        <v>0</v>
      </c>
      <c r="K348" s="67" t="n">
        <v>0</v>
      </c>
      <c r="L348" s="67" t="n">
        <v>0</v>
      </c>
      <c r="M348" s="66" t="n">
        <v>4</v>
      </c>
      <c r="N348" s="66" t="n">
        <v>19</v>
      </c>
      <c r="O348" s="67" t="n">
        <v>0</v>
      </c>
      <c r="P348" s="66" t="n">
        <v>13</v>
      </c>
    </row>
    <row r="349" ht="15.75" customHeight="1" s="45">
      <c r="A349" s="61" t="n">
        <v>46230</v>
      </c>
      <c r="B349" s="82" t="inlineStr">
        <is>
          <t>Pós-Projeto</t>
        </is>
      </c>
      <c r="C349" s="85" t="inlineStr">
        <is>
          <t>GAEs Abertas</t>
        </is>
      </c>
      <c r="D349" s="69" t="n">
        <v>267</v>
      </c>
      <c r="E349" s="69" t="n">
        <v>176</v>
      </c>
      <c r="F349" s="69" t="n">
        <v>197</v>
      </c>
      <c r="G349" s="69" t="n">
        <v>207</v>
      </c>
      <c r="H349" s="69" t="n">
        <v>168</v>
      </c>
      <c r="I349" s="69" t="n">
        <v>233</v>
      </c>
      <c r="J349" s="69" t="n">
        <v>123</v>
      </c>
      <c r="K349" s="69" t="n">
        <v>323</v>
      </c>
      <c r="L349" s="69" t="n">
        <v>150</v>
      </c>
      <c r="M349" s="69" t="n">
        <v>222</v>
      </c>
      <c r="N349" s="69" t="n">
        <v>231</v>
      </c>
      <c r="O349" s="69" t="n">
        <v>274</v>
      </c>
      <c r="P349" s="69" t="n">
        <v>252</v>
      </c>
    </row>
    <row r="350" ht="15.75" customHeight="1" s="45">
      <c r="A350" s="61" t="n">
        <v>46230</v>
      </c>
      <c r="B350" s="82" t="inlineStr">
        <is>
          <t>Pós-Projeto</t>
        </is>
      </c>
      <c r="C350" s="85" t="inlineStr">
        <is>
          <t>GAEs Classificadas</t>
        </is>
      </c>
      <c r="D350" s="69" t="n">
        <v>248</v>
      </c>
      <c r="E350" s="69" t="n">
        <v>168</v>
      </c>
      <c r="F350" s="69" t="n">
        <v>186</v>
      </c>
      <c r="G350" s="69" t="n">
        <v>198</v>
      </c>
      <c r="H350" s="69" t="n">
        <v>160</v>
      </c>
      <c r="I350" s="69" t="n">
        <v>215</v>
      </c>
      <c r="J350" s="69" t="n">
        <v>115</v>
      </c>
      <c r="K350" s="69" t="n">
        <v>295</v>
      </c>
      <c r="L350" s="69" t="n">
        <v>143</v>
      </c>
      <c r="M350" s="69" t="n">
        <v>215</v>
      </c>
      <c r="N350" s="69" t="n">
        <v>222</v>
      </c>
      <c r="O350" s="69" t="n">
        <v>273</v>
      </c>
      <c r="P350" s="69" t="n">
        <v>245</v>
      </c>
    </row>
    <row r="351" ht="15.75" customHeight="1" s="45">
      <c r="A351" s="61" t="n">
        <v>46230</v>
      </c>
      <c r="B351" s="82" t="inlineStr">
        <is>
          <t>Pós-Projeto</t>
        </is>
      </c>
      <c r="C351" s="86" t="inlineStr">
        <is>
          <t>Percentual de GAEs abertas classificadas</t>
        </is>
      </c>
      <c r="D351" s="71">
        <f>IFERROR(D350/D349,"-")</f>
        <v/>
      </c>
      <c r="E351" s="71">
        <f>IFERROR(E350/E349,"-")</f>
        <v/>
      </c>
      <c r="F351" s="71">
        <f>IFERROR(F350/F349,"-")</f>
        <v/>
      </c>
      <c r="G351" s="71">
        <f>IFERROR(G350/G349,"-")</f>
        <v/>
      </c>
      <c r="H351" s="71">
        <f>IFERROR(H350/H349,"-")</f>
        <v/>
      </c>
      <c r="I351" s="71">
        <f>IFERROR(I350/I349,"-")</f>
        <v/>
      </c>
      <c r="J351" s="71">
        <f>IFERROR(J350/J349,"-")</f>
        <v/>
      </c>
      <c r="K351" s="71">
        <f>IFERROR(K350/K349,"-")</f>
        <v/>
      </c>
      <c r="L351" s="71">
        <f>IFERROR(L350/L349,"-")</f>
        <v/>
      </c>
      <c r="M351" s="71">
        <f>IFERROR(M350/M349,"-")</f>
        <v/>
      </c>
      <c r="N351" s="71">
        <f>IFERROR(N350/N349,"-")</f>
        <v/>
      </c>
      <c r="O351" s="71">
        <f>IFERROR(O350/O349,"-")</f>
        <v/>
      </c>
      <c r="P351" s="71">
        <f>IFERROR(P350/P349,"-")</f>
        <v/>
      </c>
    </row>
    <row r="352" ht="15.75" customHeight="1" s="45">
      <c r="A352" s="61" t="n">
        <v>46230</v>
      </c>
      <c r="B352" s="82" t="inlineStr">
        <is>
          <t>Pós-Projeto</t>
        </is>
      </c>
      <c r="C352" s="87" t="inlineStr">
        <is>
          <t>Tempo Médio — 🟡 Amarelo (hh:mm)</t>
        </is>
      </c>
      <c r="D352" s="73" t="n">
        <v>0.0453125</v>
      </c>
      <c r="E352" s="73" t="n">
        <v>0.04524305555555556</v>
      </c>
      <c r="F352" s="73" t="n">
        <v>0.0928587962962963</v>
      </c>
      <c r="G352" s="73" t="n">
        <v>0.07615740740740741</v>
      </c>
      <c r="H352" s="73" t="n">
        <v>0.1020138888888889</v>
      </c>
      <c r="I352" s="73" t="n">
        <v>0.01005787037037037</v>
      </c>
      <c r="J352" s="73" t="n">
        <v>0.1027199074074074</v>
      </c>
      <c r="K352" s="73" t="n">
        <v>0.07034722222222223</v>
      </c>
      <c r="L352" s="73" t="n">
        <v>0.06636574074074074</v>
      </c>
      <c r="M352" s="73" t="n">
        <v>0.03902777777777778</v>
      </c>
      <c r="N352" s="73" t="n">
        <v>0.05886574074074074</v>
      </c>
      <c r="O352" s="73" t="n">
        <v>0.0484837962962963</v>
      </c>
      <c r="P352" s="73" t="n">
        <v>0.1056828703703704</v>
      </c>
    </row>
    <row r="353" ht="15.75" customHeight="1" s="45">
      <c r="A353" s="61" t="n">
        <v>46230</v>
      </c>
      <c r="B353" s="82" t="inlineStr">
        <is>
          <t>Pós-Projeto</t>
        </is>
      </c>
      <c r="C353" s="88" t="inlineStr">
        <is>
          <t>Tempo Médio — 🟠 Laranja (hh:mm)</t>
        </is>
      </c>
      <c r="D353" s="75" t="n">
        <v>0.0103125</v>
      </c>
      <c r="E353" s="75" t="n">
        <v>0.005798611111111111</v>
      </c>
      <c r="F353" s="75" t="n">
        <v>0.006030092592592593</v>
      </c>
      <c r="G353" s="75" t="n">
        <v>0.01584490740740741</v>
      </c>
      <c r="H353" s="75" t="n">
        <v>0.005034722222222223</v>
      </c>
      <c r="I353" s="75" t="n">
        <v>0.004120370370370371</v>
      </c>
      <c r="J353" s="75" t="n">
        <v>0.02378472222222222</v>
      </c>
      <c r="K353" s="75" t="n">
        <v>0.01052083333333333</v>
      </c>
      <c r="L353" s="75" t="n">
        <v>0.008101851851851851</v>
      </c>
      <c r="M353" s="75" t="n">
        <v>0.01326388888888889</v>
      </c>
      <c r="N353" s="75" t="n">
        <v>0.01324074074074074</v>
      </c>
      <c r="O353" s="75" t="n">
        <v>0.006655092592592593</v>
      </c>
      <c r="P353" s="75" t="n">
        <v>0.01449074074074074</v>
      </c>
    </row>
    <row r="354" ht="15.75" customHeight="1" s="45">
      <c r="A354" s="76" t="n">
        <v>46230</v>
      </c>
      <c r="B354" s="82" t="inlineStr">
        <is>
          <t>Pós-Projeto</t>
        </is>
      </c>
      <c r="C354" s="91" t="inlineStr">
        <is>
          <t>Tempo Médio — 🟢 Verde   (hh:mm)</t>
        </is>
      </c>
      <c r="D354" s="79" t="n">
        <v>0.08030092592592593</v>
      </c>
      <c r="E354" s="79" t="n">
        <v>0.1212037037037037</v>
      </c>
      <c r="F354" s="79" t="n">
        <v>0.0659375</v>
      </c>
      <c r="G354" s="79" t="n">
        <v>0.1388773148148148</v>
      </c>
      <c r="H354" s="79" t="n">
        <v>0.1264467592592593</v>
      </c>
      <c r="I354" s="79" t="n">
        <v>0.05530092592592593</v>
      </c>
      <c r="J354" s="79" t="n">
        <v>0.1318171296296296</v>
      </c>
      <c r="K354" s="79" t="n">
        <v>0.0981712962962963</v>
      </c>
      <c r="L354" s="79" t="n">
        <v>0.1385763888888889</v>
      </c>
      <c r="M354" s="79" t="n">
        <v>0.08616898148148149</v>
      </c>
      <c r="N354" s="79" t="n">
        <v>0.0954050925925926</v>
      </c>
      <c r="O354" s="79" t="n">
        <v>0.06086805555555556</v>
      </c>
      <c r="P354" s="79" t="n">
        <v>0.07730324074074074</v>
      </c>
    </row>
    <row r="355" ht="15.75" customHeight="1" s="45">
      <c r="A355" s="57" t="n">
        <v>46231</v>
      </c>
      <c r="B355" s="81" t="inlineStr">
        <is>
          <t>Pós-Projeto</t>
        </is>
      </c>
      <c r="C355" s="59" t="inlineStr">
        <is>
          <t>Acolhim. + Atend. Urgência + Atend. UPA</t>
        </is>
      </c>
      <c r="D355" s="60">
        <f>SUM(D356:D358)</f>
        <v/>
      </c>
      <c r="E355" s="60">
        <f>SUM(E356:E358)</f>
        <v/>
      </c>
      <c r="F355" s="60">
        <f>SUM(F356:F358)</f>
        <v/>
      </c>
      <c r="G355" s="60">
        <f>SUM(G356:G358)</f>
        <v/>
      </c>
      <c r="H355" s="60">
        <f>SUM(H356:H358)</f>
        <v/>
      </c>
      <c r="I355" s="60">
        <f>SUM(I356:I358)</f>
        <v/>
      </c>
      <c r="J355" s="60">
        <f>SUM(J356:J358)</f>
        <v/>
      </c>
      <c r="K355" s="60">
        <f>SUM(K356:K358)</f>
        <v/>
      </c>
      <c r="L355" s="60">
        <f>SUM(L356:L358)</f>
        <v/>
      </c>
      <c r="M355" s="60">
        <f>SUM(M356:M358)</f>
        <v/>
      </c>
      <c r="N355" s="60">
        <f>SUM(N356:N358)</f>
        <v/>
      </c>
      <c r="O355" s="60">
        <f>SUM(O356:O358)</f>
        <v/>
      </c>
      <c r="P355" s="60">
        <f>SUM(P356:P358)</f>
        <v/>
      </c>
    </row>
    <row r="356" ht="15.75" customHeight="1" s="45">
      <c r="A356" s="61" t="n">
        <v>46231</v>
      </c>
      <c r="B356" s="82" t="inlineStr">
        <is>
          <t>Pós-Projeto</t>
        </is>
      </c>
      <c r="C356" s="83" t="inlineStr">
        <is>
          <t>Acolhimento c/ Classif. de Risco</t>
        </is>
      </c>
      <c r="D356" s="64" t="n">
        <v>237</v>
      </c>
      <c r="E356" s="64" t="n">
        <v>170</v>
      </c>
      <c r="F356" s="64" t="n">
        <v>169</v>
      </c>
      <c r="G356" s="64" t="n">
        <v>154</v>
      </c>
      <c r="H356" s="64" t="n">
        <v>129</v>
      </c>
      <c r="I356" s="64" t="n">
        <v>193</v>
      </c>
      <c r="J356" s="64" t="n">
        <v>123</v>
      </c>
      <c r="K356" s="64" t="n">
        <v>313</v>
      </c>
      <c r="L356" s="64" t="n">
        <v>151</v>
      </c>
      <c r="M356" s="64" t="n">
        <v>193</v>
      </c>
      <c r="N356" s="64" t="n">
        <v>222</v>
      </c>
      <c r="O356" s="64" t="n">
        <v>259</v>
      </c>
      <c r="P356" s="64" t="n">
        <v>217</v>
      </c>
    </row>
    <row r="357" ht="15.75" customHeight="1" s="45">
      <c r="A357" s="61" t="n">
        <v>46231</v>
      </c>
      <c r="B357" s="82" t="inlineStr">
        <is>
          <t>Pós-Projeto</t>
        </is>
      </c>
      <c r="C357" s="84" t="inlineStr">
        <is>
          <t>Atend. Urgência Obs. ≤ 24h</t>
        </is>
      </c>
      <c r="D357" s="66" t="n">
        <v>44</v>
      </c>
      <c r="E357" s="66" t="n">
        <v>13</v>
      </c>
      <c r="F357" s="66" t="n">
        <v>28</v>
      </c>
      <c r="G357" s="66" t="n">
        <v>28</v>
      </c>
      <c r="H357" s="66" t="n">
        <v>19</v>
      </c>
      <c r="I357" s="66" t="n">
        <v>4</v>
      </c>
      <c r="J357" s="66" t="n">
        <v>4</v>
      </c>
      <c r="K357" s="66" t="n">
        <v>29</v>
      </c>
      <c r="L357" s="66" t="n">
        <v>38</v>
      </c>
      <c r="M357" s="66" t="n">
        <v>42</v>
      </c>
      <c r="N357" s="66" t="n">
        <v>45</v>
      </c>
      <c r="O357" s="66" t="n">
        <v>10</v>
      </c>
      <c r="P357" s="66" t="n">
        <v>29</v>
      </c>
    </row>
    <row r="358" ht="15.75" customHeight="1" s="45">
      <c r="A358" s="61" t="n">
        <v>46231</v>
      </c>
      <c r="B358" s="82" t="inlineStr">
        <is>
          <t>Pós-Projeto</t>
        </is>
      </c>
      <c r="C358" s="83" t="inlineStr">
        <is>
          <t>Atend. Médico em UPA</t>
        </is>
      </c>
      <c r="D358" s="64" t="n">
        <v>178</v>
      </c>
      <c r="E358" s="64" t="n">
        <v>121</v>
      </c>
      <c r="F358" s="64" t="n">
        <v>119</v>
      </c>
      <c r="G358" s="64" t="n">
        <v>79</v>
      </c>
      <c r="H358" s="64" t="n">
        <v>97</v>
      </c>
      <c r="I358" s="64" t="n">
        <v>155</v>
      </c>
      <c r="J358" s="64" t="n">
        <v>92</v>
      </c>
      <c r="K358" s="64" t="n">
        <v>264</v>
      </c>
      <c r="L358" s="64" t="n">
        <v>140</v>
      </c>
      <c r="M358" s="64" t="n">
        <v>166</v>
      </c>
      <c r="N358" s="64" t="n">
        <v>177</v>
      </c>
      <c r="O358" s="64" t="n">
        <v>170</v>
      </c>
      <c r="P358" s="64" t="n">
        <v>131</v>
      </c>
    </row>
    <row r="359" ht="15.75" customHeight="1" s="45">
      <c r="A359" s="61" t="n">
        <v>46231</v>
      </c>
      <c r="B359" s="82" t="inlineStr">
        <is>
          <t>Pós-Projeto</t>
        </is>
      </c>
      <c r="C359" s="84" t="inlineStr">
        <is>
          <t>Exames Laboratoriais</t>
        </is>
      </c>
      <c r="D359" s="66" t="n">
        <v>503</v>
      </c>
      <c r="E359" s="66" t="n">
        <v>340</v>
      </c>
      <c r="F359" s="66" t="n">
        <v>459</v>
      </c>
      <c r="G359" s="66" t="n">
        <v>284</v>
      </c>
      <c r="H359" s="66" t="n">
        <v>405</v>
      </c>
      <c r="I359" s="66" t="n">
        <v>556</v>
      </c>
      <c r="J359" s="66" t="n">
        <v>346</v>
      </c>
      <c r="K359" s="66" t="n">
        <v>1040</v>
      </c>
      <c r="L359" s="66" t="n">
        <v>686</v>
      </c>
      <c r="M359" s="66" t="n">
        <v>836</v>
      </c>
      <c r="N359" s="66" t="n">
        <v>804</v>
      </c>
      <c r="O359" s="66" t="n">
        <v>300</v>
      </c>
      <c r="P359" s="66" t="n">
        <v>133</v>
      </c>
    </row>
    <row r="360" ht="15.75" customHeight="1" s="45">
      <c r="A360" s="61" t="n">
        <v>46231</v>
      </c>
      <c r="B360" s="82" t="inlineStr">
        <is>
          <t>Pós-Projeto</t>
        </is>
      </c>
      <c r="C360" s="83" t="inlineStr">
        <is>
          <t>Radiografias</t>
        </is>
      </c>
      <c r="D360" s="64" t="n">
        <v>19</v>
      </c>
      <c r="E360" s="64" t="n">
        <v>24</v>
      </c>
      <c r="F360" s="64" t="n">
        <v>40</v>
      </c>
      <c r="G360" s="64" t="n">
        <v>11</v>
      </c>
      <c r="H360" s="64" t="n">
        <v>14</v>
      </c>
      <c r="I360" s="64" t="n">
        <v>23</v>
      </c>
      <c r="J360" s="64" t="n">
        <v>26</v>
      </c>
      <c r="K360" s="64" t="n">
        <v>53</v>
      </c>
      <c r="L360" s="64" t="n">
        <v>27</v>
      </c>
      <c r="M360" s="64" t="n">
        <v>38</v>
      </c>
      <c r="N360" s="64" t="n">
        <v>35</v>
      </c>
      <c r="O360" s="64" t="n">
        <v>44</v>
      </c>
      <c r="P360" s="64" t="n">
        <v>37</v>
      </c>
    </row>
    <row r="361" ht="15.75" customHeight="1" s="45">
      <c r="A361" s="61" t="n">
        <v>46231</v>
      </c>
      <c r="B361" s="82" t="inlineStr">
        <is>
          <t>Pós-Projeto</t>
        </is>
      </c>
      <c r="C361" s="84" t="inlineStr">
        <is>
          <t>Eletrocardiogramas</t>
        </is>
      </c>
      <c r="D361" s="66" t="n">
        <v>11</v>
      </c>
      <c r="E361" s="67" t="n">
        <v>0</v>
      </c>
      <c r="F361" s="66" t="n">
        <v>11</v>
      </c>
      <c r="G361" s="66" t="n">
        <v>2</v>
      </c>
      <c r="H361" s="67" t="n">
        <v>0</v>
      </c>
      <c r="I361" s="66" t="n">
        <v>2</v>
      </c>
      <c r="J361" s="67" t="n">
        <v>0</v>
      </c>
      <c r="K361" s="66" t="n">
        <v>10</v>
      </c>
      <c r="L361" s="67" t="n">
        <v>0</v>
      </c>
      <c r="M361" s="67" t="n">
        <v>0</v>
      </c>
      <c r="N361" s="66" t="n">
        <v>12</v>
      </c>
      <c r="O361" s="67" t="n">
        <v>0</v>
      </c>
      <c r="P361" s="66" t="n">
        <v>2</v>
      </c>
    </row>
    <row r="362" ht="15.75" customHeight="1" s="45">
      <c r="A362" s="61" t="n">
        <v>46231</v>
      </c>
      <c r="B362" s="82" t="inlineStr">
        <is>
          <t>Pós-Projeto</t>
        </is>
      </c>
      <c r="C362" s="85" t="inlineStr">
        <is>
          <t>GAEs Abertas</t>
        </is>
      </c>
      <c r="D362" s="69" t="n">
        <v>253</v>
      </c>
      <c r="E362" s="69" t="n">
        <v>172</v>
      </c>
      <c r="F362" s="69" t="n">
        <v>171</v>
      </c>
      <c r="G362" s="69" t="n">
        <v>157</v>
      </c>
      <c r="H362" s="69" t="n">
        <v>130</v>
      </c>
      <c r="I362" s="69" t="n">
        <v>205</v>
      </c>
      <c r="J362" s="69" t="n">
        <v>129</v>
      </c>
      <c r="K362" s="69" t="n">
        <v>337</v>
      </c>
      <c r="L362" s="69" t="n">
        <v>159</v>
      </c>
      <c r="M362" s="69" t="n">
        <v>201</v>
      </c>
      <c r="N362" s="69" t="n">
        <v>228</v>
      </c>
      <c r="O362" s="69" t="n">
        <v>265</v>
      </c>
      <c r="P362" s="69" t="n">
        <v>229</v>
      </c>
    </row>
    <row r="363" ht="15.75" customHeight="1" s="45">
      <c r="A363" s="61" t="n">
        <v>46231</v>
      </c>
      <c r="B363" s="82" t="inlineStr">
        <is>
          <t>Pós-Projeto</t>
        </is>
      </c>
      <c r="C363" s="85" t="inlineStr">
        <is>
          <t>GAEs Classificadas</t>
        </is>
      </c>
      <c r="D363" s="69" t="n">
        <v>236</v>
      </c>
      <c r="E363" s="69" t="n">
        <v>169</v>
      </c>
      <c r="F363" s="69" t="n">
        <v>169</v>
      </c>
      <c r="G363" s="69" t="n">
        <v>154</v>
      </c>
      <c r="H363" s="69" t="n">
        <v>125</v>
      </c>
      <c r="I363" s="69" t="n">
        <v>194</v>
      </c>
      <c r="J363" s="69" t="n">
        <v>123</v>
      </c>
      <c r="K363" s="69" t="n">
        <v>317</v>
      </c>
      <c r="L363" s="69" t="n">
        <v>151</v>
      </c>
      <c r="M363" s="69" t="n">
        <v>194</v>
      </c>
      <c r="N363" s="69" t="n">
        <v>223</v>
      </c>
      <c r="O363" s="69" t="n">
        <v>258</v>
      </c>
      <c r="P363" s="69" t="n">
        <v>218</v>
      </c>
    </row>
    <row r="364" ht="15.75" customHeight="1" s="45">
      <c r="A364" s="61" t="n">
        <v>46231</v>
      </c>
      <c r="B364" s="82" t="inlineStr">
        <is>
          <t>Pós-Projeto</t>
        </is>
      </c>
      <c r="C364" s="86" t="inlineStr">
        <is>
          <t>Percentual de GAEs abertas classificadas</t>
        </is>
      </c>
      <c r="D364" s="71">
        <f>IFERROR(D363/D362,"-")</f>
        <v/>
      </c>
      <c r="E364" s="71">
        <f>IFERROR(E363/E362,"-")</f>
        <v/>
      </c>
      <c r="F364" s="71">
        <f>IFERROR(F363/F362,"-")</f>
        <v/>
      </c>
      <c r="G364" s="71">
        <f>IFERROR(G363/G362,"-")</f>
        <v/>
      </c>
      <c r="H364" s="71">
        <f>IFERROR(H363/H362,"-")</f>
        <v/>
      </c>
      <c r="I364" s="71">
        <f>IFERROR(I363/I362,"-")</f>
        <v/>
      </c>
      <c r="J364" s="71">
        <f>IFERROR(J363/J362,"-")</f>
        <v/>
      </c>
      <c r="K364" s="71">
        <f>IFERROR(K363/K362,"-")</f>
        <v/>
      </c>
      <c r="L364" s="71">
        <f>IFERROR(L363/L362,"-")</f>
        <v/>
      </c>
      <c r="M364" s="71">
        <f>IFERROR(M363/M362,"-")</f>
        <v/>
      </c>
      <c r="N364" s="71">
        <f>IFERROR(N363/N362,"-")</f>
        <v/>
      </c>
      <c r="O364" s="71">
        <f>IFERROR(O363/O362,"-")</f>
        <v/>
      </c>
      <c r="P364" s="71">
        <f>IFERROR(P363/P362,"-")</f>
        <v/>
      </c>
    </row>
    <row r="365" ht="15.75" customHeight="1" s="45">
      <c r="A365" s="61" t="n">
        <v>46231</v>
      </c>
      <c r="B365" s="82" t="inlineStr">
        <is>
          <t>Pós-Projeto</t>
        </is>
      </c>
      <c r="C365" s="87" t="inlineStr">
        <is>
          <t>Tempo Médio — 🟡 Amarelo (hh:mm)</t>
        </is>
      </c>
      <c r="D365" s="73" t="n">
        <v>0.02326388888888889</v>
      </c>
      <c r="E365" s="73" t="n">
        <v>0.02497685185185185</v>
      </c>
      <c r="F365" s="73" t="n">
        <v>0.04663194444444444</v>
      </c>
      <c r="G365" s="73" t="n">
        <v>0.03216435185185185</v>
      </c>
      <c r="H365" s="73" t="n">
        <v>0.05502314814814815</v>
      </c>
      <c r="I365" s="73" t="n">
        <v>0.03069444444444444</v>
      </c>
      <c r="J365" s="73" t="n">
        <v>0.05427083333333333</v>
      </c>
      <c r="K365" s="73" t="n">
        <v>0.04923611111111111</v>
      </c>
      <c r="L365" s="73" t="n">
        <v>0.06289351851851852</v>
      </c>
      <c r="M365" s="73" t="n">
        <v>0.0408912037037037</v>
      </c>
      <c r="N365" s="73" t="n">
        <v>0.06416666666666666</v>
      </c>
      <c r="O365" s="73" t="n">
        <v>0.04002314814814815</v>
      </c>
      <c r="P365" s="73" t="n">
        <v>0.03545138888888889</v>
      </c>
    </row>
    <row r="366" ht="15.75" customHeight="1" s="45">
      <c r="A366" s="61" t="n">
        <v>46231</v>
      </c>
      <c r="B366" s="82" t="inlineStr">
        <is>
          <t>Pós-Projeto</t>
        </is>
      </c>
      <c r="C366" s="88" t="inlineStr">
        <is>
          <t>Tempo Médio — 🟠 Laranja (hh:mm)</t>
        </is>
      </c>
      <c r="D366" s="75" t="n">
        <v>0.009328703703703704</v>
      </c>
      <c r="E366" s="75" t="n">
        <v>0.008217592592592592</v>
      </c>
      <c r="F366" s="80" t="n">
        <v>0</v>
      </c>
      <c r="G366" s="75" t="n">
        <v>0.005729166666666666</v>
      </c>
      <c r="H366" s="75" t="n">
        <v>0.006539351851851852</v>
      </c>
      <c r="I366" s="75" t="n">
        <v>0.004733796296296297</v>
      </c>
      <c r="J366" s="75" t="n">
        <v>0.008020833333333333</v>
      </c>
      <c r="K366" s="75" t="n">
        <v>0.01403935185185185</v>
      </c>
      <c r="L366" s="75" t="n">
        <v>0.009942129629629629</v>
      </c>
      <c r="M366" s="75" t="n">
        <v>0.01440972222222222</v>
      </c>
      <c r="N366" s="75" t="n">
        <v>0.01547453703703704</v>
      </c>
      <c r="O366" s="75" t="n">
        <v>0.01175925925925926</v>
      </c>
      <c r="P366" s="75" t="n">
        <v>0.009050925925925926</v>
      </c>
    </row>
    <row r="367" ht="15.75" customHeight="1" s="45">
      <c r="A367" s="76" t="n">
        <v>46231</v>
      </c>
      <c r="B367" s="82" t="inlineStr">
        <is>
          <t>Pós-Projeto</t>
        </is>
      </c>
      <c r="C367" s="91" t="inlineStr">
        <is>
          <t>Tempo Médio — 🟢 Verde   (hh:mm)</t>
        </is>
      </c>
      <c r="D367" s="79" t="n">
        <v>0.0778587962962963</v>
      </c>
      <c r="E367" s="79" t="n">
        <v>0.06391203703703703</v>
      </c>
      <c r="F367" s="79" t="n">
        <v>0.08158564814814814</v>
      </c>
      <c r="G367" s="79" t="n">
        <v>0.1346412037037037</v>
      </c>
      <c r="H367" s="79" t="n">
        <v>0.08510416666666666</v>
      </c>
      <c r="I367" s="79" t="n">
        <v>0.0660300925925926</v>
      </c>
      <c r="J367" s="79" t="n">
        <v>0.06550925925925925</v>
      </c>
      <c r="K367" s="79" t="n">
        <v>0.08200231481481482</v>
      </c>
      <c r="L367" s="79" t="n">
        <v>0.1519097222222222</v>
      </c>
      <c r="M367" s="79" t="n">
        <v>0.08878472222222222</v>
      </c>
      <c r="N367" s="79" t="n">
        <v>0.08219907407407408</v>
      </c>
      <c r="O367" s="79" t="n">
        <v>0.09886574074074074</v>
      </c>
      <c r="P367" s="79" t="n">
        <v>0.04828703703703704</v>
      </c>
    </row>
    <row r="368" ht="15.75" customHeight="1" s="45">
      <c r="A368" s="57" t="n">
        <v>46232</v>
      </c>
      <c r="B368" s="81" t="inlineStr">
        <is>
          <t>Pós-Projeto</t>
        </is>
      </c>
      <c r="C368" s="59" t="inlineStr">
        <is>
          <t>Acolhim. + Atend. Urgência + Atend. UPA</t>
        </is>
      </c>
      <c r="D368" s="60">
        <f>SUM(D369:D371)</f>
        <v/>
      </c>
      <c r="E368" s="60">
        <f>SUM(E369:E371)</f>
        <v/>
      </c>
      <c r="F368" s="60">
        <f>SUM(F369:F371)</f>
        <v/>
      </c>
      <c r="G368" s="60">
        <f>SUM(G369:G371)</f>
        <v/>
      </c>
      <c r="H368" s="60">
        <f>SUM(H369:H371)</f>
        <v/>
      </c>
      <c r="I368" s="60">
        <f>SUM(I369:I371)</f>
        <v/>
      </c>
      <c r="J368" s="60">
        <f>SUM(J369:J371)</f>
        <v/>
      </c>
      <c r="K368" s="60">
        <f>SUM(K369:K371)</f>
        <v/>
      </c>
      <c r="L368" s="60">
        <f>SUM(L369:L371)</f>
        <v/>
      </c>
      <c r="M368" s="60">
        <f>SUM(M369:M371)</f>
        <v/>
      </c>
      <c r="N368" s="60">
        <f>SUM(N369:N371)</f>
        <v/>
      </c>
      <c r="O368" s="60">
        <f>SUM(O369:O371)</f>
        <v/>
      </c>
      <c r="P368" s="60">
        <f>SUM(P369:P371)</f>
        <v/>
      </c>
    </row>
    <row r="369" ht="15.75" customHeight="1" s="45">
      <c r="A369" s="61" t="n">
        <v>46232</v>
      </c>
      <c r="B369" s="82" t="inlineStr">
        <is>
          <t>Pós-Projeto</t>
        </is>
      </c>
      <c r="C369" s="83" t="inlineStr">
        <is>
          <t>Acolhimento c/ Classif. de Risco</t>
        </is>
      </c>
      <c r="D369" s="64" t="n">
        <v>196</v>
      </c>
      <c r="E369" s="64" t="n">
        <v>163</v>
      </c>
      <c r="F369" s="64" t="n">
        <v>161</v>
      </c>
      <c r="G369" s="64" t="n">
        <v>136</v>
      </c>
      <c r="H369" s="64" t="n">
        <v>147</v>
      </c>
      <c r="I369" s="64" t="n">
        <v>191</v>
      </c>
      <c r="J369" s="64" t="n">
        <v>132</v>
      </c>
      <c r="K369" s="64" t="n">
        <v>269</v>
      </c>
      <c r="L369" s="64" t="n">
        <v>142</v>
      </c>
      <c r="M369" s="64" t="n">
        <v>197</v>
      </c>
      <c r="N369" s="64" t="n">
        <v>235</v>
      </c>
      <c r="O369" s="64" t="n">
        <v>262</v>
      </c>
      <c r="P369" s="64" t="n">
        <v>243</v>
      </c>
    </row>
    <row r="370" ht="15.75" customHeight="1" s="45">
      <c r="A370" s="61" t="n">
        <v>46232</v>
      </c>
      <c r="B370" s="82" t="inlineStr">
        <is>
          <t>Pós-Projeto</t>
        </is>
      </c>
      <c r="C370" s="84" t="inlineStr">
        <is>
          <t>Atend. Urgência Obs. ≤ 24h</t>
        </is>
      </c>
      <c r="D370" s="66" t="n">
        <v>34</v>
      </c>
      <c r="E370" s="66" t="n">
        <v>9</v>
      </c>
      <c r="F370" s="66" t="n">
        <v>23</v>
      </c>
      <c r="G370" s="66" t="n">
        <v>24</v>
      </c>
      <c r="H370" s="66" t="n">
        <v>18</v>
      </c>
      <c r="I370" s="66" t="n">
        <v>10</v>
      </c>
      <c r="J370" s="66" t="n">
        <v>4</v>
      </c>
      <c r="K370" s="66" t="n">
        <v>30</v>
      </c>
      <c r="L370" s="66" t="n">
        <v>15</v>
      </c>
      <c r="M370" s="66" t="n">
        <v>25</v>
      </c>
      <c r="N370" s="66" t="n">
        <v>73</v>
      </c>
      <c r="O370" s="66" t="n">
        <v>24</v>
      </c>
      <c r="P370" s="66" t="n">
        <v>13</v>
      </c>
    </row>
    <row r="371" ht="15.75" customHeight="1" s="45">
      <c r="A371" s="61" t="n">
        <v>46232</v>
      </c>
      <c r="B371" s="82" t="inlineStr">
        <is>
          <t>Pós-Projeto</t>
        </is>
      </c>
      <c r="C371" s="83" t="inlineStr">
        <is>
          <t>Atend. Médico em UPA</t>
        </is>
      </c>
      <c r="D371" s="64" t="n">
        <v>163</v>
      </c>
      <c r="E371" s="64" t="n">
        <v>66</v>
      </c>
      <c r="F371" s="64" t="n">
        <v>116</v>
      </c>
      <c r="G371" s="64" t="n">
        <v>72</v>
      </c>
      <c r="H371" s="64" t="n">
        <v>107</v>
      </c>
      <c r="I371" s="64" t="n">
        <v>177</v>
      </c>
      <c r="J371" s="64" t="n">
        <v>72</v>
      </c>
      <c r="K371" s="64" t="n">
        <v>241</v>
      </c>
      <c r="L371" s="64" t="n">
        <v>114</v>
      </c>
      <c r="M371" s="64" t="n">
        <v>112</v>
      </c>
      <c r="N371" s="64" t="n">
        <v>168</v>
      </c>
      <c r="O371" s="64" t="n">
        <v>206</v>
      </c>
      <c r="P371" s="64" t="n">
        <v>151</v>
      </c>
    </row>
    <row r="372" ht="15.75" customHeight="1" s="45">
      <c r="A372" s="61" t="n">
        <v>46232</v>
      </c>
      <c r="B372" s="82" t="inlineStr">
        <is>
          <t>Pós-Projeto</t>
        </is>
      </c>
      <c r="C372" s="84" t="inlineStr">
        <is>
          <t>Exames Laboratoriais</t>
        </is>
      </c>
      <c r="D372" s="66" t="n">
        <v>671</v>
      </c>
      <c r="E372" s="66" t="n">
        <v>348</v>
      </c>
      <c r="F372" s="66" t="n">
        <v>527</v>
      </c>
      <c r="G372" s="66" t="n">
        <v>508</v>
      </c>
      <c r="H372" s="66" t="n">
        <v>386</v>
      </c>
      <c r="I372" s="66" t="n">
        <v>575</v>
      </c>
      <c r="J372" s="66" t="n">
        <v>301</v>
      </c>
      <c r="K372" s="66" t="n">
        <v>1031</v>
      </c>
      <c r="L372" s="66" t="n">
        <v>470</v>
      </c>
      <c r="M372" s="66" t="n">
        <v>530</v>
      </c>
      <c r="N372" s="66" t="n">
        <v>886</v>
      </c>
      <c r="O372" s="66" t="n">
        <v>536</v>
      </c>
      <c r="P372" s="66" t="n">
        <v>171</v>
      </c>
    </row>
    <row r="373" ht="15.75" customHeight="1" s="45">
      <c r="A373" s="61" t="n">
        <v>46232</v>
      </c>
      <c r="B373" s="82" t="inlineStr">
        <is>
          <t>Pós-Projeto</t>
        </is>
      </c>
      <c r="C373" s="83" t="inlineStr">
        <is>
          <t>Radiografias</t>
        </is>
      </c>
      <c r="D373" s="64" t="n">
        <v>24</v>
      </c>
      <c r="E373" s="64" t="n">
        <v>22</v>
      </c>
      <c r="F373" s="64" t="n">
        <v>19</v>
      </c>
      <c r="G373" s="64" t="n">
        <v>29</v>
      </c>
      <c r="H373" s="67" t="n">
        <v>0</v>
      </c>
      <c r="I373" s="64" t="n">
        <v>26</v>
      </c>
      <c r="J373" s="64" t="n">
        <v>15</v>
      </c>
      <c r="K373" s="64" t="n">
        <v>45</v>
      </c>
      <c r="L373" s="64" t="n">
        <v>18</v>
      </c>
      <c r="M373" s="64" t="n">
        <v>28</v>
      </c>
      <c r="N373" s="64" t="n">
        <v>40</v>
      </c>
      <c r="O373" s="64" t="n">
        <v>21</v>
      </c>
      <c r="P373" s="64" t="n">
        <v>23</v>
      </c>
    </row>
    <row r="374" ht="15.75" customHeight="1" s="45">
      <c r="A374" s="61" t="n">
        <v>46232</v>
      </c>
      <c r="B374" s="82" t="inlineStr">
        <is>
          <t>Pós-Projeto</t>
        </is>
      </c>
      <c r="C374" s="84" t="inlineStr">
        <is>
          <t>Eletrocardiogramas</t>
        </is>
      </c>
      <c r="D374" s="66" t="n">
        <v>11</v>
      </c>
      <c r="E374" s="66" t="n">
        <v>7</v>
      </c>
      <c r="F374" s="66" t="n">
        <v>27</v>
      </c>
      <c r="G374" s="66" t="n">
        <v>12</v>
      </c>
      <c r="H374" s="66" t="n">
        <v>8</v>
      </c>
      <c r="I374" s="66" t="n">
        <v>1</v>
      </c>
      <c r="J374" s="67" t="n">
        <v>0</v>
      </c>
      <c r="K374" s="66" t="n">
        <v>1</v>
      </c>
      <c r="L374" s="66" t="n">
        <v>18</v>
      </c>
      <c r="M374" s="67" t="n">
        <v>0</v>
      </c>
      <c r="N374" s="66" t="n">
        <v>11</v>
      </c>
      <c r="O374" s="66" t="n">
        <v>11</v>
      </c>
      <c r="P374" s="66" t="n">
        <v>21</v>
      </c>
    </row>
    <row r="375" ht="15.75" customHeight="1" s="45">
      <c r="A375" s="61" t="n">
        <v>46232</v>
      </c>
      <c r="B375" s="82" t="inlineStr">
        <is>
          <t>Pós-Projeto</t>
        </is>
      </c>
      <c r="C375" s="85" t="inlineStr">
        <is>
          <t>GAEs Abertas</t>
        </is>
      </c>
      <c r="D375" s="69" t="n">
        <v>213</v>
      </c>
      <c r="E375" s="69" t="n">
        <v>178</v>
      </c>
      <c r="F375" s="69" t="n">
        <v>169</v>
      </c>
      <c r="G375" s="69" t="n">
        <v>139</v>
      </c>
      <c r="H375" s="69" t="n">
        <v>150</v>
      </c>
      <c r="I375" s="69" t="n">
        <v>203</v>
      </c>
      <c r="J375" s="69" t="n">
        <v>137</v>
      </c>
      <c r="K375" s="69" t="n">
        <v>279</v>
      </c>
      <c r="L375" s="69" t="n">
        <v>148</v>
      </c>
      <c r="M375" s="69" t="n">
        <v>205</v>
      </c>
      <c r="N375" s="69" t="n">
        <v>236</v>
      </c>
      <c r="O375" s="69" t="n">
        <v>272</v>
      </c>
      <c r="P375" s="69" t="n">
        <v>247</v>
      </c>
    </row>
    <row r="376" ht="15.75" customHeight="1" s="45">
      <c r="A376" s="61" t="n">
        <v>46232</v>
      </c>
      <c r="B376" s="82" t="inlineStr">
        <is>
          <t>Pós-Projeto</t>
        </is>
      </c>
      <c r="C376" s="85" t="inlineStr">
        <is>
          <t>GAEs Classificadas</t>
        </is>
      </c>
      <c r="D376" s="69" t="n">
        <v>198</v>
      </c>
      <c r="E376" s="69" t="n">
        <v>164</v>
      </c>
      <c r="F376" s="69" t="n">
        <v>161</v>
      </c>
      <c r="G376" s="69" t="n">
        <v>136</v>
      </c>
      <c r="H376" s="69" t="n">
        <v>145</v>
      </c>
      <c r="I376" s="69" t="n">
        <v>190</v>
      </c>
      <c r="J376" s="69" t="n">
        <v>132</v>
      </c>
      <c r="K376" s="69" t="n">
        <v>265</v>
      </c>
      <c r="L376" s="69" t="n">
        <v>143</v>
      </c>
      <c r="M376" s="69" t="n">
        <v>201</v>
      </c>
      <c r="N376" s="69" t="n">
        <v>224</v>
      </c>
      <c r="O376" s="69" t="n">
        <v>263</v>
      </c>
      <c r="P376" s="69" t="n">
        <v>243</v>
      </c>
    </row>
    <row r="377" ht="15.75" customHeight="1" s="45">
      <c r="A377" s="61" t="n">
        <v>46232</v>
      </c>
      <c r="B377" s="82" t="inlineStr">
        <is>
          <t>Pós-Projeto</t>
        </is>
      </c>
      <c r="C377" s="86" t="inlineStr">
        <is>
          <t>Percentual de GAEs abertas classificadas</t>
        </is>
      </c>
      <c r="D377" s="71">
        <f>IFERROR(D376/D375,"-")</f>
        <v/>
      </c>
      <c r="E377" s="71">
        <f>IFERROR(E376/E375,"-")</f>
        <v/>
      </c>
      <c r="F377" s="71">
        <f>IFERROR(F376/F375,"-")</f>
        <v/>
      </c>
      <c r="G377" s="71">
        <f>IFERROR(G376/G375,"-")</f>
        <v/>
      </c>
      <c r="H377" s="71">
        <f>IFERROR(H376/H375,"-")</f>
        <v/>
      </c>
      <c r="I377" s="71">
        <f>IFERROR(I376/I375,"-")</f>
        <v/>
      </c>
      <c r="J377" s="71">
        <f>IFERROR(J376/J375,"-")</f>
        <v/>
      </c>
      <c r="K377" s="71">
        <f>IFERROR(K376/K375,"-")</f>
        <v/>
      </c>
      <c r="L377" s="71">
        <f>IFERROR(L376/L375,"-")</f>
        <v/>
      </c>
      <c r="M377" s="71">
        <f>IFERROR(M376/M375,"-")</f>
        <v/>
      </c>
      <c r="N377" s="71">
        <f>IFERROR(N376/N375,"-")</f>
        <v/>
      </c>
      <c r="O377" s="71">
        <f>IFERROR(O376/O375,"-")</f>
        <v/>
      </c>
      <c r="P377" s="71">
        <f>IFERROR(P376/P375,"-")</f>
        <v/>
      </c>
    </row>
    <row r="378" ht="15.75" customHeight="1" s="45">
      <c r="A378" s="61" t="n">
        <v>46232</v>
      </c>
      <c r="B378" s="82" t="inlineStr">
        <is>
          <t>Pós-Projeto</t>
        </is>
      </c>
      <c r="C378" s="87" t="inlineStr">
        <is>
          <t>Tempo Médio — 🟡 Amarelo (hh:mm)</t>
        </is>
      </c>
      <c r="D378" s="73" t="n">
        <v>0.0680787037037037</v>
      </c>
      <c r="E378" s="73" t="n">
        <v>0.1123263888888889</v>
      </c>
      <c r="F378" s="73" t="n">
        <v>0.0802662037037037</v>
      </c>
      <c r="G378" s="73" t="n">
        <v>0.08150462962962964</v>
      </c>
      <c r="H378" s="73" t="n">
        <v>0.04956018518518519</v>
      </c>
      <c r="I378" s="73" t="n">
        <v>0.02372685185185185</v>
      </c>
      <c r="J378" s="73" t="n">
        <v>0.1727777777777778</v>
      </c>
      <c r="K378" s="73" t="n">
        <v>0.0895949074074074</v>
      </c>
      <c r="L378" s="73" t="n">
        <v>0.05798611111111111</v>
      </c>
      <c r="M378" s="73" t="n">
        <v>0.02850694444444445</v>
      </c>
      <c r="N378" s="73" t="n">
        <v>0.07255787037037037</v>
      </c>
      <c r="O378" s="73" t="n">
        <v>0.06964120370370371</v>
      </c>
      <c r="P378" s="73" t="n">
        <v>0.06965277777777777</v>
      </c>
    </row>
    <row r="379" ht="15.75" customHeight="1" s="45">
      <c r="A379" s="61" t="n">
        <v>46232</v>
      </c>
      <c r="B379" s="82" t="inlineStr">
        <is>
          <t>Pós-Projeto</t>
        </is>
      </c>
      <c r="C379" s="88" t="inlineStr">
        <is>
          <t>Tempo Médio — 🟠 Laranja (hh:mm)</t>
        </is>
      </c>
      <c r="D379" s="75" t="n">
        <v>0.0100462962962963</v>
      </c>
      <c r="E379" s="75" t="n">
        <v>0.01284722222222222</v>
      </c>
      <c r="F379" s="75" t="n">
        <v>0.008229166666666666</v>
      </c>
      <c r="G379" s="75" t="n">
        <v>0.002384259259259259</v>
      </c>
      <c r="H379" s="75" t="n">
        <v>0.009513888888888889</v>
      </c>
      <c r="I379" s="75" t="n">
        <v>0.005949074074074075</v>
      </c>
      <c r="J379" s="75" t="n">
        <v>0.01487268518518518</v>
      </c>
      <c r="K379" s="75" t="n">
        <v>0.0177662037037037</v>
      </c>
      <c r="L379" s="75" t="n">
        <v>0.01055555555555556</v>
      </c>
      <c r="M379" s="75" t="n">
        <v>0.01313657407407407</v>
      </c>
      <c r="N379" s="75" t="n">
        <v>0.01138888888888889</v>
      </c>
      <c r="O379" s="75" t="n">
        <v>0.01821759259259259</v>
      </c>
      <c r="P379" s="75" t="n">
        <v>0.01019675925925926</v>
      </c>
    </row>
    <row r="380" ht="15.75" customHeight="1" s="45">
      <c r="A380" s="76" t="n">
        <v>46232</v>
      </c>
      <c r="B380" s="82" t="inlineStr">
        <is>
          <t>Pós-Projeto</t>
        </is>
      </c>
      <c r="C380" s="91" t="inlineStr">
        <is>
          <t>Tempo Médio — 🟢 Verde   (hh:mm)</t>
        </is>
      </c>
      <c r="D380" s="79" t="n">
        <v>0.0596412037037037</v>
      </c>
      <c r="E380" s="79" t="n">
        <v>0.1267361111111111</v>
      </c>
      <c r="F380" s="79" t="n">
        <v>0.06681712962962963</v>
      </c>
      <c r="G380" s="79" t="n">
        <v>0.1018981481481482</v>
      </c>
      <c r="H380" s="79" t="n">
        <v>0.06207175925925926</v>
      </c>
      <c r="I380" s="79" t="n">
        <v>0.05802083333333333</v>
      </c>
      <c r="J380" s="79" t="n">
        <v>0.1811574074074074</v>
      </c>
      <c r="K380" s="79" t="n">
        <v>0.1395023148148148</v>
      </c>
      <c r="L380" s="79" t="n">
        <v>0.07187499999999999</v>
      </c>
      <c r="M380" s="79" t="n">
        <v>0.09310185185185185</v>
      </c>
      <c r="N380" s="79" t="n">
        <v>0.07331018518518519</v>
      </c>
      <c r="O380" s="79" t="n">
        <v>0.1044097222222222</v>
      </c>
      <c r="P380" s="79" t="n">
        <v>0.1065740740740741</v>
      </c>
    </row>
    <row r="381" ht="15.75" customHeight="1" s="45">
      <c r="A381" s="57" t="n">
        <v>46233</v>
      </c>
      <c r="B381" s="81" t="inlineStr">
        <is>
          <t>Pós-Projeto</t>
        </is>
      </c>
      <c r="C381" s="59" t="inlineStr">
        <is>
          <t>Acolhim. + Atend. Urgência + Atend. UPA</t>
        </is>
      </c>
      <c r="D381" s="60">
        <f>SUM(D382:D384)</f>
        <v/>
      </c>
      <c r="E381" s="60">
        <f>SUM(E382:E384)</f>
        <v/>
      </c>
      <c r="F381" s="60">
        <f>SUM(F382:F384)</f>
        <v/>
      </c>
      <c r="G381" s="60">
        <f>SUM(G382:G384)</f>
        <v/>
      </c>
      <c r="H381" s="60">
        <f>SUM(H382:H384)</f>
        <v/>
      </c>
      <c r="I381" s="60">
        <f>SUM(I382:I384)</f>
        <v/>
      </c>
      <c r="J381" s="60">
        <f>SUM(J382:J384)</f>
        <v/>
      </c>
      <c r="K381" s="60">
        <f>SUM(K382:K384)</f>
        <v/>
      </c>
      <c r="L381" s="60">
        <f>SUM(L382:L384)</f>
        <v/>
      </c>
      <c r="M381" s="60">
        <f>SUM(M382:M384)</f>
        <v/>
      </c>
      <c r="N381" s="60">
        <f>SUM(N382:N384)</f>
        <v/>
      </c>
      <c r="O381" s="60">
        <f>SUM(O382:O384)</f>
        <v/>
      </c>
      <c r="P381" s="60">
        <f>SUM(P382:P384)</f>
        <v/>
      </c>
    </row>
    <row r="382" ht="15.75" customHeight="1" s="45">
      <c r="A382" s="61" t="n">
        <v>46233</v>
      </c>
      <c r="B382" s="82" t="inlineStr">
        <is>
          <t>Pós-Projeto</t>
        </is>
      </c>
      <c r="C382" s="83" t="inlineStr">
        <is>
          <t>Acolhimento c/ Classif. de Risco</t>
        </is>
      </c>
      <c r="D382" s="64" t="n">
        <v>235</v>
      </c>
      <c r="E382" s="64" t="n">
        <v>170</v>
      </c>
      <c r="F382" s="64" t="n">
        <v>150</v>
      </c>
      <c r="G382" s="64" t="n">
        <v>140</v>
      </c>
      <c r="H382" s="64" t="n">
        <v>141</v>
      </c>
      <c r="I382" s="64" t="n">
        <v>199</v>
      </c>
      <c r="J382" s="64" t="n">
        <v>123</v>
      </c>
      <c r="K382" s="64" t="n">
        <v>259</v>
      </c>
      <c r="L382" s="64" t="n">
        <v>136</v>
      </c>
      <c r="M382" s="64" t="n">
        <v>200</v>
      </c>
      <c r="N382" s="64" t="n">
        <v>194</v>
      </c>
      <c r="O382" s="64" t="n">
        <v>261</v>
      </c>
      <c r="P382" s="64" t="n">
        <v>227</v>
      </c>
    </row>
    <row r="383" ht="15.75" customHeight="1" s="45">
      <c r="A383" s="61" t="n">
        <v>46233</v>
      </c>
      <c r="B383" s="82" t="inlineStr">
        <is>
          <t>Pós-Projeto</t>
        </is>
      </c>
      <c r="C383" s="84" t="inlineStr">
        <is>
          <t>Atend. Urgência Obs. ≤ 24h</t>
        </is>
      </c>
      <c r="D383" s="66" t="n">
        <v>18</v>
      </c>
      <c r="E383" s="66" t="n">
        <v>11</v>
      </c>
      <c r="F383" s="66" t="n">
        <v>27</v>
      </c>
      <c r="G383" s="66" t="n">
        <v>33</v>
      </c>
      <c r="H383" s="66" t="n">
        <v>16</v>
      </c>
      <c r="I383" s="66" t="n">
        <v>15</v>
      </c>
      <c r="J383" s="66" t="n">
        <v>3</v>
      </c>
      <c r="K383" s="66" t="n">
        <v>40</v>
      </c>
      <c r="L383" s="66" t="n">
        <v>20</v>
      </c>
      <c r="M383" s="66" t="n">
        <v>22</v>
      </c>
      <c r="N383" s="66" t="n">
        <v>57</v>
      </c>
      <c r="O383" s="66" t="n">
        <v>15</v>
      </c>
      <c r="P383" s="66" t="n">
        <v>29</v>
      </c>
    </row>
    <row r="384" ht="15.75" customHeight="1" s="45">
      <c r="A384" s="61" t="n">
        <v>46233</v>
      </c>
      <c r="B384" s="82" t="inlineStr">
        <is>
          <t>Pós-Projeto</t>
        </is>
      </c>
      <c r="C384" s="83" t="inlineStr">
        <is>
          <t>Atend. Médico em UPA</t>
        </is>
      </c>
      <c r="D384" s="64" t="n">
        <v>166</v>
      </c>
      <c r="E384" s="64" t="n">
        <v>101</v>
      </c>
      <c r="F384" s="64" t="n">
        <v>88</v>
      </c>
      <c r="G384" s="64" t="n">
        <v>66</v>
      </c>
      <c r="H384" s="64" t="n">
        <v>92</v>
      </c>
      <c r="I384" s="64" t="n">
        <v>102</v>
      </c>
      <c r="J384" s="64" t="n">
        <v>118</v>
      </c>
      <c r="K384" s="64" t="n">
        <v>184</v>
      </c>
      <c r="L384" s="64" t="n">
        <v>121</v>
      </c>
      <c r="M384" s="64" t="n">
        <v>112</v>
      </c>
      <c r="N384" s="64" t="n">
        <v>171</v>
      </c>
      <c r="O384" s="64" t="n">
        <v>203</v>
      </c>
      <c r="P384" s="64" t="n">
        <v>173</v>
      </c>
    </row>
    <row r="385" ht="15.75" customHeight="1" s="45">
      <c r="A385" s="61" t="n">
        <v>46233</v>
      </c>
      <c r="B385" s="82" t="inlineStr">
        <is>
          <t>Pós-Projeto</t>
        </is>
      </c>
      <c r="C385" s="84" t="inlineStr">
        <is>
          <t>Exames Laboratoriais</t>
        </is>
      </c>
      <c r="D385" s="66" t="n">
        <v>705</v>
      </c>
      <c r="E385" s="66" t="n">
        <v>533</v>
      </c>
      <c r="F385" s="66" t="n">
        <v>612</v>
      </c>
      <c r="G385" s="66" t="n">
        <v>206</v>
      </c>
      <c r="H385" s="66" t="n">
        <v>607</v>
      </c>
      <c r="I385" s="66" t="n">
        <v>532</v>
      </c>
      <c r="J385" s="66" t="n">
        <v>374</v>
      </c>
      <c r="K385" s="66" t="n">
        <v>882</v>
      </c>
      <c r="L385" s="66" t="n">
        <v>576</v>
      </c>
      <c r="M385" s="66" t="n">
        <v>665</v>
      </c>
      <c r="N385" s="66" t="n">
        <v>613</v>
      </c>
      <c r="O385" s="66" t="n">
        <v>413</v>
      </c>
      <c r="P385" s="66" t="n">
        <v>466</v>
      </c>
    </row>
    <row r="386" ht="15.75" customHeight="1" s="45">
      <c r="A386" s="61" t="n">
        <v>46233</v>
      </c>
      <c r="B386" s="82" t="inlineStr">
        <is>
          <t>Pós-Projeto</t>
        </is>
      </c>
      <c r="C386" s="83" t="inlineStr">
        <is>
          <t>Radiografias</t>
        </is>
      </c>
      <c r="D386" s="64" t="n">
        <v>22</v>
      </c>
      <c r="E386" s="64" t="n">
        <v>21</v>
      </c>
      <c r="F386" s="64" t="n">
        <v>19</v>
      </c>
      <c r="G386" s="64" t="n">
        <v>16</v>
      </c>
      <c r="H386" s="67" t="n">
        <v>0</v>
      </c>
      <c r="I386" s="64" t="n">
        <v>18</v>
      </c>
      <c r="J386" s="64" t="n">
        <v>24</v>
      </c>
      <c r="K386" s="64" t="n">
        <v>55</v>
      </c>
      <c r="L386" s="64" t="n">
        <v>17</v>
      </c>
      <c r="M386" s="64" t="n">
        <v>34</v>
      </c>
      <c r="N386" s="64" t="n">
        <v>34</v>
      </c>
      <c r="O386" s="64" t="n">
        <v>45</v>
      </c>
      <c r="P386" s="64" t="n">
        <v>31</v>
      </c>
    </row>
    <row r="387" ht="15.75" customHeight="1" s="45">
      <c r="A387" s="61" t="n">
        <v>46233</v>
      </c>
      <c r="B387" s="82" t="inlineStr">
        <is>
          <t>Pós-Projeto</t>
        </is>
      </c>
      <c r="C387" s="84" t="inlineStr">
        <is>
          <t>Eletrocardiogramas</t>
        </is>
      </c>
      <c r="D387" s="66" t="n">
        <v>36</v>
      </c>
      <c r="E387" s="66" t="n">
        <v>14</v>
      </c>
      <c r="F387" s="66" t="n">
        <v>4</v>
      </c>
      <c r="G387" s="66" t="n">
        <v>12</v>
      </c>
      <c r="H387" s="66" t="n">
        <v>15</v>
      </c>
      <c r="I387" s="67" t="n">
        <v>0</v>
      </c>
      <c r="J387" s="67" t="n">
        <v>0</v>
      </c>
      <c r="K387" s="66" t="n">
        <v>2</v>
      </c>
      <c r="L387" s="66" t="n">
        <v>1</v>
      </c>
      <c r="M387" s="67" t="n">
        <v>0</v>
      </c>
      <c r="N387" s="66" t="n">
        <v>3</v>
      </c>
      <c r="O387" s="66" t="n">
        <v>8</v>
      </c>
      <c r="P387" s="66" t="n">
        <v>21</v>
      </c>
    </row>
    <row r="388" ht="15.75" customHeight="1" s="45">
      <c r="A388" s="61" t="n">
        <v>46233</v>
      </c>
      <c r="B388" s="82" t="inlineStr">
        <is>
          <t>Pós-Projeto</t>
        </is>
      </c>
      <c r="C388" s="85" t="inlineStr">
        <is>
          <t>GAEs Abertas</t>
        </is>
      </c>
      <c r="D388" s="69" t="n">
        <v>248</v>
      </c>
      <c r="E388" s="69" t="n">
        <v>174</v>
      </c>
      <c r="F388" s="69" t="n">
        <v>153</v>
      </c>
      <c r="G388" s="69" t="n">
        <v>152</v>
      </c>
      <c r="H388" s="69" t="n">
        <v>148</v>
      </c>
      <c r="I388" s="69" t="n">
        <v>206</v>
      </c>
      <c r="J388" s="69" t="n">
        <v>126</v>
      </c>
      <c r="K388" s="69" t="n">
        <v>286</v>
      </c>
      <c r="L388" s="69" t="n">
        <v>140</v>
      </c>
      <c r="M388" s="69" t="n">
        <v>209</v>
      </c>
      <c r="N388" s="69" t="n">
        <v>199</v>
      </c>
      <c r="O388" s="69" t="n">
        <v>270</v>
      </c>
      <c r="P388" s="69" t="n">
        <v>236</v>
      </c>
    </row>
    <row r="389" ht="15.75" customHeight="1" s="45">
      <c r="A389" s="61" t="n">
        <v>46233</v>
      </c>
      <c r="B389" s="82" t="inlineStr">
        <is>
          <t>Pós-Projeto</t>
        </is>
      </c>
      <c r="C389" s="85" t="inlineStr">
        <is>
          <t>GAEs Classificadas</t>
        </is>
      </c>
      <c r="D389" s="69" t="n">
        <v>234</v>
      </c>
      <c r="E389" s="69" t="n">
        <v>171</v>
      </c>
      <c r="F389" s="69" t="n">
        <v>151</v>
      </c>
      <c r="G389" s="69" t="n">
        <v>140</v>
      </c>
      <c r="H389" s="69" t="n">
        <v>141</v>
      </c>
      <c r="I389" s="69" t="n">
        <v>199</v>
      </c>
      <c r="J389" s="69" t="n">
        <v>124</v>
      </c>
      <c r="K389" s="69" t="n">
        <v>259</v>
      </c>
      <c r="L389" s="69" t="n">
        <v>134</v>
      </c>
      <c r="M389" s="69" t="n">
        <v>198</v>
      </c>
      <c r="N389" s="69" t="n">
        <v>191</v>
      </c>
      <c r="O389" s="69" t="n">
        <v>262</v>
      </c>
      <c r="P389" s="69" t="n">
        <v>227</v>
      </c>
    </row>
    <row r="390" ht="15.75" customHeight="1" s="45">
      <c r="A390" s="61" t="n">
        <v>46233</v>
      </c>
      <c r="B390" s="82" t="inlineStr">
        <is>
          <t>Pós-Projeto</t>
        </is>
      </c>
      <c r="C390" s="86" t="inlineStr">
        <is>
          <t>Percentual de GAEs abertas classificadas</t>
        </is>
      </c>
      <c r="D390" s="71">
        <f>IFERROR(D389/D388,"-")</f>
        <v/>
      </c>
      <c r="E390" s="71">
        <f>IFERROR(E389/E388,"-")</f>
        <v/>
      </c>
      <c r="F390" s="71">
        <f>IFERROR(F389/F388,"-")</f>
        <v/>
      </c>
      <c r="G390" s="71">
        <f>IFERROR(G389/G388,"-")</f>
        <v/>
      </c>
      <c r="H390" s="71">
        <f>IFERROR(H389/H388,"-")</f>
        <v/>
      </c>
      <c r="I390" s="71">
        <f>IFERROR(I389/I388,"-")</f>
        <v/>
      </c>
      <c r="J390" s="71">
        <f>IFERROR(J389/J388,"-")</f>
        <v/>
      </c>
      <c r="K390" s="71">
        <f>IFERROR(K389/K388,"-")</f>
        <v/>
      </c>
      <c r="L390" s="71">
        <f>IFERROR(L389/L388,"-")</f>
        <v/>
      </c>
      <c r="M390" s="71">
        <f>IFERROR(M389/M388,"-")</f>
        <v/>
      </c>
      <c r="N390" s="71">
        <f>IFERROR(N389/N388,"-")</f>
        <v/>
      </c>
      <c r="O390" s="71">
        <f>IFERROR(O389/O388,"-")</f>
        <v/>
      </c>
      <c r="P390" s="71">
        <f>IFERROR(P389/P388,"-")</f>
        <v/>
      </c>
    </row>
    <row r="391" ht="15.75" customHeight="1" s="45">
      <c r="A391" s="61" t="n">
        <v>46233</v>
      </c>
      <c r="B391" s="82" t="inlineStr">
        <is>
          <t>Pós-Projeto</t>
        </is>
      </c>
      <c r="C391" s="87" t="inlineStr">
        <is>
          <t>Tempo Médio — 🟡 Amarelo (hh:mm)</t>
        </is>
      </c>
      <c r="D391" s="73" t="n">
        <v>0.04396990740740741</v>
      </c>
      <c r="E391" s="73" t="n">
        <v>0.06563657407407407</v>
      </c>
      <c r="F391" s="73" t="n">
        <v>0.09929398148148148</v>
      </c>
      <c r="G391" s="73" t="n">
        <v>0.08012731481481482</v>
      </c>
      <c r="H391" s="73" t="n">
        <v>0.04357638888888889</v>
      </c>
      <c r="I391" s="73" t="n">
        <v>0.02572916666666667</v>
      </c>
      <c r="J391" s="73" t="n">
        <v>0.07084490740740741</v>
      </c>
      <c r="K391" s="73" t="n">
        <v>0.04070601851851852</v>
      </c>
      <c r="L391" s="73" t="n">
        <v>0.1247685185185185</v>
      </c>
      <c r="M391" s="73" t="n">
        <v>0.01685185185185185</v>
      </c>
      <c r="N391" s="73" t="n">
        <v>0.0516087962962963</v>
      </c>
      <c r="O391" s="73" t="n">
        <v>0.02260416666666667</v>
      </c>
      <c r="P391" s="73" t="n">
        <v>0.02961805555555556</v>
      </c>
    </row>
    <row r="392" ht="15.75" customHeight="1" s="45">
      <c r="A392" s="61" t="n">
        <v>46233</v>
      </c>
      <c r="B392" s="82" t="inlineStr">
        <is>
          <t>Pós-Projeto</t>
        </is>
      </c>
      <c r="C392" s="88" t="inlineStr">
        <is>
          <t>Tempo Médio — 🟠 Laranja (hh:mm)</t>
        </is>
      </c>
      <c r="D392" s="75" t="n">
        <v>0.008067129629629629</v>
      </c>
      <c r="E392" s="75" t="n">
        <v>0.008576388888888889</v>
      </c>
      <c r="F392" s="75" t="n">
        <v>0.004791666666666666</v>
      </c>
      <c r="G392" s="75" t="n">
        <v>0.007222222222222222</v>
      </c>
      <c r="H392" s="75" t="n">
        <v>0.005914351851851852</v>
      </c>
      <c r="I392" s="75" t="n">
        <v>0.003634259259259259</v>
      </c>
      <c r="J392" s="75" t="n">
        <v>0.009664351851851851</v>
      </c>
      <c r="K392" s="75" t="n">
        <v>0.03017361111111111</v>
      </c>
      <c r="L392" s="75" t="n">
        <v>0.01157407407407407</v>
      </c>
      <c r="M392" s="75" t="n">
        <v>0.01678240740740741</v>
      </c>
      <c r="N392" s="75" t="n">
        <v>0.009722222222222222</v>
      </c>
      <c r="O392" s="75" t="n">
        <v>0.008888888888888889</v>
      </c>
      <c r="P392" s="75" t="n">
        <v>0.008171296296296296</v>
      </c>
    </row>
    <row r="393" ht="15.75" customHeight="1" s="45">
      <c r="A393" s="76" t="n">
        <v>46233</v>
      </c>
      <c r="B393" s="82" t="inlineStr">
        <is>
          <t>Pós-Projeto</t>
        </is>
      </c>
      <c r="C393" s="91" t="inlineStr">
        <is>
          <t>Tempo Médio — 🟢 Verde   (hh:mm)</t>
        </is>
      </c>
      <c r="D393" s="79" t="n">
        <v>0.07247685185185185</v>
      </c>
      <c r="E393" s="79" t="n">
        <v>0.156724537037037</v>
      </c>
      <c r="F393" s="79" t="n">
        <v>0.1168634259259259</v>
      </c>
      <c r="G393" s="79" t="n">
        <v>0.09549768518518519</v>
      </c>
      <c r="H393" s="79" t="n">
        <v>0.1532986111111111</v>
      </c>
      <c r="I393" s="79" t="n">
        <v>0.09476851851851852</v>
      </c>
      <c r="J393" s="79" t="n">
        <v>0.08120370370370371</v>
      </c>
      <c r="K393" s="79" t="n">
        <v>0.08460648148148148</v>
      </c>
      <c r="L393" s="79" t="n">
        <v>0.1180902777777778</v>
      </c>
      <c r="M393" s="79" t="n">
        <v>0.05503472222222222</v>
      </c>
      <c r="N393" s="79" t="n">
        <v>0.07550925925925926</v>
      </c>
      <c r="O393" s="79" t="n">
        <v>0.1102430555555556</v>
      </c>
      <c r="P393" s="79" t="n">
        <v>0.03296296296296296</v>
      </c>
    </row>
    <row r="394" ht="15.75" customHeight="1" s="45">
      <c r="A394" s="57" t="n">
        <v>46234</v>
      </c>
      <c r="B394" s="81" t="inlineStr">
        <is>
          <t>Pós-Projeto</t>
        </is>
      </c>
      <c r="C394" s="59" t="inlineStr">
        <is>
          <t>Acolhim. + Atend. Urgência + Atend. UPA</t>
        </is>
      </c>
      <c r="D394" s="60">
        <f>SUM(D395:D397)</f>
        <v/>
      </c>
      <c r="E394" s="60">
        <f>SUM(E395:E397)</f>
        <v/>
      </c>
      <c r="F394" s="60">
        <f>SUM(F395:F397)</f>
        <v/>
      </c>
      <c r="G394" s="60">
        <f>SUM(G395:G397)</f>
        <v/>
      </c>
      <c r="H394" s="60">
        <f>SUM(H395:H397)</f>
        <v/>
      </c>
      <c r="I394" s="60">
        <f>SUM(I395:I397)</f>
        <v/>
      </c>
      <c r="J394" s="60">
        <f>SUM(J395:J397)</f>
        <v/>
      </c>
      <c r="K394" s="60">
        <f>SUM(K395:K397)</f>
        <v/>
      </c>
      <c r="L394" s="60">
        <f>SUM(L395:L397)</f>
        <v/>
      </c>
      <c r="M394" s="60">
        <f>SUM(M395:M397)</f>
        <v/>
      </c>
      <c r="N394" s="60">
        <f>SUM(N395:N397)</f>
        <v/>
      </c>
      <c r="O394" s="60">
        <f>SUM(O395:O397)</f>
        <v/>
      </c>
      <c r="P394" s="60">
        <f>SUM(P395:P397)</f>
        <v/>
      </c>
    </row>
    <row r="395" ht="15.75" customHeight="1" s="45">
      <c r="A395" s="61" t="n">
        <v>46234</v>
      </c>
      <c r="B395" s="82" t="inlineStr">
        <is>
          <t>Pós-Projeto</t>
        </is>
      </c>
      <c r="C395" s="83" t="inlineStr">
        <is>
          <t>Acolhimento c/ Classif. de Risco</t>
        </is>
      </c>
      <c r="D395" s="64" t="n">
        <v>186</v>
      </c>
      <c r="E395" s="64" t="n">
        <v>148</v>
      </c>
      <c r="F395" s="64" t="n">
        <v>143</v>
      </c>
      <c r="G395" s="64" t="n">
        <v>126</v>
      </c>
      <c r="H395" s="64" t="n">
        <v>134</v>
      </c>
      <c r="I395" s="64" t="n">
        <v>179</v>
      </c>
      <c r="J395" s="64" t="n">
        <v>97</v>
      </c>
      <c r="K395" s="64" t="n">
        <v>260</v>
      </c>
      <c r="L395" s="64" t="n">
        <v>133</v>
      </c>
      <c r="M395" s="64" t="n">
        <v>179</v>
      </c>
      <c r="N395" s="64" t="n">
        <v>195</v>
      </c>
      <c r="O395" s="64" t="n">
        <v>242</v>
      </c>
      <c r="P395" s="64" t="n">
        <v>204</v>
      </c>
    </row>
    <row r="396" ht="15.75" customHeight="1" s="45">
      <c r="A396" s="61" t="n">
        <v>46234</v>
      </c>
      <c r="B396" s="82" t="inlineStr">
        <is>
          <t>Pós-Projeto</t>
        </is>
      </c>
      <c r="C396" s="84" t="inlineStr">
        <is>
          <t>Atend. Urgência Obs. ≤ 24h</t>
        </is>
      </c>
      <c r="D396" s="66" t="n">
        <v>15</v>
      </c>
      <c r="E396" s="66" t="n">
        <v>14</v>
      </c>
      <c r="F396" s="66" t="n">
        <v>28</v>
      </c>
      <c r="G396" s="66" t="n">
        <v>31</v>
      </c>
      <c r="H396" s="66" t="n">
        <v>18</v>
      </c>
      <c r="I396" s="66" t="n">
        <v>7</v>
      </c>
      <c r="J396" s="66" t="n">
        <v>7</v>
      </c>
      <c r="K396" s="66" t="n">
        <v>33</v>
      </c>
      <c r="L396" s="66" t="n">
        <v>30</v>
      </c>
      <c r="M396" s="66" t="n">
        <v>25</v>
      </c>
      <c r="N396" s="66" t="n">
        <v>40</v>
      </c>
      <c r="O396" s="66" t="n">
        <v>16</v>
      </c>
      <c r="P396" s="66" t="n">
        <v>27</v>
      </c>
    </row>
    <row r="397" ht="15.75" customHeight="1" s="45">
      <c r="A397" s="61" t="n">
        <v>46234</v>
      </c>
      <c r="B397" s="82" t="inlineStr">
        <is>
          <t>Pós-Projeto</t>
        </is>
      </c>
      <c r="C397" s="83" t="inlineStr">
        <is>
          <t>Atend. Médico em UPA</t>
        </is>
      </c>
      <c r="D397" s="64" t="n">
        <v>152</v>
      </c>
      <c r="E397" s="64" t="n">
        <v>91</v>
      </c>
      <c r="F397" s="64" t="n">
        <v>62</v>
      </c>
      <c r="G397" s="64" t="n">
        <v>67</v>
      </c>
      <c r="H397" s="64" t="n">
        <v>84</v>
      </c>
      <c r="I397" s="64" t="n">
        <v>150</v>
      </c>
      <c r="J397" s="64" t="n">
        <v>84</v>
      </c>
      <c r="K397" s="64" t="n">
        <v>232</v>
      </c>
      <c r="L397" s="64" t="n">
        <v>98</v>
      </c>
      <c r="M397" s="64" t="n">
        <v>156</v>
      </c>
      <c r="N397" s="64" t="n">
        <v>141</v>
      </c>
      <c r="O397" s="64" t="n">
        <v>194</v>
      </c>
      <c r="P397" s="64" t="n">
        <v>164</v>
      </c>
    </row>
    <row r="398" ht="15.75" customHeight="1" s="45">
      <c r="A398" s="61" t="n">
        <v>46234</v>
      </c>
      <c r="B398" s="82" t="inlineStr">
        <is>
          <t>Pós-Projeto</t>
        </is>
      </c>
      <c r="C398" s="84" t="inlineStr">
        <is>
          <t>Exames Laboratoriais</t>
        </is>
      </c>
      <c r="D398" s="66" t="n">
        <v>620</v>
      </c>
      <c r="E398" s="66" t="n">
        <v>498</v>
      </c>
      <c r="F398" s="66" t="n">
        <v>606</v>
      </c>
      <c r="G398" s="66" t="n">
        <v>456</v>
      </c>
      <c r="H398" s="66" t="n">
        <v>296</v>
      </c>
      <c r="I398" s="66" t="n">
        <v>478</v>
      </c>
      <c r="J398" s="66" t="n">
        <v>280</v>
      </c>
      <c r="K398" s="66" t="n">
        <v>908</v>
      </c>
      <c r="L398" s="66" t="n">
        <v>615</v>
      </c>
      <c r="M398" s="66" t="n">
        <v>372</v>
      </c>
      <c r="N398" s="66" t="n">
        <v>606</v>
      </c>
      <c r="O398" s="66" t="n">
        <v>342</v>
      </c>
      <c r="P398" s="66" t="n">
        <v>434</v>
      </c>
    </row>
    <row r="399" ht="15.75" customHeight="1" s="45">
      <c r="A399" s="61" t="n">
        <v>46234</v>
      </c>
      <c r="B399" s="82" t="inlineStr">
        <is>
          <t>Pós-Projeto</t>
        </is>
      </c>
      <c r="C399" s="83" t="inlineStr">
        <is>
          <t>Radiografias</t>
        </is>
      </c>
      <c r="D399" s="64" t="n">
        <v>25</v>
      </c>
      <c r="E399" s="64" t="n">
        <v>26</v>
      </c>
      <c r="F399" s="64" t="n">
        <v>25</v>
      </c>
      <c r="G399" s="64" t="n">
        <v>18</v>
      </c>
      <c r="H399" s="67" t="n">
        <v>0</v>
      </c>
      <c r="I399" s="64" t="n">
        <v>24</v>
      </c>
      <c r="J399" s="64" t="n">
        <v>16</v>
      </c>
      <c r="K399" s="64" t="n">
        <v>44</v>
      </c>
      <c r="L399" s="64" t="n">
        <v>26</v>
      </c>
      <c r="M399" s="64" t="n">
        <v>31</v>
      </c>
      <c r="N399" s="64" t="n">
        <v>27</v>
      </c>
      <c r="O399" s="64" t="n">
        <v>40</v>
      </c>
      <c r="P399" s="64" t="n">
        <v>29</v>
      </c>
    </row>
    <row r="400" ht="15.75" customHeight="1" s="45">
      <c r="A400" s="61" t="n">
        <v>46234</v>
      </c>
      <c r="B400" s="82" t="inlineStr">
        <is>
          <t>Pós-Projeto</t>
        </is>
      </c>
      <c r="C400" s="84" t="inlineStr">
        <is>
          <t>Eletrocardiogramas</t>
        </is>
      </c>
      <c r="D400" s="66" t="n">
        <v>33</v>
      </c>
      <c r="E400" s="66" t="n">
        <v>4</v>
      </c>
      <c r="F400" s="67" t="n">
        <v>0</v>
      </c>
      <c r="G400" s="66" t="n">
        <v>9</v>
      </c>
      <c r="H400" s="66" t="n">
        <v>4</v>
      </c>
      <c r="I400" s="66" t="n">
        <v>3</v>
      </c>
      <c r="J400" s="66" t="n">
        <v>1</v>
      </c>
      <c r="K400" s="66" t="n">
        <v>8</v>
      </c>
      <c r="L400" s="67" t="n">
        <v>0</v>
      </c>
      <c r="M400" s="67" t="n">
        <v>0</v>
      </c>
      <c r="N400" s="66" t="n">
        <v>1</v>
      </c>
      <c r="O400" s="67" t="n">
        <v>0</v>
      </c>
      <c r="P400" s="66" t="n">
        <v>5</v>
      </c>
    </row>
    <row r="401" ht="15.75" customHeight="1" s="45">
      <c r="A401" s="61" t="n">
        <v>46234</v>
      </c>
      <c r="B401" s="82" t="inlineStr">
        <is>
          <t>Pós-Projeto</t>
        </is>
      </c>
      <c r="C401" s="85" t="inlineStr">
        <is>
          <t>GAEs Abertas</t>
        </is>
      </c>
      <c r="D401" s="69" t="n">
        <v>195</v>
      </c>
      <c r="E401" s="69" t="n">
        <v>150</v>
      </c>
      <c r="F401" s="69" t="n">
        <v>146</v>
      </c>
      <c r="G401" s="69" t="n">
        <v>130</v>
      </c>
      <c r="H401" s="69" t="n">
        <v>134</v>
      </c>
      <c r="I401" s="69" t="n">
        <v>190</v>
      </c>
      <c r="J401" s="69" t="n">
        <v>97</v>
      </c>
      <c r="K401" s="69" t="n">
        <v>274</v>
      </c>
      <c r="L401" s="69" t="n">
        <v>135</v>
      </c>
      <c r="M401" s="69" t="n">
        <v>184</v>
      </c>
      <c r="N401" s="69" t="n">
        <v>205</v>
      </c>
      <c r="O401" s="69" t="n">
        <v>253</v>
      </c>
      <c r="P401" s="69" t="n">
        <v>208</v>
      </c>
    </row>
    <row r="402" ht="15.75" customHeight="1" s="45">
      <c r="A402" s="61" t="n">
        <v>46234</v>
      </c>
      <c r="B402" s="82" t="inlineStr">
        <is>
          <t>Pós-Projeto</t>
        </is>
      </c>
      <c r="C402" s="85" t="inlineStr">
        <is>
          <t>GAEs Classificadas</t>
        </is>
      </c>
      <c r="D402" s="69" t="n">
        <v>185</v>
      </c>
      <c r="E402" s="69" t="n">
        <v>146</v>
      </c>
      <c r="F402" s="69" t="n">
        <v>143</v>
      </c>
      <c r="G402" s="69" t="n">
        <v>126</v>
      </c>
      <c r="H402" s="69" t="n">
        <v>134</v>
      </c>
      <c r="I402" s="69" t="n">
        <v>179</v>
      </c>
      <c r="J402" s="69" t="n">
        <v>96</v>
      </c>
      <c r="K402" s="69" t="n">
        <v>259</v>
      </c>
      <c r="L402" s="69" t="n">
        <v>133</v>
      </c>
      <c r="M402" s="69" t="n">
        <v>177</v>
      </c>
      <c r="N402" s="69" t="n">
        <v>195</v>
      </c>
      <c r="O402" s="69" t="n">
        <v>240</v>
      </c>
      <c r="P402" s="69" t="n">
        <v>204</v>
      </c>
    </row>
    <row r="403" ht="15.75" customHeight="1" s="45">
      <c r="A403" s="61" t="n">
        <v>46234</v>
      </c>
      <c r="B403" s="82" t="inlineStr">
        <is>
          <t>Pós-Projeto</t>
        </is>
      </c>
      <c r="C403" s="86" t="inlineStr">
        <is>
          <t>Percentual de GAEs abertas classificadas</t>
        </is>
      </c>
      <c r="D403" s="71">
        <f>IFERROR(D402/D401,"-")</f>
        <v/>
      </c>
      <c r="E403" s="71">
        <f>IFERROR(E402/E401,"-")</f>
        <v/>
      </c>
      <c r="F403" s="71">
        <f>IFERROR(F402/F401,"-")</f>
        <v/>
      </c>
      <c r="G403" s="71">
        <f>IFERROR(G402/G401,"-")</f>
        <v/>
      </c>
      <c r="H403" s="71">
        <f>IFERROR(H402/H401,"-")</f>
        <v/>
      </c>
      <c r="I403" s="71">
        <f>IFERROR(I402/I401,"-")</f>
        <v/>
      </c>
      <c r="J403" s="71">
        <f>IFERROR(J402/J401,"-")</f>
        <v/>
      </c>
      <c r="K403" s="71">
        <f>IFERROR(K402/K401,"-")</f>
        <v/>
      </c>
      <c r="L403" s="71">
        <f>IFERROR(L402/L401,"-")</f>
        <v/>
      </c>
      <c r="M403" s="71">
        <f>IFERROR(M402/M401,"-")</f>
        <v/>
      </c>
      <c r="N403" s="71">
        <f>IFERROR(N402/N401,"-")</f>
        <v/>
      </c>
      <c r="O403" s="71">
        <f>IFERROR(O402/O401,"-")</f>
        <v/>
      </c>
      <c r="P403" s="71">
        <f>IFERROR(P402/P401,"-")</f>
        <v/>
      </c>
    </row>
    <row r="404" ht="15.75" customHeight="1" s="45">
      <c r="A404" s="61" t="n">
        <v>46234</v>
      </c>
      <c r="B404" s="82" t="inlineStr">
        <is>
          <t>Pós-Projeto</t>
        </is>
      </c>
      <c r="C404" s="87" t="inlineStr">
        <is>
          <t>Tempo Médio — 🟡 Amarelo (hh:mm)</t>
        </is>
      </c>
      <c r="D404" s="73" t="n">
        <v>0.0266087962962963</v>
      </c>
      <c r="E404" s="73" t="n">
        <v>0.07267361111111111</v>
      </c>
      <c r="F404" s="73" t="n">
        <v>0.0306712962962963</v>
      </c>
      <c r="G404" s="73" t="n">
        <v>0.08578703703703704</v>
      </c>
      <c r="H404" s="73" t="n">
        <v>0.03210648148148148</v>
      </c>
      <c r="I404" s="73" t="n">
        <v>0.03663194444444445</v>
      </c>
      <c r="J404" s="73" t="n">
        <v>0.0534375</v>
      </c>
      <c r="K404" s="73" t="n">
        <v>0.04701388888888889</v>
      </c>
      <c r="L404" s="73" t="n">
        <v>0.1171990740740741</v>
      </c>
      <c r="M404" s="73" t="n">
        <v>0.01905092592592593</v>
      </c>
      <c r="N404" s="73" t="n">
        <v>0.03359953703703704</v>
      </c>
      <c r="O404" s="73" t="n">
        <v>0.04620370370370371</v>
      </c>
      <c r="P404" s="73" t="n">
        <v>0.04168981481481481</v>
      </c>
    </row>
    <row r="405" ht="15.75" customHeight="1" s="45">
      <c r="A405" s="61" t="n">
        <v>46234</v>
      </c>
      <c r="B405" s="82" t="inlineStr">
        <is>
          <t>Pós-Projeto</t>
        </is>
      </c>
      <c r="C405" s="88" t="inlineStr">
        <is>
          <t>Tempo Médio — 🟠 Laranja (hh:mm)</t>
        </is>
      </c>
      <c r="D405" s="75" t="n">
        <v>0.005185185185185185</v>
      </c>
      <c r="E405" s="75" t="n">
        <v>0.00863425925925926</v>
      </c>
      <c r="F405" s="75" t="n">
        <v>0.003252314814814815</v>
      </c>
      <c r="G405" s="75" t="n">
        <v>0.01128472222222222</v>
      </c>
      <c r="H405" s="75" t="n">
        <v>0.02035879629629629</v>
      </c>
      <c r="I405" s="75" t="n">
        <v>0.006307870370370371</v>
      </c>
      <c r="J405" s="75" t="n">
        <v>0.01203703703703704</v>
      </c>
      <c r="K405" s="75" t="n">
        <v>0.0115162037037037</v>
      </c>
      <c r="L405" s="75" t="n">
        <v>0.009201388888888889</v>
      </c>
      <c r="M405" s="75" t="n">
        <v>0.00832175925925926</v>
      </c>
      <c r="N405" s="75" t="n">
        <v>0.009444444444444445</v>
      </c>
      <c r="O405" s="75" t="n">
        <v>0.01143518518518519</v>
      </c>
      <c r="P405" s="75" t="n">
        <v>0.00880787037037037</v>
      </c>
    </row>
    <row r="406" ht="15.75" customHeight="1" s="45">
      <c r="A406" s="76" t="n">
        <v>46234</v>
      </c>
      <c r="B406" s="82" t="inlineStr">
        <is>
          <t>Pós-Projeto</t>
        </is>
      </c>
      <c r="C406" s="91" t="inlineStr">
        <is>
          <t>Tempo Médio — 🟢 Verde   (hh:mm)</t>
        </is>
      </c>
      <c r="D406" s="79" t="n">
        <v>0.03934027777777778</v>
      </c>
      <c r="E406" s="79" t="n">
        <v>0.1062384259259259</v>
      </c>
      <c r="F406" s="79" t="n">
        <v>0.06262731481481482</v>
      </c>
      <c r="G406" s="79" t="n">
        <v>0.0984375</v>
      </c>
      <c r="H406" s="79" t="n">
        <v>0.06321759259259259</v>
      </c>
      <c r="I406" s="79" t="n">
        <v>0.0518287037037037</v>
      </c>
      <c r="J406" s="79" t="n">
        <v>0.05105324074074074</v>
      </c>
      <c r="K406" s="79" t="n">
        <v>0.07122685185185185</v>
      </c>
      <c r="L406" s="79" t="n">
        <v>0.2078587962962963</v>
      </c>
      <c r="M406" s="79" t="n">
        <v>0.02903935185185185</v>
      </c>
      <c r="N406" s="79" t="n">
        <v>0.06</v>
      </c>
      <c r="O406" s="79" t="n">
        <v>0.05644675925925926</v>
      </c>
      <c r="P406" s="79" t="n">
        <v>0.04825231481481482</v>
      </c>
    </row>
  </sheetData>
  <autoFilter ref="A3:P406"/>
  <mergeCells count="4">
    <mergeCell ref="K2:P2"/>
    <mergeCell ref="A1:P1"/>
    <mergeCell ref="A2:C2"/>
    <mergeCell ref="D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P4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396" activeCellId="0" sqref="A396"/>
    </sheetView>
  </sheetViews>
  <sheetFormatPr baseColWidth="8" defaultColWidth="8.6796875" defaultRowHeight="15" zeroHeight="0" outlineLevelRow="0"/>
  <cols>
    <col width="13" customWidth="1" style="44" min="1" max="1"/>
    <col width="12" customWidth="1" style="44" min="2" max="2"/>
    <col width="36.71" customWidth="1" style="44" min="3" max="3"/>
    <col width="15" customWidth="1" style="44" min="4" max="16"/>
  </cols>
  <sheetData>
    <row r="1" ht="31.5" customHeight="1" s="45">
      <c r="A1" s="46" t="inlineStr">
        <is>
          <t>ANÁLISE COMPARATIVA DE INDICADORES — UPAs PORTE I e PORTE III — ANTES e APÓS O PROJETO</t>
        </is>
      </c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8" t="n"/>
    </row>
    <row r="2" ht="25.5" customHeight="1" s="45">
      <c r="A2" s="49" t="inlineStr">
        <is>
          <t>Obs.: O indicador TAXA DE MORTALIDADE é de responsabilidade da SUPPH.</t>
        </is>
      </c>
      <c r="B2" s="47" t="n"/>
      <c r="C2" s="50" t="n"/>
      <c r="D2" s="51" t="inlineStr">
        <is>
          <t>— PORTE I —</t>
        </is>
      </c>
      <c r="E2" s="47" t="n"/>
      <c r="F2" s="47" t="n"/>
      <c r="G2" s="47" t="n"/>
      <c r="H2" s="47" t="n"/>
      <c r="I2" s="47" t="n"/>
      <c r="J2" s="50" t="n"/>
      <c r="K2" s="52" t="inlineStr">
        <is>
          <t>— PORTE III —</t>
        </is>
      </c>
      <c r="L2" s="47" t="n"/>
      <c r="M2" s="47" t="n"/>
      <c r="N2" s="47" t="n"/>
      <c r="O2" s="47" t="n"/>
      <c r="P2" s="53" t="n"/>
    </row>
    <row r="3" ht="36" customHeight="1" s="45">
      <c r="A3" s="54" t="inlineStr">
        <is>
          <t>Data</t>
        </is>
      </c>
      <c r="B3" s="54" t="inlineStr">
        <is>
          <t>Fase</t>
        </is>
      </c>
      <c r="C3" s="54" t="inlineStr">
        <is>
          <t>Indicador</t>
        </is>
      </c>
      <c r="D3" s="55" t="inlineStr">
        <is>
          <t>UPA
CEILÂNDIA II</t>
        </is>
      </c>
      <c r="E3" s="55" t="inlineStr">
        <is>
          <t>UPA
PARANOÁ</t>
        </is>
      </c>
      <c r="F3" s="55" t="inlineStr">
        <is>
          <t>UPA
GAMA</t>
        </is>
      </c>
      <c r="G3" s="55" t="inlineStr">
        <is>
          <t>UPA
PLANALTINA</t>
        </is>
      </c>
      <c r="H3" s="55" t="inlineStr">
        <is>
          <t>UPA RIACHO FUNDO II</t>
        </is>
      </c>
      <c r="I3" s="55" t="inlineStr">
        <is>
          <t>UPA VICENTE PIRES</t>
        </is>
      </c>
      <c r="J3" s="55" t="inlineStr">
        <is>
          <t>UPA BRAZLÂNDIA</t>
        </is>
      </c>
      <c r="K3" s="56" t="inlineStr">
        <is>
          <t>UPA
CEILÂNDIA</t>
        </is>
      </c>
      <c r="L3" s="56" t="inlineStr">
        <is>
          <t>UPA NÚCLEO BANDEIRANTE</t>
        </is>
      </c>
      <c r="M3" s="56" t="inlineStr">
        <is>
          <t>UPA RECANTO DAS EMAS</t>
        </is>
      </c>
      <c r="N3" s="56" t="inlineStr">
        <is>
          <t>UPA SAMAMBAIA</t>
        </is>
      </c>
      <c r="O3" s="56" t="inlineStr">
        <is>
          <t>UPA
SÃO SEBASTIÃO</t>
        </is>
      </c>
      <c r="P3" s="56" t="inlineStr">
        <is>
          <t>UPA SOBRADINHO</t>
        </is>
      </c>
    </row>
    <row r="4" ht="15.75" customHeight="1" s="45">
      <c r="A4" s="57" t="n">
        <v>46235</v>
      </c>
      <c r="B4" s="58" t="inlineStr">
        <is>
          <t>Pós-Projeto</t>
        </is>
      </c>
      <c r="C4" s="59" t="inlineStr">
        <is>
          <t>Acolhim. + Atend. Urgência + Atend. UPA</t>
        </is>
      </c>
      <c r="D4" s="60">
        <f>SUM(D5:D7)</f>
        <v/>
      </c>
      <c r="E4" s="60">
        <f>SUM(E5:E7)</f>
        <v/>
      </c>
      <c r="F4" s="60">
        <f>SUM(F5:F7)</f>
        <v/>
      </c>
      <c r="G4" s="60">
        <f>SUM(G5:G7)</f>
        <v/>
      </c>
      <c r="H4" s="60">
        <f>SUM(H5:H7)</f>
        <v/>
      </c>
      <c r="I4" s="60">
        <f>SUM(I5:I7)</f>
        <v/>
      </c>
      <c r="J4" s="60">
        <f>SUM(J5:J7)</f>
        <v/>
      </c>
      <c r="K4" s="60">
        <f>SUM(K5:K7)</f>
        <v/>
      </c>
      <c r="L4" s="60">
        <f>SUM(L5:L7)</f>
        <v/>
      </c>
      <c r="M4" s="60">
        <f>SUM(M5:M7)</f>
        <v/>
      </c>
      <c r="N4" s="60">
        <f>SUM(N5:N7)</f>
        <v/>
      </c>
      <c r="O4" s="60">
        <f>SUM(O5:O7)</f>
        <v/>
      </c>
      <c r="P4" s="60">
        <f>SUM(P5:P7)</f>
        <v/>
      </c>
    </row>
    <row r="5" ht="15.75" customHeight="1" s="45">
      <c r="A5" s="61" t="n">
        <v>46235</v>
      </c>
      <c r="B5" s="62" t="inlineStr">
        <is>
          <t>Pós-Projeto</t>
        </is>
      </c>
      <c r="C5" s="83" t="inlineStr">
        <is>
          <t>Acolhimento c/ Classif. de Risco</t>
        </is>
      </c>
      <c r="D5" s="64" t="n">
        <v>141</v>
      </c>
      <c r="E5" s="64" t="n">
        <v>163</v>
      </c>
      <c r="F5" s="64" t="n">
        <v>153</v>
      </c>
      <c r="G5" s="64" t="n">
        <v>128</v>
      </c>
      <c r="H5" s="64" t="n">
        <v>134</v>
      </c>
      <c r="I5" s="64" t="n">
        <v>212</v>
      </c>
      <c r="J5" s="64" t="n">
        <v>99</v>
      </c>
      <c r="K5" s="64" t="n">
        <v>272</v>
      </c>
      <c r="L5" s="64" t="n">
        <v>158</v>
      </c>
      <c r="M5" s="64" t="n">
        <v>190</v>
      </c>
      <c r="N5" s="64" t="n">
        <v>193</v>
      </c>
      <c r="O5" s="64" t="n">
        <v>209</v>
      </c>
      <c r="P5" s="64" t="n">
        <v>230</v>
      </c>
    </row>
    <row r="6" ht="15.75" customHeight="1" s="45">
      <c r="A6" s="61" t="n">
        <v>46235</v>
      </c>
      <c r="B6" s="62" t="inlineStr">
        <is>
          <t>Pós-Projeto</t>
        </is>
      </c>
      <c r="C6" s="84" t="inlineStr">
        <is>
          <t>Atend. Urgência Obs. ≤ 24h</t>
        </is>
      </c>
      <c r="D6" s="66" t="n">
        <v>71</v>
      </c>
      <c r="E6" s="66" t="n">
        <v>24</v>
      </c>
      <c r="F6" s="66" t="n">
        <v>53</v>
      </c>
      <c r="G6" s="66" t="n">
        <v>36</v>
      </c>
      <c r="H6" s="66" t="n">
        <v>13</v>
      </c>
      <c r="I6" s="66" t="n">
        <v>37</v>
      </c>
      <c r="J6" s="66" t="n">
        <v>17</v>
      </c>
      <c r="K6" s="66" t="n">
        <v>55</v>
      </c>
      <c r="L6" s="66" t="n">
        <v>69</v>
      </c>
      <c r="M6" s="66" t="n">
        <v>83</v>
      </c>
      <c r="N6" s="66" t="n">
        <v>33</v>
      </c>
      <c r="O6" s="66" t="n">
        <v>12</v>
      </c>
      <c r="P6" s="66" t="n">
        <v>46</v>
      </c>
    </row>
    <row r="7" ht="15.75" customHeight="1" s="45">
      <c r="A7" s="61" t="n">
        <v>46235</v>
      </c>
      <c r="B7" s="62" t="inlineStr">
        <is>
          <t>Pós-Projeto</t>
        </is>
      </c>
      <c r="C7" s="83" t="inlineStr">
        <is>
          <t>Atend. Médico em UPA</t>
        </is>
      </c>
      <c r="D7" s="64" t="n">
        <v>121</v>
      </c>
      <c r="E7" s="64" t="n">
        <v>80</v>
      </c>
      <c r="F7" s="64" t="n">
        <v>88</v>
      </c>
      <c r="G7" s="64" t="n">
        <v>72</v>
      </c>
      <c r="H7" s="64" t="n">
        <v>79</v>
      </c>
      <c r="I7" s="64" t="n">
        <v>160</v>
      </c>
      <c r="J7" s="64" t="n">
        <v>54</v>
      </c>
      <c r="K7" s="64" t="n">
        <v>197</v>
      </c>
      <c r="L7" s="64" t="n">
        <v>109</v>
      </c>
      <c r="M7" s="64" t="n">
        <v>140</v>
      </c>
      <c r="N7" s="64" t="n">
        <v>107</v>
      </c>
      <c r="O7" s="64" t="n">
        <v>201</v>
      </c>
      <c r="P7" s="64" t="n">
        <v>147</v>
      </c>
    </row>
    <row r="8" ht="15.75" customHeight="1" s="45">
      <c r="A8" s="61" t="n">
        <v>46235</v>
      </c>
      <c r="B8" s="62" t="inlineStr">
        <is>
          <t>Pós-Projeto</t>
        </is>
      </c>
      <c r="C8" s="84" t="inlineStr">
        <is>
          <t>Exames Laboratoriais</t>
        </is>
      </c>
      <c r="D8" s="66" t="n">
        <v>477</v>
      </c>
      <c r="E8" s="66" t="n">
        <v>406</v>
      </c>
      <c r="F8" s="66" t="n">
        <v>263</v>
      </c>
      <c r="G8" s="66" t="n">
        <v>143</v>
      </c>
      <c r="H8" s="66" t="n">
        <v>309</v>
      </c>
      <c r="I8" s="66" t="n">
        <v>484</v>
      </c>
      <c r="J8" s="66" t="n">
        <v>320</v>
      </c>
      <c r="K8" s="66" t="n">
        <v>802</v>
      </c>
      <c r="L8" s="66" t="n">
        <v>466</v>
      </c>
      <c r="M8" s="66" t="n">
        <v>390</v>
      </c>
      <c r="N8" s="66" t="n">
        <v>316</v>
      </c>
      <c r="O8" s="66" t="n">
        <v>242</v>
      </c>
      <c r="P8" s="66" t="n">
        <v>289</v>
      </c>
    </row>
    <row r="9" ht="15.75" customHeight="1" s="45">
      <c r="A9" s="61" t="n">
        <v>46235</v>
      </c>
      <c r="B9" s="62" t="inlineStr">
        <is>
          <t>Pós-Projeto</t>
        </is>
      </c>
      <c r="C9" s="83" t="inlineStr">
        <is>
          <t>Radiografias</t>
        </is>
      </c>
      <c r="D9" s="64" t="n">
        <v>16</v>
      </c>
      <c r="E9" s="64" t="n">
        <v>15</v>
      </c>
      <c r="F9" s="64" t="n">
        <v>19</v>
      </c>
      <c r="G9" s="64" t="n">
        <v>12</v>
      </c>
      <c r="H9" s="67" t="n">
        <v>0</v>
      </c>
      <c r="I9" s="64" t="n">
        <v>24</v>
      </c>
      <c r="J9" s="64" t="n">
        <v>13</v>
      </c>
      <c r="K9" s="64" t="n">
        <v>23</v>
      </c>
      <c r="L9" s="64" t="n">
        <v>13</v>
      </c>
      <c r="M9" s="64" t="n">
        <v>37</v>
      </c>
      <c r="N9" s="64" t="n">
        <v>21</v>
      </c>
      <c r="O9" s="64" t="n">
        <v>26</v>
      </c>
      <c r="P9" s="64" t="n">
        <v>50</v>
      </c>
    </row>
    <row r="10" ht="15.75" customHeight="1" s="45">
      <c r="A10" s="61" t="n">
        <v>46235</v>
      </c>
      <c r="B10" s="62" t="inlineStr">
        <is>
          <t>Pós-Projeto</t>
        </is>
      </c>
      <c r="C10" s="84" t="inlineStr">
        <is>
          <t>Eletrocardiogramas</t>
        </is>
      </c>
      <c r="D10" s="66" t="n">
        <v>5</v>
      </c>
      <c r="E10" s="66" t="n">
        <v>1</v>
      </c>
      <c r="F10" s="67" t="n">
        <v>0</v>
      </c>
      <c r="G10" s="66" t="n">
        <v>4</v>
      </c>
      <c r="H10" s="67" t="n">
        <v>0</v>
      </c>
      <c r="I10" s="67" t="n">
        <v>0</v>
      </c>
      <c r="J10" s="67" t="n">
        <v>0</v>
      </c>
      <c r="K10" s="66" t="n">
        <v>6</v>
      </c>
      <c r="L10" s="67" t="n">
        <v>0</v>
      </c>
      <c r="M10" s="67" t="n">
        <v>0</v>
      </c>
      <c r="N10" s="66" t="n">
        <v>7</v>
      </c>
      <c r="O10" s="67" t="n">
        <v>0</v>
      </c>
      <c r="P10" s="66" t="n">
        <v>4</v>
      </c>
    </row>
    <row r="11" ht="15.75" customHeight="1" s="45">
      <c r="A11" s="61" t="n">
        <v>46235</v>
      </c>
      <c r="B11" s="62" t="inlineStr">
        <is>
          <t>Pós-Projeto</t>
        </is>
      </c>
      <c r="C11" s="85" t="inlineStr">
        <is>
          <t>GAEs Abertas</t>
        </is>
      </c>
      <c r="D11" s="69" t="n">
        <v>189</v>
      </c>
      <c r="E11" s="69" t="n">
        <v>167</v>
      </c>
      <c r="F11" s="69" t="n">
        <v>159</v>
      </c>
      <c r="G11" s="69" t="n">
        <v>139</v>
      </c>
      <c r="H11" s="69" t="n">
        <v>137</v>
      </c>
      <c r="I11" s="69" t="n">
        <v>222</v>
      </c>
      <c r="J11" s="69" t="n">
        <v>103</v>
      </c>
      <c r="K11" s="69" t="n">
        <v>282</v>
      </c>
      <c r="L11" s="69" t="n">
        <v>166</v>
      </c>
      <c r="M11" s="69" t="n">
        <v>197</v>
      </c>
      <c r="N11" s="69" t="n">
        <v>197</v>
      </c>
      <c r="O11" s="69" t="n">
        <v>229</v>
      </c>
      <c r="P11" s="69" t="n">
        <v>241</v>
      </c>
    </row>
    <row r="12" ht="15.75" customHeight="1" s="45">
      <c r="A12" s="61" t="n">
        <v>46235</v>
      </c>
      <c r="B12" s="62" t="inlineStr">
        <is>
          <t>Pós-Projeto</t>
        </is>
      </c>
      <c r="C12" s="85" t="inlineStr">
        <is>
          <t>GAEs Classificadas</t>
        </is>
      </c>
      <c r="D12" s="69" t="n">
        <v>145</v>
      </c>
      <c r="E12" s="69" t="n">
        <v>163</v>
      </c>
      <c r="F12" s="69" t="n">
        <v>153</v>
      </c>
      <c r="G12" s="69" t="n">
        <v>130</v>
      </c>
      <c r="H12" s="69" t="n">
        <v>134</v>
      </c>
      <c r="I12" s="69" t="n">
        <v>212</v>
      </c>
      <c r="J12" s="69" t="n">
        <v>99</v>
      </c>
      <c r="K12" s="69" t="n">
        <v>274</v>
      </c>
      <c r="L12" s="69" t="n">
        <v>159</v>
      </c>
      <c r="M12" s="69" t="n">
        <v>191</v>
      </c>
      <c r="N12" s="69" t="n">
        <v>194</v>
      </c>
      <c r="O12" s="69" t="n">
        <v>209</v>
      </c>
      <c r="P12" s="69" t="n">
        <v>232</v>
      </c>
    </row>
    <row r="13" ht="15.75" customHeight="1" s="45">
      <c r="A13" s="61" t="n">
        <v>46235</v>
      </c>
      <c r="B13" s="62" t="inlineStr">
        <is>
          <t>Pós-Projeto</t>
        </is>
      </c>
      <c r="C13" s="86" t="inlineStr">
        <is>
          <t>Percentual de GAEs abertas classificadas</t>
        </is>
      </c>
      <c r="D13" s="71">
        <f>IFERROR(D12/D11,"-")</f>
        <v/>
      </c>
      <c r="E13" s="71">
        <f>IFERROR(E12/E11,"-")</f>
        <v/>
      </c>
      <c r="F13" s="71">
        <f>IFERROR(F12/F11,"-")</f>
        <v/>
      </c>
      <c r="G13" s="71">
        <f>IFERROR(G12/G11,"-")</f>
        <v/>
      </c>
      <c r="H13" s="71">
        <f>IFERROR(H12/H11,"-")</f>
        <v/>
      </c>
      <c r="I13" s="71">
        <f>IFERROR(I12/I11,"-")</f>
        <v/>
      </c>
      <c r="J13" s="71">
        <f>IFERROR(J12/J11,"-")</f>
        <v/>
      </c>
      <c r="K13" s="71">
        <f>IFERROR(K12/K11,"-")</f>
        <v/>
      </c>
      <c r="L13" s="71">
        <f>IFERROR(L12/L11,"-")</f>
        <v/>
      </c>
      <c r="M13" s="71">
        <f>IFERROR(M12/M11,"-")</f>
        <v/>
      </c>
      <c r="N13" s="71">
        <f>IFERROR(N12/N11,"-")</f>
        <v/>
      </c>
      <c r="O13" s="71">
        <f>IFERROR(O12/O11,"-")</f>
        <v/>
      </c>
      <c r="P13" s="71">
        <f>IFERROR(P12/P11,"-")</f>
        <v/>
      </c>
    </row>
    <row r="14" ht="15.75" customHeight="1" s="45">
      <c r="A14" s="61" t="n">
        <v>46235</v>
      </c>
      <c r="B14" s="62" t="inlineStr">
        <is>
          <t>Pós-Projeto</t>
        </is>
      </c>
      <c r="C14" s="87" t="inlineStr">
        <is>
          <t>Tempo Médio — 🟡 Amarelo (hh:mm)</t>
        </is>
      </c>
      <c r="D14" s="73" t="n">
        <v>0.09300925925925926</v>
      </c>
      <c r="E14" s="73" t="n">
        <v>0.09247685185185185</v>
      </c>
      <c r="F14" s="73" t="n">
        <v>0.04581018518518518</v>
      </c>
      <c r="G14" s="73" t="n">
        <v>0.02805555555555556</v>
      </c>
      <c r="H14" s="73" t="n">
        <v>0.05165509259259259</v>
      </c>
      <c r="I14" s="73" t="n">
        <v>0.06115740740740741</v>
      </c>
      <c r="J14" s="73" t="n">
        <v>0.05059027777777778</v>
      </c>
      <c r="K14" s="73" t="n">
        <v>0.05951388888888889</v>
      </c>
      <c r="L14" s="73" t="n">
        <v>0.07189814814814814</v>
      </c>
      <c r="M14" s="73" t="n">
        <v>0.02186342592592593</v>
      </c>
      <c r="N14" s="73" t="n">
        <v>0.03954861111111111</v>
      </c>
      <c r="O14" s="73" t="n">
        <v>0.01261574074074074</v>
      </c>
      <c r="P14" s="73" t="n">
        <v>0.02453703703703704</v>
      </c>
    </row>
    <row r="15" ht="15.75" customHeight="1" s="45">
      <c r="A15" s="61" t="n">
        <v>46235</v>
      </c>
      <c r="B15" s="62" t="inlineStr">
        <is>
          <t>Pós-Projeto</t>
        </is>
      </c>
      <c r="C15" s="88" t="inlineStr">
        <is>
          <t>Tempo Médio — 🟠 Laranja (hh:mm)</t>
        </is>
      </c>
      <c r="D15" s="75" t="n">
        <v>0.01030092592592593</v>
      </c>
      <c r="E15" s="75" t="n">
        <v>0.02047453703703704</v>
      </c>
      <c r="F15" s="75" t="n">
        <v>0.003321759259259259</v>
      </c>
      <c r="G15" s="75" t="n">
        <v>0.005324074074074074</v>
      </c>
      <c r="H15" s="75" t="n">
        <v>0.00449074074074074</v>
      </c>
      <c r="I15" s="75" t="n">
        <v>0.01009259259259259</v>
      </c>
      <c r="J15" s="75" t="n">
        <v>0.006087962962962963</v>
      </c>
      <c r="K15" s="75" t="n">
        <v>0.01137731481481481</v>
      </c>
      <c r="L15" s="75" t="n">
        <v>0.01142361111111111</v>
      </c>
      <c r="M15" s="75" t="n">
        <v>0.008067129629629629</v>
      </c>
      <c r="N15" s="75" t="n">
        <v>0.006284722222222222</v>
      </c>
      <c r="O15" s="75" t="n">
        <v>0.0121412037037037</v>
      </c>
      <c r="P15" s="75" t="n">
        <v>0.007881944444444445</v>
      </c>
    </row>
    <row r="16" ht="15.75" customHeight="1" s="45">
      <c r="A16" s="76" t="n">
        <v>46235</v>
      </c>
      <c r="B16" s="89" t="inlineStr">
        <is>
          <t>Pós-Projeto</t>
        </is>
      </c>
      <c r="C16" s="90" t="inlineStr">
        <is>
          <t>Tempo Médio — 🟢 Verde   (hh:mm)</t>
        </is>
      </c>
      <c r="D16" s="79" t="n">
        <v>0.1503356481481481</v>
      </c>
      <c r="E16" s="79" t="n">
        <v>0.2159606481481481</v>
      </c>
      <c r="F16" s="79" t="n">
        <v>0.1202430555555556</v>
      </c>
      <c r="G16" s="79" t="n">
        <v>0.07445601851851852</v>
      </c>
      <c r="H16" s="79" t="n">
        <v>0.09725694444444444</v>
      </c>
      <c r="I16" s="79" t="n">
        <v>0.141400462962963</v>
      </c>
      <c r="J16" s="79" t="n">
        <v>0.1002199074074074</v>
      </c>
      <c r="K16" s="79" t="n">
        <v>0.1109259259259259</v>
      </c>
      <c r="L16" s="79" t="n">
        <v>0.1120833333333333</v>
      </c>
      <c r="M16" s="79" t="n">
        <v>0.04635416666666667</v>
      </c>
      <c r="N16" s="79" t="n">
        <v>0.1568518518518519</v>
      </c>
      <c r="O16" s="79" t="n">
        <v>0.05546296296296296</v>
      </c>
      <c r="P16" s="79" t="n">
        <v>0.05173611111111111</v>
      </c>
    </row>
    <row r="17" ht="15.75" customHeight="1" s="45">
      <c r="A17" s="57" t="n">
        <v>46236</v>
      </c>
      <c r="B17" s="81" t="inlineStr">
        <is>
          <t>Pós-Projeto</t>
        </is>
      </c>
      <c r="C17" s="59" t="inlineStr">
        <is>
          <t>Acolhim. + Atend. Urgência + Atend. UPA</t>
        </is>
      </c>
      <c r="D17" s="60">
        <f>SUM(D18:D20)</f>
        <v/>
      </c>
      <c r="E17" s="60">
        <f>SUM(E18:E20)</f>
        <v/>
      </c>
      <c r="F17" s="60">
        <f>SUM(F18:F20)</f>
        <v/>
      </c>
      <c r="G17" s="60">
        <f>SUM(G18:G20)</f>
        <v/>
      </c>
      <c r="H17" s="60">
        <f>SUM(H18:H20)</f>
        <v/>
      </c>
      <c r="I17" s="60">
        <f>SUM(I18:I20)</f>
        <v/>
      </c>
      <c r="J17" s="60">
        <f>SUM(J18:J20)</f>
        <v/>
      </c>
      <c r="K17" s="60">
        <f>SUM(K18:K20)</f>
        <v/>
      </c>
      <c r="L17" s="60">
        <f>SUM(L18:L20)</f>
        <v/>
      </c>
      <c r="M17" s="60">
        <f>SUM(M18:M20)</f>
        <v/>
      </c>
      <c r="N17" s="60">
        <f>SUM(N18:N20)</f>
        <v/>
      </c>
      <c r="O17" s="60">
        <f>SUM(O18:O20)</f>
        <v/>
      </c>
      <c r="P17" s="60">
        <f>SUM(P18:P20)</f>
        <v/>
      </c>
    </row>
    <row r="18" ht="15.75" customHeight="1" s="45">
      <c r="A18" s="61" t="n">
        <v>46236</v>
      </c>
      <c r="B18" s="82" t="inlineStr">
        <is>
          <t>Pós-Projeto</t>
        </is>
      </c>
      <c r="C18" s="84" t="inlineStr">
        <is>
          <t>Acolhimento c/ Classif. de Risco</t>
        </is>
      </c>
      <c r="D18" s="66" t="n">
        <v>165</v>
      </c>
      <c r="E18" s="66" t="n">
        <v>121</v>
      </c>
      <c r="F18" s="66" t="n">
        <v>101</v>
      </c>
      <c r="G18" s="66" t="n">
        <v>122</v>
      </c>
      <c r="H18" s="66" t="n">
        <v>108</v>
      </c>
      <c r="I18" s="66" t="n">
        <v>135</v>
      </c>
      <c r="J18" s="66" t="n">
        <v>79</v>
      </c>
      <c r="K18" s="66" t="n">
        <v>212</v>
      </c>
      <c r="L18" s="66" t="n">
        <v>101</v>
      </c>
      <c r="M18" s="66" t="n">
        <v>155</v>
      </c>
      <c r="N18" s="66" t="n">
        <v>149</v>
      </c>
      <c r="O18" s="66" t="n">
        <v>194</v>
      </c>
      <c r="P18" s="66" t="n">
        <v>197</v>
      </c>
    </row>
    <row r="19" ht="15.75" customHeight="1" s="45">
      <c r="A19" s="61" t="n">
        <v>46236</v>
      </c>
      <c r="B19" s="82" t="inlineStr">
        <is>
          <t>Pós-Projeto</t>
        </is>
      </c>
      <c r="C19" s="83" t="inlineStr">
        <is>
          <t>Atend. Urgência Obs. ≤ 24h</t>
        </is>
      </c>
      <c r="D19" s="64" t="n">
        <v>14</v>
      </c>
      <c r="E19" s="64" t="n">
        <v>42</v>
      </c>
      <c r="F19" s="64" t="n">
        <v>13</v>
      </c>
      <c r="G19" s="64" t="n">
        <v>11</v>
      </c>
      <c r="H19" s="64" t="n">
        <v>14</v>
      </c>
      <c r="I19" s="64" t="n">
        <v>24</v>
      </c>
      <c r="J19" s="64" t="n">
        <v>21</v>
      </c>
      <c r="K19" s="64" t="n">
        <v>21</v>
      </c>
      <c r="L19" s="64" t="n">
        <v>43</v>
      </c>
      <c r="M19" s="64" t="n">
        <v>51</v>
      </c>
      <c r="N19" s="64" t="n">
        <v>39</v>
      </c>
      <c r="O19" s="64" t="n">
        <v>8</v>
      </c>
      <c r="P19" s="64" t="n">
        <v>34</v>
      </c>
    </row>
    <row r="20" ht="15.75" customHeight="1" s="45">
      <c r="A20" s="61" t="n">
        <v>46236</v>
      </c>
      <c r="B20" s="82" t="inlineStr">
        <is>
          <t>Pós-Projeto</t>
        </is>
      </c>
      <c r="C20" s="84" t="inlineStr">
        <is>
          <t>Atend. Médico em UPA</t>
        </is>
      </c>
      <c r="D20" s="66" t="n">
        <v>145</v>
      </c>
      <c r="E20" s="66" t="n">
        <v>32</v>
      </c>
      <c r="F20" s="66" t="n">
        <v>75</v>
      </c>
      <c r="G20" s="66" t="n">
        <v>80</v>
      </c>
      <c r="H20" s="66" t="n">
        <v>89</v>
      </c>
      <c r="I20" s="66" t="n">
        <v>139</v>
      </c>
      <c r="J20" s="66" t="n">
        <v>67</v>
      </c>
      <c r="K20" s="66" t="n">
        <v>131</v>
      </c>
      <c r="L20" s="66" t="n">
        <v>76</v>
      </c>
      <c r="M20" s="66" t="n">
        <v>113</v>
      </c>
      <c r="N20" s="66" t="n">
        <v>104</v>
      </c>
      <c r="O20" s="66" t="n">
        <v>146</v>
      </c>
      <c r="P20" s="66" t="n">
        <v>158</v>
      </c>
    </row>
    <row r="21" ht="15.75" customHeight="1" s="45">
      <c r="A21" s="61" t="n">
        <v>46236</v>
      </c>
      <c r="B21" s="82" t="inlineStr">
        <is>
          <t>Pós-Projeto</t>
        </is>
      </c>
      <c r="C21" s="83" t="inlineStr">
        <is>
          <t>Exames Laboratoriais</t>
        </is>
      </c>
      <c r="D21" s="64" t="n">
        <v>544</v>
      </c>
      <c r="E21" s="64" t="n">
        <v>411</v>
      </c>
      <c r="F21" s="64" t="n">
        <v>518</v>
      </c>
      <c r="G21" s="64" t="n">
        <v>252</v>
      </c>
      <c r="H21" s="64" t="n">
        <v>337</v>
      </c>
      <c r="I21" s="64" t="n">
        <v>537</v>
      </c>
      <c r="J21" s="64" t="n">
        <v>211</v>
      </c>
      <c r="K21" s="64" t="n">
        <v>696</v>
      </c>
      <c r="L21" s="64" t="n">
        <v>390</v>
      </c>
      <c r="M21" s="64" t="n">
        <v>518</v>
      </c>
      <c r="N21" s="64" t="n">
        <v>363</v>
      </c>
      <c r="O21" s="64" t="n">
        <v>329</v>
      </c>
      <c r="P21" s="64" t="n">
        <v>605</v>
      </c>
    </row>
    <row r="22" ht="15.75" customHeight="1" s="45">
      <c r="A22" s="61" t="n">
        <v>46236</v>
      </c>
      <c r="B22" s="82" t="inlineStr">
        <is>
          <t>Pós-Projeto</t>
        </is>
      </c>
      <c r="C22" s="84" t="inlineStr">
        <is>
          <t>Radiografias</t>
        </is>
      </c>
      <c r="D22" s="66" t="n">
        <v>24</v>
      </c>
      <c r="E22" s="66" t="n">
        <v>11</v>
      </c>
      <c r="F22" s="66" t="n">
        <v>14</v>
      </c>
      <c r="G22" s="66" t="n">
        <v>13</v>
      </c>
      <c r="H22" s="67" t="n">
        <v>0</v>
      </c>
      <c r="I22" s="66" t="n">
        <v>11</v>
      </c>
      <c r="J22" s="66" t="n">
        <v>10</v>
      </c>
      <c r="K22" s="66" t="n">
        <v>23</v>
      </c>
      <c r="L22" s="66" t="n">
        <v>5</v>
      </c>
      <c r="M22" s="66" t="n">
        <v>32</v>
      </c>
      <c r="N22" s="66" t="n">
        <v>24</v>
      </c>
      <c r="O22" s="66" t="n">
        <v>53</v>
      </c>
      <c r="P22" s="66" t="n">
        <v>28</v>
      </c>
    </row>
    <row r="23" ht="15.75" customHeight="1" s="45">
      <c r="A23" s="61" t="n">
        <v>46236</v>
      </c>
      <c r="B23" s="82" t="inlineStr">
        <is>
          <t>Pós-Projeto</t>
        </is>
      </c>
      <c r="C23" s="83" t="inlineStr">
        <is>
          <t>Eletrocardiogramas</t>
        </is>
      </c>
      <c r="D23" s="67" t="n">
        <v>0</v>
      </c>
      <c r="E23" s="64" t="n">
        <v>1</v>
      </c>
      <c r="F23" s="67" t="n">
        <v>0</v>
      </c>
      <c r="G23" s="64" t="n">
        <v>9</v>
      </c>
      <c r="H23" s="67" t="n">
        <v>0</v>
      </c>
      <c r="I23" s="64" t="n">
        <v>1</v>
      </c>
      <c r="J23" s="67" t="n">
        <v>0</v>
      </c>
      <c r="K23" s="64" t="n">
        <v>2</v>
      </c>
      <c r="L23" s="67" t="n">
        <v>0</v>
      </c>
      <c r="M23" s="67" t="n">
        <v>0</v>
      </c>
      <c r="N23" s="64" t="n">
        <v>8</v>
      </c>
      <c r="O23" s="67" t="n">
        <v>0</v>
      </c>
      <c r="P23" s="64" t="n">
        <v>4</v>
      </c>
    </row>
    <row r="24" ht="15.75" customHeight="1" s="45">
      <c r="A24" s="61" t="n">
        <v>46236</v>
      </c>
      <c r="B24" s="82" t="inlineStr">
        <is>
          <t>Pós-Projeto</t>
        </is>
      </c>
      <c r="C24" s="85" t="inlineStr">
        <is>
          <t>GAEs Abertas</t>
        </is>
      </c>
      <c r="D24" s="69" t="n">
        <v>167</v>
      </c>
      <c r="E24" s="69" t="n">
        <v>126</v>
      </c>
      <c r="F24" s="69" t="n">
        <v>103</v>
      </c>
      <c r="G24" s="69" t="n">
        <v>122</v>
      </c>
      <c r="H24" s="69" t="n">
        <v>111</v>
      </c>
      <c r="I24" s="69" t="n">
        <v>148</v>
      </c>
      <c r="J24" s="69" t="n">
        <v>84</v>
      </c>
      <c r="K24" s="69" t="n">
        <v>232</v>
      </c>
      <c r="L24" s="69" t="n">
        <v>109</v>
      </c>
      <c r="M24" s="69" t="n">
        <v>166</v>
      </c>
      <c r="N24" s="69" t="n">
        <v>158</v>
      </c>
      <c r="O24" s="69" t="n">
        <v>201</v>
      </c>
      <c r="P24" s="69" t="n">
        <v>205</v>
      </c>
    </row>
    <row r="25" ht="15.75" customHeight="1" s="45">
      <c r="A25" s="61" t="n">
        <v>46236</v>
      </c>
      <c r="B25" s="82" t="inlineStr">
        <is>
          <t>Pós-Projeto</t>
        </is>
      </c>
      <c r="C25" s="85" t="inlineStr">
        <is>
          <t>GAEs Classificadas</t>
        </is>
      </c>
      <c r="D25" s="69" t="n">
        <v>161</v>
      </c>
      <c r="E25" s="69" t="n">
        <v>122</v>
      </c>
      <c r="F25" s="69" t="n">
        <v>102</v>
      </c>
      <c r="G25" s="69" t="n">
        <v>121</v>
      </c>
      <c r="H25" s="69" t="n">
        <v>108</v>
      </c>
      <c r="I25" s="69" t="n">
        <v>136</v>
      </c>
      <c r="J25" s="69" t="n">
        <v>81</v>
      </c>
      <c r="K25" s="69" t="n">
        <v>210</v>
      </c>
      <c r="L25" s="69" t="n">
        <v>101</v>
      </c>
      <c r="M25" s="69" t="n">
        <v>155</v>
      </c>
      <c r="N25" s="69" t="n">
        <v>148</v>
      </c>
      <c r="O25" s="69" t="n">
        <v>194</v>
      </c>
      <c r="P25" s="69" t="n">
        <v>196</v>
      </c>
    </row>
    <row r="26" ht="15.75" customHeight="1" s="45">
      <c r="A26" s="61" t="n">
        <v>46236</v>
      </c>
      <c r="B26" s="82" t="inlineStr">
        <is>
          <t>Pós-Projeto</t>
        </is>
      </c>
      <c r="C26" s="86" t="inlineStr">
        <is>
          <t>Percentual de GAEs abertas classificadas</t>
        </is>
      </c>
      <c r="D26" s="71">
        <f>IFERROR(D25/D24,"-")</f>
        <v/>
      </c>
      <c r="E26" s="71">
        <f>IFERROR(E25/E24,"-")</f>
        <v/>
      </c>
      <c r="F26" s="71">
        <f>IFERROR(F25/F24,"-")</f>
        <v/>
      </c>
      <c r="G26" s="71">
        <f>IFERROR(G25/G24,"-")</f>
        <v/>
      </c>
      <c r="H26" s="71">
        <f>IFERROR(H25/H24,"-")</f>
        <v/>
      </c>
      <c r="I26" s="71">
        <f>IFERROR(I25/I24,"-")</f>
        <v/>
      </c>
      <c r="J26" s="71">
        <f>IFERROR(J25/J24,"-")</f>
        <v/>
      </c>
      <c r="K26" s="71">
        <f>IFERROR(K25/K24,"-")</f>
        <v/>
      </c>
      <c r="L26" s="71">
        <f>IFERROR(L25/L24,"-")</f>
        <v/>
      </c>
      <c r="M26" s="71">
        <f>IFERROR(M25/M24,"-")</f>
        <v/>
      </c>
      <c r="N26" s="71">
        <f>IFERROR(N25/N24,"-")</f>
        <v/>
      </c>
      <c r="O26" s="71">
        <f>IFERROR(O25/O24,"-")</f>
        <v/>
      </c>
      <c r="P26" s="71">
        <f>IFERROR(P25/P24,"-")</f>
        <v/>
      </c>
    </row>
    <row r="27" ht="15.75" customHeight="1" s="45">
      <c r="A27" s="61" t="n">
        <v>46236</v>
      </c>
      <c r="B27" s="82" t="inlineStr">
        <is>
          <t>Pós-Projeto</t>
        </is>
      </c>
      <c r="C27" s="87" t="inlineStr">
        <is>
          <t>Tempo Médio — 🟡 Amarelo (hh:mm)</t>
        </is>
      </c>
      <c r="D27" s="73" t="n">
        <v>0.03350694444444444</v>
      </c>
      <c r="E27" s="73" t="n">
        <v>0.07799768518518518</v>
      </c>
      <c r="F27" s="73" t="n">
        <v>0.03876157407407407</v>
      </c>
      <c r="G27" s="73" t="n">
        <v>0.04135416666666666</v>
      </c>
      <c r="H27" s="73" t="n">
        <v>0.04060185185185185</v>
      </c>
      <c r="I27" s="73" t="n">
        <v>0.02217592592592593</v>
      </c>
      <c r="J27" s="73" t="n">
        <v>0.09047453703703703</v>
      </c>
      <c r="K27" s="73" t="n">
        <v>0.07461805555555556</v>
      </c>
      <c r="L27" s="73" t="n">
        <v>0.04807870370370371</v>
      </c>
      <c r="M27" s="73" t="n">
        <v>0.01179398148148148</v>
      </c>
      <c r="N27" s="73" t="n">
        <v>0.03267361111111111</v>
      </c>
      <c r="O27" s="73" t="n">
        <v>0.02582175925925926</v>
      </c>
      <c r="P27" s="73" t="n">
        <v>0.03304398148148148</v>
      </c>
    </row>
    <row r="28" ht="15.75" customHeight="1" s="45">
      <c r="A28" s="61" t="n">
        <v>46236</v>
      </c>
      <c r="B28" s="82" t="inlineStr">
        <is>
          <t>Pós-Projeto</t>
        </is>
      </c>
      <c r="C28" s="88" t="inlineStr">
        <is>
          <t>Tempo Médio — 🟠 Laranja (hh:mm)</t>
        </is>
      </c>
      <c r="D28" s="75" t="n">
        <v>0.006747685185185186</v>
      </c>
      <c r="E28" s="75" t="n">
        <v>0.009814814814814814</v>
      </c>
      <c r="F28" s="75" t="n">
        <v>0.007025462962962963</v>
      </c>
      <c r="G28" s="75" t="n">
        <v>0.009421296296296296</v>
      </c>
      <c r="H28" s="75" t="n">
        <v>0.004328703703703704</v>
      </c>
      <c r="I28" s="75" t="n">
        <v>0.004224537037037037</v>
      </c>
      <c r="J28" s="75" t="n">
        <v>0.007974537037037037</v>
      </c>
      <c r="K28" s="75" t="n">
        <v>0.01296296296296296</v>
      </c>
      <c r="L28" s="75" t="n">
        <v>0.01137731481481481</v>
      </c>
      <c r="M28" s="75" t="n">
        <v>0.009895833333333333</v>
      </c>
      <c r="N28" s="75" t="n">
        <v>0.008032407407407408</v>
      </c>
      <c r="O28" s="75" t="n">
        <v>0.004756944444444445</v>
      </c>
      <c r="P28" s="75" t="n">
        <v>0.008229166666666666</v>
      </c>
    </row>
    <row r="29" ht="15.75" customHeight="1" s="45">
      <c r="A29" s="76" t="n">
        <v>46236</v>
      </c>
      <c r="B29" s="89" t="inlineStr">
        <is>
          <t>Pós-Projeto</t>
        </is>
      </c>
      <c r="C29" s="90" t="inlineStr">
        <is>
          <t>Tempo Médio — 🟢 Verde   (hh:mm)</t>
        </is>
      </c>
      <c r="D29" s="79" t="n">
        <v>0.04461805555555556</v>
      </c>
      <c r="E29" s="79" t="n">
        <v>0.09582175925925926</v>
      </c>
      <c r="F29" s="79" t="n">
        <v>0.1056365740740741</v>
      </c>
      <c r="G29" s="79" t="n">
        <v>0.08446759259259259</v>
      </c>
      <c r="H29" s="79" t="n">
        <v>0.1141435185185185</v>
      </c>
      <c r="I29" s="79" t="n">
        <v>0.05280092592592592</v>
      </c>
      <c r="J29" s="79" t="n">
        <v>0.1369560185185185</v>
      </c>
      <c r="K29" s="79" t="n">
        <v>0.1438310185185185</v>
      </c>
      <c r="L29" s="79" t="n">
        <v>0.07716435185185185</v>
      </c>
      <c r="M29" s="79" t="n">
        <v>0.01614583333333333</v>
      </c>
      <c r="N29" s="79" t="n">
        <v>0.08657407407407407</v>
      </c>
      <c r="O29" s="79" t="n">
        <v>0.04886574074074074</v>
      </c>
      <c r="P29" s="79" t="n">
        <v>0.04650462962962963</v>
      </c>
    </row>
    <row r="30" ht="15.75" customHeight="1" s="45">
      <c r="A30" s="57" t="n">
        <v>46237</v>
      </c>
      <c r="B30" s="81" t="inlineStr">
        <is>
          <t>Pós-Projeto</t>
        </is>
      </c>
      <c r="C30" s="59" t="inlineStr">
        <is>
          <t>Acolhim. + Atend. Urgência + Atend. UPA</t>
        </is>
      </c>
      <c r="D30" s="60">
        <f>SUM(D31:D33)</f>
        <v/>
      </c>
      <c r="E30" s="60">
        <f>SUM(E31:E33)</f>
        <v/>
      </c>
      <c r="F30" s="60">
        <f>SUM(F31:F33)</f>
        <v/>
      </c>
      <c r="G30" s="60">
        <f>SUM(G31:G33)</f>
        <v/>
      </c>
      <c r="H30" s="60">
        <f>SUM(H31:H33)</f>
        <v/>
      </c>
      <c r="I30" s="60">
        <f>SUM(I31:I33)</f>
        <v/>
      </c>
      <c r="J30" s="60">
        <f>SUM(J31:J33)</f>
        <v/>
      </c>
      <c r="K30" s="60">
        <f>SUM(K31:K33)</f>
        <v/>
      </c>
      <c r="L30" s="60">
        <f>SUM(L31:L33)</f>
        <v/>
      </c>
      <c r="M30" s="60">
        <f>SUM(M31:M33)</f>
        <v/>
      </c>
      <c r="N30" s="60">
        <f>SUM(N31:N33)</f>
        <v/>
      </c>
      <c r="O30" s="60">
        <f>SUM(O31:O33)</f>
        <v/>
      </c>
      <c r="P30" s="60">
        <f>SUM(P31:P33)</f>
        <v/>
      </c>
    </row>
    <row r="31" ht="15.75" customHeight="1" s="45">
      <c r="A31" s="61" t="n">
        <v>46237</v>
      </c>
      <c r="B31" s="82" t="inlineStr">
        <is>
          <t>Pós-Projeto</t>
        </is>
      </c>
      <c r="C31" s="83" t="inlineStr">
        <is>
          <t>Acolhimento c/ Classif. de Risco</t>
        </is>
      </c>
      <c r="D31" s="64" t="n">
        <v>217</v>
      </c>
      <c r="E31" s="64" t="n">
        <v>146</v>
      </c>
      <c r="F31" s="64" t="n">
        <v>164</v>
      </c>
      <c r="G31" s="64" t="n">
        <v>148</v>
      </c>
      <c r="H31" s="64" t="n">
        <v>128</v>
      </c>
      <c r="I31" s="64" t="n">
        <v>181</v>
      </c>
      <c r="J31" s="64" t="n">
        <v>104</v>
      </c>
      <c r="K31" s="64" t="n">
        <v>290</v>
      </c>
      <c r="L31" s="64" t="n">
        <v>173</v>
      </c>
      <c r="M31" s="64" t="n">
        <v>254</v>
      </c>
      <c r="N31" s="64" t="n">
        <v>215</v>
      </c>
      <c r="O31" s="64" t="n">
        <v>287</v>
      </c>
      <c r="P31" s="64" t="n">
        <v>248</v>
      </c>
    </row>
    <row r="32" ht="15.75" customHeight="1" s="45">
      <c r="A32" s="61" t="n">
        <v>46237</v>
      </c>
      <c r="B32" s="82" t="inlineStr">
        <is>
          <t>Pós-Projeto</t>
        </is>
      </c>
      <c r="C32" s="84" t="inlineStr">
        <is>
          <t>Atend. Urgência Obs. ≤ 24h</t>
        </is>
      </c>
      <c r="D32" s="66" t="n">
        <v>14</v>
      </c>
      <c r="E32" s="66" t="n">
        <v>11</v>
      </c>
      <c r="F32" s="66" t="n">
        <v>17</v>
      </c>
      <c r="G32" s="66" t="n">
        <v>29</v>
      </c>
      <c r="H32" s="66" t="n">
        <v>16</v>
      </c>
      <c r="I32" s="66" t="n">
        <v>10</v>
      </c>
      <c r="J32" s="66" t="n">
        <v>4</v>
      </c>
      <c r="K32" s="66" t="n">
        <v>28</v>
      </c>
      <c r="L32" s="66" t="n">
        <v>44</v>
      </c>
      <c r="M32" s="66" t="n">
        <v>52</v>
      </c>
      <c r="N32" s="66" t="n">
        <v>28</v>
      </c>
      <c r="O32" s="66" t="n">
        <v>27</v>
      </c>
      <c r="P32" s="66" t="n">
        <v>31</v>
      </c>
    </row>
    <row r="33" ht="15.75" customHeight="1" s="45">
      <c r="A33" s="61" t="n">
        <v>46237</v>
      </c>
      <c r="B33" s="82" t="inlineStr">
        <is>
          <t>Pós-Projeto</t>
        </is>
      </c>
      <c r="C33" s="83" t="inlineStr">
        <is>
          <t>Atend. Médico em UPA</t>
        </is>
      </c>
      <c r="D33" s="64" t="n">
        <v>189</v>
      </c>
      <c r="E33" s="64" t="n">
        <v>63</v>
      </c>
      <c r="F33" s="64" t="n">
        <v>117</v>
      </c>
      <c r="G33" s="64" t="n">
        <v>118</v>
      </c>
      <c r="H33" s="64" t="n">
        <v>110</v>
      </c>
      <c r="I33" s="64" t="n">
        <v>144</v>
      </c>
      <c r="J33" s="64" t="n">
        <v>77</v>
      </c>
      <c r="K33" s="64" t="n">
        <v>270</v>
      </c>
      <c r="L33" s="64" t="n">
        <v>127</v>
      </c>
      <c r="M33" s="64" t="n">
        <v>153</v>
      </c>
      <c r="N33" s="64" t="n">
        <v>164</v>
      </c>
      <c r="O33" s="64" t="n">
        <v>235</v>
      </c>
      <c r="P33" s="64" t="n">
        <v>141</v>
      </c>
    </row>
    <row r="34" ht="15.75" customHeight="1" s="45">
      <c r="A34" s="61" t="n">
        <v>46237</v>
      </c>
      <c r="B34" s="82" t="inlineStr">
        <is>
          <t>Pós-Projeto</t>
        </is>
      </c>
      <c r="C34" s="84" t="inlineStr">
        <is>
          <t>Exames Laboratoriais</t>
        </is>
      </c>
      <c r="D34" s="66" t="n">
        <v>576</v>
      </c>
      <c r="E34" s="66" t="n">
        <v>358</v>
      </c>
      <c r="F34" s="66" t="n">
        <v>381</v>
      </c>
      <c r="G34" s="66" t="n">
        <v>363</v>
      </c>
      <c r="H34" s="66" t="n">
        <v>320</v>
      </c>
      <c r="I34" s="66" t="n">
        <v>668</v>
      </c>
      <c r="J34" s="66" t="n">
        <v>392</v>
      </c>
      <c r="K34" s="66" t="n">
        <v>832</v>
      </c>
      <c r="L34" s="66" t="n">
        <v>572</v>
      </c>
      <c r="M34" s="66" t="n">
        <v>617</v>
      </c>
      <c r="N34" s="66" t="n">
        <v>825</v>
      </c>
      <c r="O34" s="66" t="n">
        <v>409</v>
      </c>
      <c r="P34" s="66" t="n">
        <v>315</v>
      </c>
    </row>
    <row r="35" ht="15.75" customHeight="1" s="45">
      <c r="A35" s="61" t="n">
        <v>46237</v>
      </c>
      <c r="B35" s="82" t="inlineStr">
        <is>
          <t>Pós-Projeto</t>
        </is>
      </c>
      <c r="C35" s="83" t="inlineStr">
        <is>
          <t>Radiografias</t>
        </is>
      </c>
      <c r="D35" s="64" t="n">
        <v>27</v>
      </c>
      <c r="E35" s="64" t="n">
        <v>14</v>
      </c>
      <c r="F35" s="64" t="n">
        <v>30</v>
      </c>
      <c r="G35" s="64" t="n">
        <v>28</v>
      </c>
      <c r="H35" s="64" t="n">
        <v>1</v>
      </c>
      <c r="I35" s="64" t="n">
        <v>21</v>
      </c>
      <c r="J35" s="64" t="n">
        <v>26</v>
      </c>
      <c r="K35" s="64" t="n">
        <v>44</v>
      </c>
      <c r="L35" s="64" t="n">
        <v>12</v>
      </c>
      <c r="M35" s="64" t="n">
        <v>56</v>
      </c>
      <c r="N35" s="64" t="n">
        <v>27</v>
      </c>
      <c r="O35" s="64" t="n">
        <v>34</v>
      </c>
      <c r="P35" s="64" t="n">
        <v>42</v>
      </c>
    </row>
    <row r="36" ht="15.75" customHeight="1" s="45">
      <c r="A36" s="61" t="n">
        <v>46237</v>
      </c>
      <c r="B36" s="82" t="inlineStr">
        <is>
          <t>Pós-Projeto</t>
        </is>
      </c>
      <c r="C36" s="84" t="inlineStr">
        <is>
          <t>Eletrocardiogramas</t>
        </is>
      </c>
      <c r="D36" s="66" t="n">
        <v>16</v>
      </c>
      <c r="E36" s="66" t="n">
        <v>7</v>
      </c>
      <c r="F36" s="67" t="n">
        <v>0</v>
      </c>
      <c r="G36" s="66" t="n">
        <v>5</v>
      </c>
      <c r="H36" s="67" t="n">
        <v>0</v>
      </c>
      <c r="I36" s="67" t="n">
        <v>0</v>
      </c>
      <c r="J36" s="67" t="n">
        <v>0</v>
      </c>
      <c r="K36" s="66" t="n">
        <v>6</v>
      </c>
      <c r="L36" s="67" t="n">
        <v>0</v>
      </c>
      <c r="M36" s="67" t="n">
        <v>0</v>
      </c>
      <c r="N36" s="66" t="n">
        <v>15</v>
      </c>
      <c r="O36" s="67" t="n">
        <v>0</v>
      </c>
      <c r="P36" s="66" t="n">
        <v>9</v>
      </c>
    </row>
    <row r="37" ht="15.75" customHeight="1" s="45">
      <c r="A37" s="61" t="n">
        <v>46237</v>
      </c>
      <c r="B37" s="82" t="inlineStr">
        <is>
          <t>Pós-Projeto</t>
        </is>
      </c>
      <c r="C37" s="85" t="inlineStr">
        <is>
          <t>GAEs Abertas</t>
        </is>
      </c>
      <c r="D37" s="69" t="n">
        <v>226</v>
      </c>
      <c r="E37" s="69" t="n">
        <v>150</v>
      </c>
      <c r="F37" s="69" t="n">
        <v>165</v>
      </c>
      <c r="G37" s="69" t="n">
        <v>152</v>
      </c>
      <c r="H37" s="69" t="n">
        <v>131</v>
      </c>
      <c r="I37" s="69" t="n">
        <v>197</v>
      </c>
      <c r="J37" s="69" t="n">
        <v>104</v>
      </c>
      <c r="K37" s="69" t="n">
        <v>312</v>
      </c>
      <c r="L37" s="69" t="n">
        <v>178</v>
      </c>
      <c r="M37" s="69" t="n">
        <v>260</v>
      </c>
      <c r="N37" s="69" t="n">
        <v>221</v>
      </c>
      <c r="O37" s="69" t="n">
        <v>293</v>
      </c>
      <c r="P37" s="69" t="n">
        <v>255</v>
      </c>
    </row>
    <row r="38" ht="15.75" customHeight="1" s="45">
      <c r="A38" s="61" t="n">
        <v>46237</v>
      </c>
      <c r="B38" s="82" t="inlineStr">
        <is>
          <t>Pós-Projeto</t>
        </is>
      </c>
      <c r="C38" s="85" t="inlineStr">
        <is>
          <t>GAEs Classificadas</t>
        </is>
      </c>
      <c r="D38" s="69" t="n">
        <v>218</v>
      </c>
      <c r="E38" s="69" t="n">
        <v>145</v>
      </c>
      <c r="F38" s="69" t="n">
        <v>163</v>
      </c>
      <c r="G38" s="69" t="n">
        <v>147</v>
      </c>
      <c r="H38" s="69" t="n">
        <v>129</v>
      </c>
      <c r="I38" s="69" t="n">
        <v>180</v>
      </c>
      <c r="J38" s="69" t="n">
        <v>103</v>
      </c>
      <c r="K38" s="69" t="n">
        <v>294</v>
      </c>
      <c r="L38" s="69" t="n">
        <v>173</v>
      </c>
      <c r="M38" s="69" t="n">
        <v>254</v>
      </c>
      <c r="N38" s="69" t="n">
        <v>215</v>
      </c>
      <c r="O38" s="69" t="n">
        <v>287</v>
      </c>
      <c r="P38" s="69" t="n">
        <v>246</v>
      </c>
    </row>
    <row r="39" ht="15.75" customHeight="1" s="45">
      <c r="A39" s="61" t="n">
        <v>46237</v>
      </c>
      <c r="B39" s="82" t="inlineStr">
        <is>
          <t>Pós-Projeto</t>
        </is>
      </c>
      <c r="C39" s="86" t="inlineStr">
        <is>
          <t>Percentual de GAEs abertas classificadas</t>
        </is>
      </c>
      <c r="D39" s="71">
        <f>IFERROR(D38/D37,"-")</f>
        <v/>
      </c>
      <c r="E39" s="71">
        <f>IFERROR(E38/E37,"-")</f>
        <v/>
      </c>
      <c r="F39" s="71">
        <f>IFERROR(F38/F37,"-")</f>
        <v/>
      </c>
      <c r="G39" s="71">
        <f>IFERROR(G38/G37,"-")</f>
        <v/>
      </c>
      <c r="H39" s="71">
        <f>IFERROR(H38/H37,"-")</f>
        <v/>
      </c>
      <c r="I39" s="71">
        <f>IFERROR(I38/I37,"-")</f>
        <v/>
      </c>
      <c r="J39" s="71">
        <f>IFERROR(J38/J37,"-")</f>
        <v/>
      </c>
      <c r="K39" s="71">
        <f>IFERROR(K38/K37,"-")</f>
        <v/>
      </c>
      <c r="L39" s="71">
        <f>IFERROR(L38/L37,"-")</f>
        <v/>
      </c>
      <c r="M39" s="71">
        <f>IFERROR(M38/M37,"-")</f>
        <v/>
      </c>
      <c r="N39" s="71">
        <f>IFERROR(N38/N37,"-")</f>
        <v/>
      </c>
      <c r="O39" s="71">
        <f>IFERROR(O38/O37,"-")</f>
        <v/>
      </c>
      <c r="P39" s="71">
        <f>IFERROR(P38/P37,"-")</f>
        <v/>
      </c>
    </row>
    <row r="40" ht="15.75" customHeight="1" s="45">
      <c r="A40" s="61" t="n">
        <v>46237</v>
      </c>
      <c r="B40" s="82" t="inlineStr">
        <is>
          <t>Pós-Projeto</t>
        </is>
      </c>
      <c r="C40" s="87" t="inlineStr">
        <is>
          <t>Tempo Médio — 🟡 Amarelo (hh:mm)</t>
        </is>
      </c>
      <c r="D40" s="73" t="n">
        <v>0.05085648148148148</v>
      </c>
      <c r="E40" s="73" t="n">
        <v>0.1627083333333333</v>
      </c>
      <c r="F40" s="73" t="n">
        <v>0.05068287037037037</v>
      </c>
      <c r="G40" s="73" t="n">
        <v>0.05743055555555555</v>
      </c>
      <c r="H40" s="73" t="n">
        <v>0.03413194444444444</v>
      </c>
      <c r="I40" s="73" t="n">
        <v>0.02853009259259259</v>
      </c>
      <c r="J40" s="73" t="n">
        <v>0.05324074074074074</v>
      </c>
      <c r="K40" s="73" t="n">
        <v>0.06681712962962963</v>
      </c>
      <c r="L40" s="73" t="n">
        <v>0.1508101851851852</v>
      </c>
      <c r="M40" s="73" t="n">
        <v>0.02667824074074074</v>
      </c>
      <c r="N40" s="73" t="n">
        <v>0.08246527777777778</v>
      </c>
      <c r="O40" s="73" t="n">
        <v>0.03131944444444444</v>
      </c>
      <c r="P40" s="73" t="n">
        <v>0.09575231481481482</v>
      </c>
    </row>
    <row r="41" ht="15.75" customHeight="1" s="45">
      <c r="A41" s="61" t="n">
        <v>46237</v>
      </c>
      <c r="B41" s="82" t="inlineStr">
        <is>
          <t>Pós-Projeto</t>
        </is>
      </c>
      <c r="C41" s="88" t="inlineStr">
        <is>
          <t>Tempo Médio — 🟠 Laranja (hh:mm)</t>
        </is>
      </c>
      <c r="D41" s="75" t="n">
        <v>0.006435185185185185</v>
      </c>
      <c r="E41" s="75" t="n">
        <v>0.01748842592592592</v>
      </c>
      <c r="F41" s="75" t="n">
        <v>0.007060185185185185</v>
      </c>
      <c r="G41" s="75" t="n">
        <v>0.006805555555555555</v>
      </c>
      <c r="H41" s="75" t="n">
        <v>0.003356481481481482</v>
      </c>
      <c r="I41" s="75" t="n">
        <v>0.005613425925925926</v>
      </c>
      <c r="J41" s="75" t="n">
        <v>0.009409722222222222</v>
      </c>
      <c r="K41" s="75" t="n">
        <v>0.01211805555555556</v>
      </c>
      <c r="L41" s="75" t="n">
        <v>0.0146875</v>
      </c>
      <c r="M41" s="75" t="n">
        <v>0.007997685185185186</v>
      </c>
      <c r="N41" s="75" t="n">
        <v>0.01599537037037037</v>
      </c>
      <c r="O41" s="75" t="n">
        <v>0.01128472222222222</v>
      </c>
      <c r="P41" s="75" t="n">
        <v>0.01832175925925926</v>
      </c>
    </row>
    <row r="42" ht="15.75" customHeight="1" s="45">
      <c r="A42" s="76" t="n">
        <v>46237</v>
      </c>
      <c r="B42" s="89" t="inlineStr">
        <is>
          <t>Pós-Projeto</t>
        </is>
      </c>
      <c r="C42" s="90" t="inlineStr">
        <is>
          <t>Tempo Médio — 🟢 Verde   (hh:mm)</t>
        </is>
      </c>
      <c r="D42" s="79" t="n">
        <v>0.04542824074074074</v>
      </c>
      <c r="E42" s="79" t="n">
        <v>0.1400231481481481</v>
      </c>
      <c r="F42" s="79" t="n">
        <v>0.04402777777777778</v>
      </c>
      <c r="G42" s="79" t="n">
        <v>0.07487268518518518</v>
      </c>
      <c r="H42" s="79" t="n">
        <v>0.06165509259259259</v>
      </c>
      <c r="I42" s="79" t="n">
        <v>0.08287037037037037</v>
      </c>
      <c r="J42" s="79" t="n">
        <v>0.05337962962962963</v>
      </c>
      <c r="K42" s="79" t="n">
        <v>0.124537037037037</v>
      </c>
      <c r="L42" s="79" t="n">
        <v>0.1555208333333333</v>
      </c>
      <c r="M42" s="79" t="n">
        <v>0.06013888888888889</v>
      </c>
      <c r="N42" s="79" t="n">
        <v>0.0981712962962963</v>
      </c>
      <c r="O42" s="79" t="n">
        <v>0.08274305555555556</v>
      </c>
      <c r="P42" s="79" t="n">
        <v>0.06347222222222222</v>
      </c>
    </row>
    <row r="43" ht="15.75" customHeight="1" s="45">
      <c r="A43" s="57" t="n">
        <v>46238</v>
      </c>
      <c r="B43" s="81" t="inlineStr">
        <is>
          <t>Pós-Projeto</t>
        </is>
      </c>
      <c r="C43" s="59" t="inlineStr">
        <is>
          <t>Acolhim. + Atend. Urgência + Atend. UPA</t>
        </is>
      </c>
      <c r="D43" s="60">
        <f>SUM(D44:D46)</f>
        <v/>
      </c>
      <c r="E43" s="60">
        <f>SUM(E44:E46)</f>
        <v/>
      </c>
      <c r="F43" s="60">
        <f>SUM(F44:F46)</f>
        <v/>
      </c>
      <c r="G43" s="60">
        <f>SUM(G44:G46)</f>
        <v/>
      </c>
      <c r="H43" s="60">
        <f>SUM(H44:H46)</f>
        <v/>
      </c>
      <c r="I43" s="60">
        <f>SUM(I44:I46)</f>
        <v/>
      </c>
      <c r="J43" s="60">
        <f>SUM(J44:J46)</f>
        <v/>
      </c>
      <c r="K43" s="60">
        <f>SUM(K44:K46)</f>
        <v/>
      </c>
      <c r="L43" s="60">
        <f>SUM(L44:L46)</f>
        <v/>
      </c>
      <c r="M43" s="60">
        <f>SUM(M44:M46)</f>
        <v/>
      </c>
      <c r="N43" s="60">
        <f>SUM(N44:N46)</f>
        <v/>
      </c>
      <c r="O43" s="60">
        <f>SUM(O44:O46)</f>
        <v/>
      </c>
      <c r="P43" s="60">
        <f>SUM(P44:P46)</f>
        <v/>
      </c>
    </row>
    <row r="44" ht="15.75" customHeight="1" s="45">
      <c r="A44" s="61" t="n">
        <v>46238</v>
      </c>
      <c r="B44" s="82" t="inlineStr">
        <is>
          <t>Pós-Projeto</t>
        </is>
      </c>
      <c r="C44" s="84" t="inlineStr">
        <is>
          <t>Acolhimento c/ Classif. de Risco</t>
        </is>
      </c>
      <c r="D44" s="66" t="n">
        <v>207</v>
      </c>
      <c r="E44" s="66" t="n">
        <v>159</v>
      </c>
      <c r="F44" s="66" t="n">
        <v>154</v>
      </c>
      <c r="G44" s="66" t="n">
        <v>134</v>
      </c>
      <c r="H44" s="66" t="n">
        <v>130</v>
      </c>
      <c r="I44" s="66" t="n">
        <v>192</v>
      </c>
      <c r="J44" s="66" t="n">
        <v>113</v>
      </c>
      <c r="K44" s="66" t="n">
        <v>283</v>
      </c>
      <c r="L44" s="66" t="n">
        <v>158</v>
      </c>
      <c r="M44" s="66" t="n">
        <v>210</v>
      </c>
      <c r="N44" s="66" t="n">
        <v>223</v>
      </c>
      <c r="O44" s="66" t="n">
        <v>241</v>
      </c>
      <c r="P44" s="66" t="n">
        <v>247</v>
      </c>
    </row>
    <row r="45" ht="15.75" customHeight="1" s="45">
      <c r="A45" s="61" t="n">
        <v>46238</v>
      </c>
      <c r="B45" s="82" t="inlineStr">
        <is>
          <t>Pós-Projeto</t>
        </is>
      </c>
      <c r="C45" s="83" t="inlineStr">
        <is>
          <t>Atend. Urgência Obs. ≤ 24h</t>
        </is>
      </c>
      <c r="D45" s="64" t="n">
        <v>29</v>
      </c>
      <c r="E45" s="64" t="n">
        <v>12</v>
      </c>
      <c r="F45" s="64" t="n">
        <v>17</v>
      </c>
      <c r="G45" s="64" t="n">
        <v>18</v>
      </c>
      <c r="H45" s="64" t="n">
        <v>14</v>
      </c>
      <c r="I45" s="64" t="n">
        <v>8</v>
      </c>
      <c r="J45" s="64" t="n">
        <v>3</v>
      </c>
      <c r="K45" s="64" t="n">
        <v>21</v>
      </c>
      <c r="L45" s="64" t="n">
        <v>53</v>
      </c>
      <c r="M45" s="64" t="n">
        <v>24</v>
      </c>
      <c r="N45" s="64" t="n">
        <v>47</v>
      </c>
      <c r="O45" s="64" t="n">
        <v>11</v>
      </c>
      <c r="P45" s="64" t="n">
        <v>12</v>
      </c>
    </row>
    <row r="46" ht="15.75" customHeight="1" s="45">
      <c r="A46" s="61" t="n">
        <v>46238</v>
      </c>
      <c r="B46" s="82" t="inlineStr">
        <is>
          <t>Pós-Projeto</t>
        </is>
      </c>
      <c r="C46" s="84" t="inlineStr">
        <is>
          <t>Atend. Médico em UPA</t>
        </is>
      </c>
      <c r="D46" s="66" t="n">
        <v>189</v>
      </c>
      <c r="E46" s="66" t="n">
        <v>112</v>
      </c>
      <c r="F46" s="66" t="n">
        <v>93</v>
      </c>
      <c r="G46" s="66" t="n">
        <v>61</v>
      </c>
      <c r="H46" s="66" t="n">
        <v>90</v>
      </c>
      <c r="I46" s="66" t="n">
        <v>123</v>
      </c>
      <c r="J46" s="66" t="n">
        <v>100</v>
      </c>
      <c r="K46" s="66" t="n">
        <v>256</v>
      </c>
      <c r="L46" s="66" t="n">
        <v>96</v>
      </c>
      <c r="M46" s="66" t="n">
        <v>162</v>
      </c>
      <c r="N46" s="66" t="n">
        <v>161</v>
      </c>
      <c r="O46" s="66" t="n">
        <v>161</v>
      </c>
      <c r="P46" s="66" t="n">
        <v>183</v>
      </c>
    </row>
    <row r="47" ht="15.75" customHeight="1" s="45">
      <c r="A47" s="61" t="n">
        <v>46238</v>
      </c>
      <c r="B47" s="82" t="inlineStr">
        <is>
          <t>Pós-Projeto</t>
        </is>
      </c>
      <c r="C47" s="83" t="inlineStr">
        <is>
          <t>Exames Laboratoriais</t>
        </is>
      </c>
      <c r="D47" s="64" t="n">
        <v>613</v>
      </c>
      <c r="E47" s="64" t="n">
        <v>521</v>
      </c>
      <c r="F47" s="64" t="n">
        <v>580</v>
      </c>
      <c r="G47" s="64" t="n">
        <v>364</v>
      </c>
      <c r="H47" s="64" t="n">
        <v>366</v>
      </c>
      <c r="I47" s="64" t="n">
        <v>593</v>
      </c>
      <c r="J47" s="64" t="n">
        <v>377</v>
      </c>
      <c r="K47" s="64" t="n">
        <v>957</v>
      </c>
      <c r="L47" s="64" t="n">
        <v>403</v>
      </c>
      <c r="M47" s="64" t="n">
        <v>501</v>
      </c>
      <c r="N47" s="64" t="n">
        <v>800</v>
      </c>
      <c r="O47" s="64" t="n">
        <v>346</v>
      </c>
      <c r="P47" s="64" t="n">
        <v>706</v>
      </c>
    </row>
    <row r="48" ht="15.75" customHeight="1" s="45">
      <c r="A48" s="61" t="n">
        <v>46238</v>
      </c>
      <c r="B48" s="82" t="inlineStr">
        <is>
          <t>Pós-Projeto</t>
        </is>
      </c>
      <c r="C48" s="84" t="inlineStr">
        <is>
          <t>Radiografias</t>
        </is>
      </c>
      <c r="D48" s="66" t="n">
        <v>32</v>
      </c>
      <c r="E48" s="66" t="n">
        <v>16</v>
      </c>
      <c r="F48" s="66" t="n">
        <v>22</v>
      </c>
      <c r="G48" s="66" t="n">
        <v>10</v>
      </c>
      <c r="H48" s="67" t="n">
        <v>0</v>
      </c>
      <c r="I48" s="66" t="n">
        <v>11</v>
      </c>
      <c r="J48" s="66" t="n">
        <v>16</v>
      </c>
      <c r="K48" s="66" t="n">
        <v>56</v>
      </c>
      <c r="L48" s="66" t="n">
        <v>15</v>
      </c>
      <c r="M48" s="66" t="n">
        <v>44</v>
      </c>
      <c r="N48" s="66" t="n">
        <v>50</v>
      </c>
      <c r="O48" s="66" t="n">
        <v>43</v>
      </c>
      <c r="P48" s="66" t="n">
        <v>44</v>
      </c>
    </row>
    <row r="49" ht="15.75" customHeight="1" s="45">
      <c r="A49" s="61" t="n">
        <v>46238</v>
      </c>
      <c r="B49" s="82" t="inlineStr">
        <is>
          <t>Pós-Projeto</t>
        </is>
      </c>
      <c r="C49" s="83" t="inlineStr">
        <is>
          <t>Eletrocardiogramas</t>
        </is>
      </c>
      <c r="D49" s="67" t="n">
        <v>0</v>
      </c>
      <c r="E49" s="64" t="n">
        <v>3</v>
      </c>
      <c r="F49" s="67" t="n">
        <v>0</v>
      </c>
      <c r="G49" s="64" t="n">
        <v>4</v>
      </c>
      <c r="H49" s="67" t="n">
        <v>0</v>
      </c>
      <c r="I49" s="67" t="n">
        <v>0</v>
      </c>
      <c r="J49" s="67" t="n">
        <v>0</v>
      </c>
      <c r="K49" s="64" t="n">
        <v>3</v>
      </c>
      <c r="L49" s="67" t="n">
        <v>0</v>
      </c>
      <c r="M49" s="67" t="n">
        <v>0</v>
      </c>
      <c r="N49" s="64" t="n">
        <v>16</v>
      </c>
      <c r="O49" s="67" t="n">
        <v>0</v>
      </c>
      <c r="P49" s="64" t="n">
        <v>16</v>
      </c>
    </row>
    <row r="50" ht="15.75" customHeight="1" s="45">
      <c r="A50" s="61" t="n">
        <v>46238</v>
      </c>
      <c r="B50" s="82" t="inlineStr">
        <is>
          <t>Pós-Projeto</t>
        </is>
      </c>
      <c r="C50" s="85" t="inlineStr">
        <is>
          <t>GAEs Abertas</t>
        </is>
      </c>
      <c r="D50" s="69" t="n">
        <v>214</v>
      </c>
      <c r="E50" s="69" t="n">
        <v>168</v>
      </c>
      <c r="F50" s="69" t="n">
        <v>158</v>
      </c>
      <c r="G50" s="69" t="n">
        <v>139</v>
      </c>
      <c r="H50" s="69" t="n">
        <v>133</v>
      </c>
      <c r="I50" s="69" t="n">
        <v>203</v>
      </c>
      <c r="J50" s="69" t="n">
        <v>117</v>
      </c>
      <c r="K50" s="69" t="n">
        <v>308</v>
      </c>
      <c r="L50" s="69" t="n">
        <v>165</v>
      </c>
      <c r="M50" s="69" t="n">
        <v>214</v>
      </c>
      <c r="N50" s="69" t="n">
        <v>229</v>
      </c>
      <c r="O50" s="69" t="n">
        <v>248</v>
      </c>
      <c r="P50" s="69" t="n">
        <v>257</v>
      </c>
    </row>
    <row r="51" ht="15.75" customHeight="1" s="45">
      <c r="A51" s="61" t="n">
        <v>46238</v>
      </c>
      <c r="B51" s="82" t="inlineStr">
        <is>
          <t>Pós-Projeto</t>
        </is>
      </c>
      <c r="C51" s="85" t="inlineStr">
        <is>
          <t>GAEs Classificadas</t>
        </is>
      </c>
      <c r="D51" s="69" t="n">
        <v>207</v>
      </c>
      <c r="E51" s="69" t="n">
        <v>160</v>
      </c>
      <c r="F51" s="69" t="n">
        <v>155</v>
      </c>
      <c r="G51" s="69" t="n">
        <v>134</v>
      </c>
      <c r="H51" s="69" t="n">
        <v>130</v>
      </c>
      <c r="I51" s="69" t="n">
        <v>193</v>
      </c>
      <c r="J51" s="69" t="n">
        <v>112</v>
      </c>
      <c r="K51" s="69" t="n">
        <v>282</v>
      </c>
      <c r="L51" s="69" t="n">
        <v>158</v>
      </c>
      <c r="M51" s="69" t="n">
        <v>209</v>
      </c>
      <c r="N51" s="69" t="n">
        <v>223</v>
      </c>
      <c r="O51" s="69" t="n">
        <v>241</v>
      </c>
      <c r="P51" s="69" t="n">
        <v>247</v>
      </c>
    </row>
    <row r="52" ht="15.75" customHeight="1" s="45">
      <c r="A52" s="61" t="n">
        <v>46238</v>
      </c>
      <c r="B52" s="82" t="inlineStr">
        <is>
          <t>Pós-Projeto</t>
        </is>
      </c>
      <c r="C52" s="86" t="inlineStr">
        <is>
          <t>Percentual de GAEs abertas classificadas</t>
        </is>
      </c>
      <c r="D52" s="71">
        <f>IFERROR(D51/D50,"-")</f>
        <v/>
      </c>
      <c r="E52" s="71">
        <f>IFERROR(E51/E50,"-")</f>
        <v/>
      </c>
      <c r="F52" s="71">
        <f>IFERROR(F51/F50,"-")</f>
        <v/>
      </c>
      <c r="G52" s="71">
        <f>IFERROR(G51/G50,"-")</f>
        <v/>
      </c>
      <c r="H52" s="71">
        <f>IFERROR(H51/H50,"-")</f>
        <v/>
      </c>
      <c r="I52" s="71">
        <f>IFERROR(I51/I50,"-")</f>
        <v/>
      </c>
      <c r="J52" s="71">
        <f>IFERROR(J51/J50,"-")</f>
        <v/>
      </c>
      <c r="K52" s="71">
        <f>IFERROR(K51/K50,"-")</f>
        <v/>
      </c>
      <c r="L52" s="71">
        <f>IFERROR(L51/L50,"-")</f>
        <v/>
      </c>
      <c r="M52" s="71">
        <f>IFERROR(M51/M50,"-")</f>
        <v/>
      </c>
      <c r="N52" s="71">
        <f>IFERROR(N51/N50,"-")</f>
        <v/>
      </c>
      <c r="O52" s="71">
        <f>IFERROR(O51/O50,"-")</f>
        <v/>
      </c>
      <c r="P52" s="71">
        <f>IFERROR(P51/P50,"-")</f>
        <v/>
      </c>
    </row>
    <row r="53" ht="15.75" customHeight="1" s="45">
      <c r="A53" s="61" t="n">
        <v>46238</v>
      </c>
      <c r="B53" s="82" t="inlineStr">
        <is>
          <t>Pós-Projeto</t>
        </is>
      </c>
      <c r="C53" s="87" t="inlineStr">
        <is>
          <t>Tempo Médio — 🟡 Amarelo (hh:mm)</t>
        </is>
      </c>
      <c r="D53" s="73" t="n">
        <v>0.040625</v>
      </c>
      <c r="E53" s="73" t="n">
        <v>0.1080555555555556</v>
      </c>
      <c r="F53" s="73" t="n">
        <v>0.05101851851851852</v>
      </c>
      <c r="G53" s="73" t="n">
        <v>0.08149305555555555</v>
      </c>
      <c r="H53" s="73" t="n">
        <v>0.03478009259259259</v>
      </c>
      <c r="I53" s="73" t="n">
        <v>0.02686342592592593</v>
      </c>
      <c r="J53" s="73" t="n">
        <v>0.03315972222222222</v>
      </c>
      <c r="K53" s="73" t="n">
        <v>0.02748842592592593</v>
      </c>
      <c r="L53" s="73" t="n">
        <v>0.1239351851851852</v>
      </c>
      <c r="M53" s="73" t="n">
        <v>0.01832175925925926</v>
      </c>
      <c r="N53" s="73" t="n">
        <v>0.0674074074074074</v>
      </c>
      <c r="O53" s="73" t="n">
        <v>0.03548611111111111</v>
      </c>
      <c r="P53" s="73" t="n">
        <v>0.06047453703703703</v>
      </c>
    </row>
    <row r="54" ht="15.75" customHeight="1" s="45">
      <c r="A54" s="61" t="n">
        <v>46238</v>
      </c>
      <c r="B54" s="82" t="inlineStr">
        <is>
          <t>Pós-Projeto</t>
        </is>
      </c>
      <c r="C54" s="88" t="inlineStr">
        <is>
          <t>Tempo Médio — 🟠 Laranja (hh:mm)</t>
        </is>
      </c>
      <c r="D54" s="75" t="n">
        <v>0.007569444444444445</v>
      </c>
      <c r="E54" s="75" t="n">
        <v>0.00619212962962963</v>
      </c>
      <c r="F54" s="75" t="n">
        <v>0.007326388888888889</v>
      </c>
      <c r="G54" s="75" t="n">
        <v>0.01071759259259259</v>
      </c>
      <c r="H54" s="75" t="n">
        <v>0.005752314814814815</v>
      </c>
      <c r="I54" s="75" t="n">
        <v>0.007164351851851851</v>
      </c>
      <c r="J54" s="75" t="n">
        <v>0.01350694444444444</v>
      </c>
      <c r="K54" s="75" t="n">
        <v>0.01002314814814815</v>
      </c>
      <c r="L54" s="75" t="n">
        <v>0.02159722222222222</v>
      </c>
      <c r="M54" s="75" t="n">
        <v>0.008530092592592593</v>
      </c>
      <c r="N54" s="75" t="n">
        <v>0.01386574074074074</v>
      </c>
      <c r="O54" s="75" t="n">
        <v>0.0119212962962963</v>
      </c>
      <c r="P54" s="75" t="n">
        <v>0.01038194444444444</v>
      </c>
    </row>
    <row r="55" ht="15.75" customHeight="1" s="45">
      <c r="A55" s="76" t="n">
        <v>46238</v>
      </c>
      <c r="B55" s="89" t="inlineStr">
        <is>
          <t>Pós-Projeto</t>
        </is>
      </c>
      <c r="C55" s="90" t="inlineStr">
        <is>
          <t>Tempo Médio — 🟢 Verde   (hh:mm)</t>
        </is>
      </c>
      <c r="D55" s="79" t="n">
        <v>0.034375</v>
      </c>
      <c r="E55" s="79" t="n">
        <v>0.166724537037037</v>
      </c>
      <c r="F55" s="79" t="n">
        <v>0.07126157407407407</v>
      </c>
      <c r="G55" s="79" t="n">
        <v>0.08291666666666667</v>
      </c>
      <c r="H55" s="79" t="n">
        <v>0.09335648148148148</v>
      </c>
      <c r="I55" s="79" t="n">
        <v>0.08340277777777778</v>
      </c>
      <c r="J55" s="79" t="n">
        <v>0.03792824074074074</v>
      </c>
      <c r="K55" s="79" t="n">
        <v>0.04690972222222222</v>
      </c>
      <c r="L55" s="79" t="n">
        <v>0.1272337962962963</v>
      </c>
      <c r="M55" s="79" t="n">
        <v>0.05725694444444444</v>
      </c>
      <c r="N55" s="79" t="n">
        <v>0.13</v>
      </c>
      <c r="O55" s="79" t="n">
        <v>0.06979166666666667</v>
      </c>
      <c r="P55" s="79" t="n">
        <v>0.08594907407407408</v>
      </c>
    </row>
    <row r="56" ht="15.75" customHeight="1" s="45">
      <c r="A56" s="57" t="n">
        <v>46239</v>
      </c>
      <c r="B56" s="81" t="inlineStr">
        <is>
          <t>Pós-Projeto</t>
        </is>
      </c>
      <c r="C56" s="59" t="inlineStr">
        <is>
          <t>Acolhim. + Atend. Urgência + Atend. UPA</t>
        </is>
      </c>
      <c r="D56" s="60">
        <f>SUM(D57:D59)</f>
        <v/>
      </c>
      <c r="E56" s="60">
        <f>SUM(E57:E59)</f>
        <v/>
      </c>
      <c r="F56" s="60">
        <f>SUM(F57:F59)</f>
        <v/>
      </c>
      <c r="G56" s="60">
        <f>SUM(G57:G59)</f>
        <v/>
      </c>
      <c r="H56" s="60">
        <f>SUM(H57:H59)</f>
        <v/>
      </c>
      <c r="I56" s="60">
        <f>SUM(I57:I59)</f>
        <v/>
      </c>
      <c r="J56" s="60">
        <f>SUM(J57:J59)</f>
        <v/>
      </c>
      <c r="K56" s="60">
        <f>SUM(K57:K59)</f>
        <v/>
      </c>
      <c r="L56" s="60">
        <f>SUM(L57:L59)</f>
        <v/>
      </c>
      <c r="M56" s="60">
        <f>SUM(M57:M59)</f>
        <v/>
      </c>
      <c r="N56" s="60">
        <f>SUM(N57:N59)</f>
        <v/>
      </c>
      <c r="O56" s="60">
        <f>SUM(O57:O59)</f>
        <v/>
      </c>
      <c r="P56" s="60">
        <f>SUM(P57:P59)</f>
        <v/>
      </c>
    </row>
    <row r="57" ht="15.75" customHeight="1" s="45">
      <c r="A57" s="61" t="n">
        <v>46239</v>
      </c>
      <c r="B57" s="82" t="inlineStr">
        <is>
          <t>Pós-Projeto</t>
        </is>
      </c>
      <c r="C57" s="83" t="inlineStr">
        <is>
          <t>Acolhimento c/ Classif. de Risco</t>
        </is>
      </c>
      <c r="D57" s="64" t="n">
        <v>206</v>
      </c>
      <c r="E57" s="64" t="n">
        <v>136</v>
      </c>
      <c r="F57" s="64" t="n">
        <v>176</v>
      </c>
      <c r="G57" s="64" t="n">
        <v>155</v>
      </c>
      <c r="H57" s="64" t="n">
        <v>125</v>
      </c>
      <c r="I57" s="64" t="n">
        <v>181</v>
      </c>
      <c r="J57" s="64" t="n">
        <v>93</v>
      </c>
      <c r="K57" s="64" t="n">
        <v>283</v>
      </c>
      <c r="L57" s="64" t="n">
        <v>115</v>
      </c>
      <c r="M57" s="64" t="n">
        <v>223</v>
      </c>
      <c r="N57" s="64" t="n">
        <v>203</v>
      </c>
      <c r="O57" s="64" t="n">
        <v>236</v>
      </c>
      <c r="P57" s="64" t="n">
        <v>234</v>
      </c>
    </row>
    <row r="58" ht="15.75" customHeight="1" s="45">
      <c r="A58" s="61" t="n">
        <v>46239</v>
      </c>
      <c r="B58" s="82" t="inlineStr">
        <is>
          <t>Pós-Projeto</t>
        </is>
      </c>
      <c r="C58" s="84" t="inlineStr">
        <is>
          <t>Atend. Urgência Obs. ≤ 24h</t>
        </is>
      </c>
      <c r="D58" s="66" t="n">
        <v>19</v>
      </c>
      <c r="E58" s="66" t="n">
        <v>14</v>
      </c>
      <c r="F58" s="66" t="n">
        <v>23</v>
      </c>
      <c r="G58" s="66" t="n">
        <v>18</v>
      </c>
      <c r="H58" s="66" t="n">
        <v>11</v>
      </c>
      <c r="I58" s="66" t="n">
        <v>18</v>
      </c>
      <c r="J58" s="66" t="n">
        <v>4</v>
      </c>
      <c r="K58" s="66" t="n">
        <v>31</v>
      </c>
      <c r="L58" s="66" t="n">
        <v>42</v>
      </c>
      <c r="M58" s="66" t="n">
        <v>57</v>
      </c>
      <c r="N58" s="66" t="n">
        <v>36</v>
      </c>
      <c r="O58" s="66" t="n">
        <v>32</v>
      </c>
      <c r="P58" s="66" t="n">
        <v>13</v>
      </c>
    </row>
    <row r="59" ht="15.75" customHeight="1" s="45">
      <c r="A59" s="61" t="n">
        <v>46239</v>
      </c>
      <c r="B59" s="82" t="inlineStr">
        <is>
          <t>Pós-Projeto</t>
        </is>
      </c>
      <c r="C59" s="83" t="inlineStr">
        <is>
          <t>Atend. Médico em UPA</t>
        </is>
      </c>
      <c r="D59" s="64" t="n">
        <v>204</v>
      </c>
      <c r="E59" s="64" t="n">
        <v>117</v>
      </c>
      <c r="F59" s="64" t="n">
        <v>135</v>
      </c>
      <c r="G59" s="64" t="n">
        <v>92</v>
      </c>
      <c r="H59" s="64" t="n">
        <v>82</v>
      </c>
      <c r="I59" s="64" t="n">
        <v>174</v>
      </c>
      <c r="J59" s="64" t="n">
        <v>62</v>
      </c>
      <c r="K59" s="64" t="n">
        <v>254</v>
      </c>
      <c r="L59" s="64" t="n">
        <v>111</v>
      </c>
      <c r="M59" s="64" t="n">
        <v>155</v>
      </c>
      <c r="N59" s="64" t="n">
        <v>158</v>
      </c>
      <c r="O59" s="64" t="n">
        <v>193</v>
      </c>
      <c r="P59" s="64" t="n">
        <v>169</v>
      </c>
    </row>
    <row r="60" ht="15.75" customHeight="1" s="45">
      <c r="A60" s="61" t="n">
        <v>46239</v>
      </c>
      <c r="B60" s="82" t="inlineStr">
        <is>
          <t>Pós-Projeto</t>
        </is>
      </c>
      <c r="C60" s="84" t="inlineStr">
        <is>
          <t>Exames Laboratoriais</t>
        </is>
      </c>
      <c r="D60" s="66" t="n">
        <v>499</v>
      </c>
      <c r="E60" s="66" t="n">
        <v>451</v>
      </c>
      <c r="F60" s="66" t="n">
        <v>537</v>
      </c>
      <c r="G60" s="66" t="n">
        <v>213</v>
      </c>
      <c r="H60" s="66" t="n">
        <v>392</v>
      </c>
      <c r="I60" s="66" t="n">
        <v>745</v>
      </c>
      <c r="J60" s="66" t="n">
        <v>254</v>
      </c>
      <c r="K60" s="66" t="n">
        <v>862</v>
      </c>
      <c r="L60" s="66" t="n">
        <v>628</v>
      </c>
      <c r="M60" s="66" t="n">
        <v>618</v>
      </c>
      <c r="N60" s="66" t="n">
        <v>586</v>
      </c>
      <c r="O60" s="66" t="n">
        <v>496</v>
      </c>
      <c r="P60" s="66" t="n">
        <v>522</v>
      </c>
    </row>
    <row r="61" ht="15.75" customHeight="1" s="45">
      <c r="A61" s="61" t="n">
        <v>46239</v>
      </c>
      <c r="B61" s="82" t="inlineStr">
        <is>
          <t>Pós-Projeto</t>
        </is>
      </c>
      <c r="C61" s="83" t="inlineStr">
        <is>
          <t>Radiografias</t>
        </is>
      </c>
      <c r="D61" s="64" t="n">
        <v>33</v>
      </c>
      <c r="E61" s="64" t="n">
        <v>22</v>
      </c>
      <c r="F61" s="64" t="n">
        <v>24</v>
      </c>
      <c r="G61" s="64" t="n">
        <v>7</v>
      </c>
      <c r="H61" s="67" t="n">
        <v>0</v>
      </c>
      <c r="I61" s="64" t="n">
        <v>15</v>
      </c>
      <c r="J61" s="64" t="n">
        <v>5</v>
      </c>
      <c r="K61" s="64" t="n">
        <v>45</v>
      </c>
      <c r="L61" s="64" t="n">
        <v>26</v>
      </c>
      <c r="M61" s="64" t="n">
        <v>39</v>
      </c>
      <c r="N61" s="64" t="n">
        <v>22</v>
      </c>
      <c r="O61" s="64" t="n">
        <v>39</v>
      </c>
      <c r="P61" s="64" t="n">
        <v>51</v>
      </c>
    </row>
    <row r="62" ht="15.75" customHeight="1" s="45">
      <c r="A62" s="61" t="n">
        <v>46239</v>
      </c>
      <c r="B62" s="82" t="inlineStr">
        <is>
          <t>Pós-Projeto</t>
        </is>
      </c>
      <c r="C62" s="84" t="inlineStr">
        <is>
          <t>Eletrocardiogramas</t>
        </is>
      </c>
      <c r="D62" s="67" t="n">
        <v>0</v>
      </c>
      <c r="E62" s="66" t="n">
        <v>2</v>
      </c>
      <c r="F62" s="67" t="n">
        <v>0</v>
      </c>
      <c r="G62" s="66" t="n">
        <v>3</v>
      </c>
      <c r="H62" s="67" t="n">
        <v>0</v>
      </c>
      <c r="I62" s="67" t="n">
        <v>0</v>
      </c>
      <c r="J62" s="67" t="n">
        <v>0</v>
      </c>
      <c r="K62" s="66" t="n">
        <v>14</v>
      </c>
      <c r="L62" s="67" t="n">
        <v>0</v>
      </c>
      <c r="M62" s="67" t="n">
        <v>0</v>
      </c>
      <c r="N62" s="66" t="n">
        <v>14</v>
      </c>
      <c r="O62" s="67" t="n">
        <v>0</v>
      </c>
      <c r="P62" s="66" t="n">
        <v>5</v>
      </c>
    </row>
    <row r="63" ht="15.75" customHeight="1" s="45">
      <c r="A63" s="61" t="n">
        <v>46239</v>
      </c>
      <c r="B63" s="82" t="inlineStr">
        <is>
          <t>Pós-Projeto</t>
        </is>
      </c>
      <c r="C63" s="85" t="inlineStr">
        <is>
          <t>GAEs Abertas</t>
        </is>
      </c>
      <c r="D63" s="69" t="n">
        <v>219</v>
      </c>
      <c r="E63" s="69" t="n">
        <v>139</v>
      </c>
      <c r="F63" s="69" t="n">
        <v>178</v>
      </c>
      <c r="G63" s="69" t="n">
        <v>157</v>
      </c>
      <c r="H63" s="69" t="n">
        <v>129</v>
      </c>
      <c r="I63" s="69" t="n">
        <v>188</v>
      </c>
      <c r="J63" s="69" t="n">
        <v>99</v>
      </c>
      <c r="K63" s="69" t="n">
        <v>295</v>
      </c>
      <c r="L63" s="69" t="n">
        <v>121</v>
      </c>
      <c r="M63" s="69" t="n">
        <v>235</v>
      </c>
      <c r="N63" s="69" t="n">
        <v>210</v>
      </c>
      <c r="O63" s="69" t="n">
        <v>241</v>
      </c>
      <c r="P63" s="69" t="n">
        <v>240</v>
      </c>
    </row>
    <row r="64" ht="15.75" customHeight="1" s="45">
      <c r="A64" s="61" t="n">
        <v>46239</v>
      </c>
      <c r="B64" s="82" t="inlineStr">
        <is>
          <t>Pós-Projeto</t>
        </is>
      </c>
      <c r="C64" s="85" t="inlineStr">
        <is>
          <t>GAEs Classificadas</t>
        </is>
      </c>
      <c r="D64" s="69" t="n">
        <v>206</v>
      </c>
      <c r="E64" s="69" t="n">
        <v>135</v>
      </c>
      <c r="F64" s="69" t="n">
        <v>176</v>
      </c>
      <c r="G64" s="69" t="n">
        <v>155</v>
      </c>
      <c r="H64" s="69" t="n">
        <v>126</v>
      </c>
      <c r="I64" s="69" t="n">
        <v>182</v>
      </c>
      <c r="J64" s="69" t="n">
        <v>96</v>
      </c>
      <c r="K64" s="69" t="n">
        <v>281</v>
      </c>
      <c r="L64" s="69" t="n">
        <v>114</v>
      </c>
      <c r="M64" s="69" t="n">
        <v>224</v>
      </c>
      <c r="N64" s="69" t="n">
        <v>204</v>
      </c>
      <c r="O64" s="69" t="n">
        <v>237</v>
      </c>
      <c r="P64" s="69" t="n">
        <v>234</v>
      </c>
    </row>
    <row r="65" ht="15.75" customHeight="1" s="45">
      <c r="A65" s="61" t="n">
        <v>46239</v>
      </c>
      <c r="B65" s="82" t="inlineStr">
        <is>
          <t>Pós-Projeto</t>
        </is>
      </c>
      <c r="C65" s="86" t="inlineStr">
        <is>
          <t>Percentual de GAEs abertas classificadas</t>
        </is>
      </c>
      <c r="D65" s="71">
        <f>IFERROR(D64/D63,"-")</f>
        <v/>
      </c>
      <c r="E65" s="71">
        <f>IFERROR(E64/E63,"-")</f>
        <v/>
      </c>
      <c r="F65" s="71">
        <f>IFERROR(F64/F63,"-")</f>
        <v/>
      </c>
      <c r="G65" s="71">
        <f>IFERROR(G64/G63,"-")</f>
        <v/>
      </c>
      <c r="H65" s="71">
        <f>IFERROR(H64/H63,"-")</f>
        <v/>
      </c>
      <c r="I65" s="71">
        <f>IFERROR(I64/I63,"-")</f>
        <v/>
      </c>
      <c r="J65" s="71">
        <f>IFERROR(J64/J63,"-")</f>
        <v/>
      </c>
      <c r="K65" s="71">
        <f>IFERROR(K64/K63,"-")</f>
        <v/>
      </c>
      <c r="L65" s="71">
        <f>IFERROR(L64/L63,"-")</f>
        <v/>
      </c>
      <c r="M65" s="71">
        <f>IFERROR(M64/M63,"-")</f>
        <v/>
      </c>
      <c r="N65" s="71">
        <f>IFERROR(N64/N63,"-")</f>
        <v/>
      </c>
      <c r="O65" s="71">
        <f>IFERROR(O64/O63,"-")</f>
        <v/>
      </c>
      <c r="P65" s="71">
        <f>IFERROR(P64/P63,"-")</f>
        <v/>
      </c>
    </row>
    <row r="66" ht="15.75" customHeight="1" s="45">
      <c r="A66" s="61" t="n">
        <v>46239</v>
      </c>
      <c r="B66" s="82" t="inlineStr">
        <is>
          <t>Pós-Projeto</t>
        </is>
      </c>
      <c r="C66" s="87" t="inlineStr">
        <is>
          <t>Tempo Médio — 🟡 Amarelo (hh:mm)</t>
        </is>
      </c>
      <c r="D66" s="73" t="n">
        <v>0.01810185185185185</v>
      </c>
      <c r="E66" s="73" t="n">
        <v>0.02237268518518519</v>
      </c>
      <c r="F66" s="73" t="n">
        <v>0.05641203703703704</v>
      </c>
      <c r="G66" s="73" t="n">
        <v>0.03702546296296296</v>
      </c>
      <c r="H66" s="73" t="n">
        <v>0.09171296296296297</v>
      </c>
      <c r="I66" s="73" t="n">
        <v>0.0196412037037037</v>
      </c>
      <c r="J66" s="73" t="n">
        <v>0.01606481481481482</v>
      </c>
      <c r="K66" s="73" t="n">
        <v>0.05731481481481481</v>
      </c>
      <c r="L66" s="73" t="n">
        <v>0.0690162037037037</v>
      </c>
      <c r="M66" s="73" t="n">
        <v>0.02675925925925926</v>
      </c>
      <c r="N66" s="73" t="n">
        <v>0.07086805555555556</v>
      </c>
      <c r="O66" s="73" t="n">
        <v>0.05799768518518519</v>
      </c>
      <c r="P66" s="73" t="n">
        <v>0.05263888888888889</v>
      </c>
    </row>
    <row r="67" ht="15.75" customHeight="1" s="45">
      <c r="A67" s="61" t="n">
        <v>46239</v>
      </c>
      <c r="B67" s="82" t="inlineStr">
        <is>
          <t>Pós-Projeto</t>
        </is>
      </c>
      <c r="C67" s="88" t="inlineStr">
        <is>
          <t>Tempo Médio — 🟠 Laranja (hh:mm)</t>
        </is>
      </c>
      <c r="D67" s="75" t="n">
        <v>0.005625</v>
      </c>
      <c r="E67" s="75" t="n">
        <v>0.006030092592592593</v>
      </c>
      <c r="F67" s="75" t="n">
        <v>0.0078125</v>
      </c>
      <c r="G67" s="75" t="n">
        <v>0.005474537037037037</v>
      </c>
      <c r="H67" s="75" t="n">
        <v>0.01135416666666667</v>
      </c>
      <c r="I67" s="75" t="n">
        <v>0.00474537037037037</v>
      </c>
      <c r="J67" s="75" t="n">
        <v>0.01829861111111111</v>
      </c>
      <c r="K67" s="75" t="n">
        <v>0.01275462962962963</v>
      </c>
      <c r="L67" s="75" t="n">
        <v>0.01905092592592593</v>
      </c>
      <c r="M67" s="75" t="n">
        <v>0.01587962962962963</v>
      </c>
      <c r="N67" s="75" t="n">
        <v>0.0172337962962963</v>
      </c>
      <c r="O67" s="75" t="n">
        <v>0.01190972222222222</v>
      </c>
      <c r="P67" s="75" t="n">
        <v>0.01144675925925926</v>
      </c>
    </row>
    <row r="68" ht="15.75" customHeight="1" s="45">
      <c r="A68" s="76" t="n">
        <v>46239</v>
      </c>
      <c r="B68" s="82" t="inlineStr">
        <is>
          <t>Pós-Projeto</t>
        </is>
      </c>
      <c r="C68" s="91" t="inlineStr">
        <is>
          <t>Tempo Médio — 🟢 Verde   (hh:mm)</t>
        </is>
      </c>
      <c r="D68" s="79" t="n">
        <v>0.05368055555555556</v>
      </c>
      <c r="E68" s="79" t="n">
        <v>0.08693287037037037</v>
      </c>
      <c r="F68" s="79" t="n">
        <v>0.06972222222222223</v>
      </c>
      <c r="G68" s="79" t="n">
        <v>0.1235763888888889</v>
      </c>
      <c r="H68" s="79" t="n">
        <v>0.1006828703703704</v>
      </c>
      <c r="I68" s="79" t="n">
        <v>0.07269675925925925</v>
      </c>
      <c r="J68" s="79" t="n">
        <v>0.05871527777777778</v>
      </c>
      <c r="K68" s="79" t="n">
        <v>0.07484953703703703</v>
      </c>
      <c r="L68" s="79" t="n">
        <v>0.1032986111111111</v>
      </c>
      <c r="M68" s="79" t="n">
        <v>0.08010416666666667</v>
      </c>
      <c r="N68" s="79" t="n">
        <v>0.08908564814814815</v>
      </c>
      <c r="O68" s="79" t="n">
        <v>0.07719907407407407</v>
      </c>
      <c r="P68" s="79" t="n">
        <v>0.07137731481481481</v>
      </c>
    </row>
    <row r="69" ht="15.75" customHeight="1" s="45">
      <c r="A69" s="57" t="n">
        <v>46240</v>
      </c>
      <c r="B69" s="81" t="inlineStr">
        <is>
          <t>Pós-Projeto</t>
        </is>
      </c>
      <c r="C69" s="59" t="inlineStr">
        <is>
          <t>Acolhim. + Atend. Urgência + Atend. UPA</t>
        </is>
      </c>
      <c r="D69" s="60">
        <f>SUM(D70:D72)</f>
        <v/>
      </c>
      <c r="E69" s="60">
        <f>SUM(E70:E72)</f>
        <v/>
      </c>
      <c r="F69" s="60">
        <f>SUM(F70:F72)</f>
        <v/>
      </c>
      <c r="G69" s="60">
        <f>SUM(G70:G72)</f>
        <v/>
      </c>
      <c r="H69" s="60">
        <f>SUM(H70:H72)</f>
        <v/>
      </c>
      <c r="I69" s="60">
        <f>SUM(I70:I72)</f>
        <v/>
      </c>
      <c r="J69" s="60">
        <f>SUM(J70:J72)</f>
        <v/>
      </c>
      <c r="K69" s="60">
        <f>SUM(K70:K72)</f>
        <v/>
      </c>
      <c r="L69" s="60">
        <f>SUM(L70:L72)</f>
        <v/>
      </c>
      <c r="M69" s="60">
        <f>SUM(M70:M72)</f>
        <v/>
      </c>
      <c r="N69" s="60">
        <f>SUM(N70:N72)</f>
        <v/>
      </c>
      <c r="O69" s="60">
        <f>SUM(O70:O72)</f>
        <v/>
      </c>
      <c r="P69" s="60">
        <f>SUM(P70:P72)</f>
        <v/>
      </c>
    </row>
    <row r="70" ht="15.75" customHeight="1" s="45">
      <c r="A70" s="61" t="n">
        <v>46240</v>
      </c>
      <c r="B70" s="82" t="inlineStr">
        <is>
          <t>Pós-Projeto</t>
        </is>
      </c>
      <c r="C70" s="83" t="inlineStr">
        <is>
          <t>Acolhimento c/ Classif. de Risco</t>
        </is>
      </c>
      <c r="D70" s="66" t="n">
        <v>202</v>
      </c>
      <c r="E70" s="64" t="n">
        <v>151</v>
      </c>
      <c r="F70" s="64" t="n">
        <v>150</v>
      </c>
      <c r="G70" s="64" t="n">
        <v>148</v>
      </c>
      <c r="H70" s="64" t="n">
        <v>124</v>
      </c>
      <c r="I70" s="64" t="n">
        <v>202</v>
      </c>
      <c r="J70" s="64" t="n">
        <v>103</v>
      </c>
      <c r="K70" s="64" t="n">
        <v>260</v>
      </c>
      <c r="L70" s="64" t="n">
        <v>146</v>
      </c>
      <c r="M70" s="64" t="n">
        <v>199</v>
      </c>
      <c r="N70" s="64" t="n">
        <v>183</v>
      </c>
      <c r="O70" s="64" t="n">
        <v>250</v>
      </c>
      <c r="P70" s="64" t="n">
        <v>257</v>
      </c>
    </row>
    <row r="71" ht="15.75" customHeight="1" s="45">
      <c r="A71" s="61" t="n">
        <v>46240</v>
      </c>
      <c r="B71" s="82" t="inlineStr">
        <is>
          <t>Pós-Projeto</t>
        </is>
      </c>
      <c r="C71" s="84" t="inlineStr">
        <is>
          <t>Atend. Urgência Obs. ≤ 24h</t>
        </is>
      </c>
      <c r="D71" s="64" t="n">
        <v>11</v>
      </c>
      <c r="E71" s="66" t="n">
        <v>20</v>
      </c>
      <c r="F71" s="66" t="n">
        <v>26</v>
      </c>
      <c r="G71" s="66" t="n">
        <v>22</v>
      </c>
      <c r="H71" s="66" t="n">
        <v>21</v>
      </c>
      <c r="I71" s="66" t="n">
        <v>7</v>
      </c>
      <c r="J71" s="66" t="n">
        <v>7</v>
      </c>
      <c r="K71" s="66" t="n">
        <v>26</v>
      </c>
      <c r="L71" s="66" t="n">
        <v>54</v>
      </c>
      <c r="M71" s="66" t="n">
        <v>33</v>
      </c>
      <c r="N71" s="66" t="n">
        <v>47</v>
      </c>
      <c r="O71" s="66" t="n">
        <v>10</v>
      </c>
      <c r="P71" s="66" t="n">
        <v>48</v>
      </c>
    </row>
    <row r="72" ht="15.75" customHeight="1" s="45">
      <c r="A72" s="61" t="n">
        <v>46240</v>
      </c>
      <c r="B72" s="82" t="inlineStr">
        <is>
          <t>Pós-Projeto</t>
        </is>
      </c>
      <c r="C72" s="83" t="inlineStr">
        <is>
          <t>Atend. Médico em UPA</t>
        </is>
      </c>
      <c r="D72" s="66" t="n">
        <v>159</v>
      </c>
      <c r="E72" s="64" t="n">
        <v>58</v>
      </c>
      <c r="F72" s="64" t="n">
        <v>116</v>
      </c>
      <c r="G72" s="64" t="n">
        <v>103</v>
      </c>
      <c r="H72" s="64" t="n">
        <v>101</v>
      </c>
      <c r="I72" s="64" t="n">
        <v>175</v>
      </c>
      <c r="J72" s="64" t="n">
        <v>83</v>
      </c>
      <c r="K72" s="64" t="n">
        <v>245</v>
      </c>
      <c r="L72" s="64" t="n">
        <v>122</v>
      </c>
      <c r="M72" s="64" t="n">
        <v>144</v>
      </c>
      <c r="N72" s="64" t="n">
        <v>155</v>
      </c>
      <c r="O72" s="64" t="n">
        <v>213</v>
      </c>
      <c r="P72" s="64" t="n">
        <v>201</v>
      </c>
    </row>
    <row r="73" ht="15.75" customHeight="1" s="45">
      <c r="A73" s="61" t="n">
        <v>46240</v>
      </c>
      <c r="B73" s="82" t="inlineStr">
        <is>
          <t>Pós-Projeto</t>
        </is>
      </c>
      <c r="C73" s="84" t="inlineStr">
        <is>
          <t>Exames Laboratoriais</t>
        </is>
      </c>
      <c r="D73" s="64" t="n">
        <v>612</v>
      </c>
      <c r="E73" s="66" t="n">
        <v>465</v>
      </c>
      <c r="F73" s="66" t="n">
        <v>599</v>
      </c>
      <c r="G73" s="66" t="n">
        <v>484</v>
      </c>
      <c r="H73" s="66" t="n">
        <v>378</v>
      </c>
      <c r="I73" s="66" t="n">
        <v>669</v>
      </c>
      <c r="J73" s="66" t="n">
        <v>279</v>
      </c>
      <c r="K73" s="66" t="n">
        <v>804</v>
      </c>
      <c r="L73" s="66" t="n">
        <v>586</v>
      </c>
      <c r="M73" s="66" t="n">
        <v>663</v>
      </c>
      <c r="N73" s="66" t="n">
        <v>654</v>
      </c>
      <c r="O73" s="66" t="n">
        <v>433</v>
      </c>
      <c r="P73" s="66" t="n">
        <v>754</v>
      </c>
    </row>
    <row r="74" ht="15.75" customHeight="1" s="45">
      <c r="A74" s="61" t="n">
        <v>46240</v>
      </c>
      <c r="B74" s="82" t="inlineStr">
        <is>
          <t>Pós-Projeto</t>
        </is>
      </c>
      <c r="C74" s="83" t="inlineStr">
        <is>
          <t>Radiografias</t>
        </is>
      </c>
      <c r="D74" s="66" t="n">
        <v>27</v>
      </c>
      <c r="E74" s="64" t="n">
        <v>14</v>
      </c>
      <c r="F74" s="64" t="n">
        <v>34</v>
      </c>
      <c r="G74" s="64" t="n">
        <v>21</v>
      </c>
      <c r="H74" s="67" t="n">
        <v>0</v>
      </c>
      <c r="I74" s="64" t="n">
        <v>30</v>
      </c>
      <c r="J74" s="64" t="n">
        <v>16</v>
      </c>
      <c r="K74" s="64" t="n">
        <v>23</v>
      </c>
      <c r="L74" s="64" t="n">
        <v>21</v>
      </c>
      <c r="M74" s="64" t="n">
        <v>44</v>
      </c>
      <c r="N74" s="64" t="n">
        <v>30</v>
      </c>
      <c r="O74" s="64" t="n">
        <v>32</v>
      </c>
      <c r="P74" s="64" t="n">
        <v>34</v>
      </c>
    </row>
    <row r="75" ht="15.75" customHeight="1" s="45">
      <c r="A75" s="61" t="n">
        <v>46240</v>
      </c>
      <c r="B75" s="82" t="inlineStr">
        <is>
          <t>Pós-Projeto</t>
        </is>
      </c>
      <c r="C75" s="84" t="inlineStr">
        <is>
          <t>Eletrocardiogramas</t>
        </is>
      </c>
      <c r="D75" s="64" t="n">
        <v>1</v>
      </c>
      <c r="E75" s="67" t="n">
        <v>0</v>
      </c>
      <c r="F75" s="67" t="n">
        <v>0</v>
      </c>
      <c r="G75" s="66" t="n">
        <v>2</v>
      </c>
      <c r="H75" s="67" t="n">
        <v>0</v>
      </c>
      <c r="I75" s="66" t="n">
        <v>1</v>
      </c>
      <c r="J75" s="67" t="n">
        <v>0</v>
      </c>
      <c r="K75" s="66" t="n">
        <v>1</v>
      </c>
      <c r="L75" s="67" t="n">
        <v>0</v>
      </c>
      <c r="M75" s="66" t="n">
        <v>2</v>
      </c>
      <c r="N75" s="66" t="n">
        <v>5</v>
      </c>
      <c r="O75" s="67" t="n">
        <v>0</v>
      </c>
      <c r="P75" s="66" t="n">
        <v>12</v>
      </c>
    </row>
    <row r="76" ht="15.75" customHeight="1" s="45">
      <c r="A76" s="61" t="n">
        <v>46240</v>
      </c>
      <c r="B76" s="82" t="inlineStr">
        <is>
          <t>Pós-Projeto</t>
        </is>
      </c>
      <c r="C76" s="85" t="inlineStr">
        <is>
          <t>GAEs Abertas</t>
        </is>
      </c>
      <c r="D76" s="69" t="n">
        <v>221</v>
      </c>
      <c r="E76" s="69" t="n">
        <v>158</v>
      </c>
      <c r="F76" s="69" t="n">
        <v>155</v>
      </c>
      <c r="G76" s="69" t="n">
        <v>154</v>
      </c>
      <c r="H76" s="69" t="n">
        <v>125</v>
      </c>
      <c r="I76" s="69" t="n">
        <v>215</v>
      </c>
      <c r="J76" s="69" t="n">
        <v>104</v>
      </c>
      <c r="K76" s="69" t="n">
        <v>280</v>
      </c>
      <c r="L76" s="69" t="n">
        <v>156</v>
      </c>
      <c r="M76" s="69" t="n">
        <v>208</v>
      </c>
      <c r="N76" s="69" t="n">
        <v>203</v>
      </c>
      <c r="O76" s="69" t="n">
        <v>256</v>
      </c>
      <c r="P76" s="69" t="n">
        <v>265</v>
      </c>
    </row>
    <row r="77" ht="15.75" customHeight="1" s="45">
      <c r="A77" s="61" t="n">
        <v>46240</v>
      </c>
      <c r="B77" s="82" t="inlineStr">
        <is>
          <t>Pós-Projeto</t>
        </is>
      </c>
      <c r="C77" s="85" t="inlineStr">
        <is>
          <t>GAEs Classificadas</t>
        </is>
      </c>
      <c r="D77" s="69" t="n">
        <v>203</v>
      </c>
      <c r="E77" s="69" t="n">
        <v>153</v>
      </c>
      <c r="F77" s="69" t="n">
        <v>150</v>
      </c>
      <c r="G77" s="69" t="n">
        <v>151</v>
      </c>
      <c r="H77" s="69" t="n">
        <v>122</v>
      </c>
      <c r="I77" s="69" t="n">
        <v>200</v>
      </c>
      <c r="J77" s="69" t="n">
        <v>100</v>
      </c>
      <c r="K77" s="69" t="n">
        <v>264</v>
      </c>
      <c r="L77" s="69" t="n">
        <v>146</v>
      </c>
      <c r="M77" s="69" t="n">
        <v>201</v>
      </c>
      <c r="N77" s="69" t="n">
        <v>183</v>
      </c>
      <c r="O77" s="69" t="n">
        <v>254</v>
      </c>
      <c r="P77" s="69" t="n">
        <v>259</v>
      </c>
    </row>
    <row r="78" ht="15.75" customHeight="1" s="45">
      <c r="A78" s="61" t="n">
        <v>46240</v>
      </c>
      <c r="B78" s="82" t="inlineStr">
        <is>
          <t>Pós-Projeto</t>
        </is>
      </c>
      <c r="C78" s="86" t="inlineStr">
        <is>
          <t>Percentual de GAEs abertas classificadas</t>
        </is>
      </c>
      <c r="D78" s="71">
        <f>IFERROR(D77/D76,"-")</f>
        <v/>
      </c>
      <c r="E78" s="71">
        <f>IFERROR(E77/E76,"-")</f>
        <v/>
      </c>
      <c r="F78" s="71">
        <f>IFERROR(F77/F76,"-")</f>
        <v/>
      </c>
      <c r="G78" s="71">
        <f>IFERROR(G77/G76,"-")</f>
        <v/>
      </c>
      <c r="H78" s="71">
        <f>IFERROR(H77/H76,"-")</f>
        <v/>
      </c>
      <c r="I78" s="71">
        <f>IFERROR(I77/I76,"-")</f>
        <v/>
      </c>
      <c r="J78" s="71">
        <f>IFERROR(J77/J76,"-")</f>
        <v/>
      </c>
      <c r="K78" s="71">
        <f>IFERROR(K77/K76,"-")</f>
        <v/>
      </c>
      <c r="L78" s="71">
        <f>IFERROR(L77/L76,"-")</f>
        <v/>
      </c>
      <c r="M78" s="71">
        <f>IFERROR(M77/M76,"-")</f>
        <v/>
      </c>
      <c r="N78" s="71">
        <f>IFERROR(N77/N76,"-")</f>
        <v/>
      </c>
      <c r="O78" s="71">
        <f>IFERROR(O77/O76,"-")</f>
        <v/>
      </c>
      <c r="P78" s="71">
        <f>IFERROR(P77/P76,"-")</f>
        <v/>
      </c>
    </row>
    <row r="79" ht="15.75" customHeight="1" s="45">
      <c r="A79" s="61" t="n">
        <v>46240</v>
      </c>
      <c r="B79" s="82" t="inlineStr">
        <is>
          <t>Pós-Projeto</t>
        </is>
      </c>
      <c r="C79" s="87" t="inlineStr">
        <is>
          <t>Tempo Médio — 🟡 Amarelo (hh:mm)</t>
        </is>
      </c>
      <c r="D79" s="73" t="n">
        <v>0.04021990740740741</v>
      </c>
      <c r="E79" s="73" t="n">
        <v>0.08328703703703703</v>
      </c>
      <c r="F79" s="73" t="n">
        <v>0.04539351851851852</v>
      </c>
      <c r="G79" s="73" t="n">
        <v>0.06087962962962963</v>
      </c>
      <c r="H79" s="73" t="n">
        <v>0.03378472222222222</v>
      </c>
      <c r="I79" s="73" t="n">
        <v>0.03398148148148148</v>
      </c>
      <c r="J79" s="73" t="n">
        <v>0.03967592592592593</v>
      </c>
      <c r="K79" s="73" t="n">
        <v>0.04043981481481482</v>
      </c>
      <c r="L79" s="73" t="n">
        <v>0.04642361111111111</v>
      </c>
      <c r="M79" s="73" t="n">
        <v>0.03743055555555556</v>
      </c>
      <c r="N79" s="73" t="n">
        <v>0.1344791666666667</v>
      </c>
      <c r="O79" s="73" t="n">
        <v>0.03841435185185185</v>
      </c>
      <c r="P79" s="73" t="n">
        <v>0.03053240740740741</v>
      </c>
    </row>
    <row r="80" ht="15.75" customHeight="1" s="45">
      <c r="A80" s="61" t="n">
        <v>46240</v>
      </c>
      <c r="B80" s="82" t="inlineStr">
        <is>
          <t>Pós-Projeto</t>
        </is>
      </c>
      <c r="C80" s="88" t="inlineStr">
        <is>
          <t>Tempo Médio — 🟠 Laranja (hh:mm)</t>
        </is>
      </c>
      <c r="D80" s="75" t="n">
        <v>0.008136574074074074</v>
      </c>
      <c r="E80" s="75" t="n">
        <v>0.008703703703703703</v>
      </c>
      <c r="F80" s="75" t="n">
        <v>0.006504629629629629</v>
      </c>
      <c r="G80" s="75" t="n">
        <v>0.004594907407407408</v>
      </c>
      <c r="H80" s="75" t="n">
        <v>0.003449074074074074</v>
      </c>
      <c r="I80" s="75" t="n">
        <v>0.005590277777777777</v>
      </c>
      <c r="J80" s="75" t="n">
        <v>0.009166666666666667</v>
      </c>
      <c r="K80" s="75" t="n">
        <v>0.01184027777777778</v>
      </c>
      <c r="L80" s="75" t="n">
        <v>0.006307870370370371</v>
      </c>
      <c r="M80" s="75" t="n">
        <v>0.006956018518518518</v>
      </c>
      <c r="N80" s="75" t="n">
        <v>0.03055555555555555</v>
      </c>
      <c r="O80" s="75" t="n">
        <v>0.009166666666666667</v>
      </c>
      <c r="P80" s="75" t="n">
        <v>0.009976851851851851</v>
      </c>
    </row>
    <row r="81" ht="15.75" customHeight="1" s="45">
      <c r="A81" s="76" t="n">
        <v>46240</v>
      </c>
      <c r="B81" s="82" t="inlineStr">
        <is>
          <t>Pós-Projeto</t>
        </is>
      </c>
      <c r="C81" s="91" t="inlineStr">
        <is>
          <t>Tempo Médio — 🟢 Verde   (hh:mm)</t>
        </is>
      </c>
      <c r="D81" s="79" t="n">
        <v>0.1168171296296296</v>
      </c>
      <c r="E81" s="79" t="n">
        <v>0.06585648148148149</v>
      </c>
      <c r="F81" s="79" t="n">
        <v>0.1196759259259259</v>
      </c>
      <c r="G81" s="79" t="n">
        <v>0.0902199074074074</v>
      </c>
      <c r="H81" s="79" t="n">
        <v>0.0857175925925926</v>
      </c>
      <c r="I81" s="79" t="n">
        <v>0.1264467592592593</v>
      </c>
      <c r="J81" s="79" t="n">
        <v>0.03256944444444444</v>
      </c>
      <c r="K81" s="79" t="n">
        <v>0.09206018518518519</v>
      </c>
      <c r="L81" s="79" t="n">
        <v>0.07677083333333333</v>
      </c>
      <c r="M81" s="79" t="n">
        <v>0.05121527777777778</v>
      </c>
      <c r="N81" s="79" t="n">
        <v>0.07438657407407408</v>
      </c>
      <c r="O81" s="79" t="n">
        <v>0.0554050925925926</v>
      </c>
      <c r="P81" s="79" t="n">
        <v>0.04201388888888889</v>
      </c>
    </row>
    <row r="82" ht="15.75" customHeight="1" s="45">
      <c r="A82" s="57" t="n">
        <v>46241</v>
      </c>
      <c r="B82" s="81" t="inlineStr">
        <is>
          <t>Pós-Projeto</t>
        </is>
      </c>
      <c r="C82" s="59" t="inlineStr">
        <is>
          <t>Acolhim. + Atend. Urgência + Atend. UPA</t>
        </is>
      </c>
      <c r="D82" s="60">
        <f>SUM(D83:D85)</f>
        <v/>
      </c>
      <c r="E82" s="60">
        <f>SUM(E83:E85)</f>
        <v/>
      </c>
      <c r="F82" s="60">
        <f>SUM(F83:F85)</f>
        <v/>
      </c>
      <c r="G82" s="60">
        <f>SUM(G83:G85)</f>
        <v/>
      </c>
      <c r="H82" s="60">
        <f>SUM(H83:H85)</f>
        <v/>
      </c>
      <c r="I82" s="60">
        <f>SUM(I83:I85)</f>
        <v/>
      </c>
      <c r="J82" s="60">
        <f>SUM(J83:J85)</f>
        <v/>
      </c>
      <c r="K82" s="60">
        <f>SUM(K83:K85)</f>
        <v/>
      </c>
      <c r="L82" s="60">
        <f>SUM(L83:L85)</f>
        <v/>
      </c>
      <c r="M82" s="60">
        <f>SUM(M83:M85)</f>
        <v/>
      </c>
      <c r="N82" s="60">
        <f>SUM(N83:N85)</f>
        <v/>
      </c>
      <c r="O82" s="60">
        <f>SUM(O83:O85)</f>
        <v/>
      </c>
      <c r="P82" s="60">
        <f>SUM(P83:P85)</f>
        <v/>
      </c>
    </row>
    <row r="83" ht="15.75" customHeight="1" s="45">
      <c r="A83" s="61" t="n">
        <v>46241</v>
      </c>
      <c r="B83" s="62" t="inlineStr">
        <is>
          <t>Pós-Projeto</t>
        </is>
      </c>
      <c r="C83" s="83" t="inlineStr">
        <is>
          <t>Acolhimento c/ Classif. de Risco</t>
        </is>
      </c>
      <c r="D83" s="64" t="n">
        <v>204</v>
      </c>
      <c r="E83" s="64" t="n">
        <v>170</v>
      </c>
      <c r="F83" s="64" t="n">
        <v>131</v>
      </c>
      <c r="G83" s="64" t="n">
        <v>160</v>
      </c>
      <c r="H83" s="64" t="n">
        <v>112</v>
      </c>
      <c r="I83" s="64" t="n">
        <v>177</v>
      </c>
      <c r="J83" s="64" t="n">
        <v>116</v>
      </c>
      <c r="K83" s="64" t="n">
        <v>262</v>
      </c>
      <c r="L83" s="64" t="n">
        <v>136</v>
      </c>
      <c r="M83" s="64" t="n">
        <v>209</v>
      </c>
      <c r="N83" s="64" t="n">
        <v>175</v>
      </c>
      <c r="O83" s="64" t="n">
        <v>259</v>
      </c>
      <c r="P83" s="64" t="n">
        <v>217</v>
      </c>
    </row>
    <row r="84" ht="15.75" customHeight="1" s="45">
      <c r="A84" s="61" t="n">
        <v>46241</v>
      </c>
      <c r="B84" s="82" t="inlineStr">
        <is>
          <t>Pós-Projeto</t>
        </is>
      </c>
      <c r="C84" s="84" t="inlineStr">
        <is>
          <t>Atend. Urgência Obs. ≤ 24h</t>
        </is>
      </c>
      <c r="D84" s="66" t="n">
        <v>18</v>
      </c>
      <c r="E84" s="66" t="n">
        <v>11</v>
      </c>
      <c r="F84" s="66" t="n">
        <v>24</v>
      </c>
      <c r="G84" s="66" t="n">
        <v>11</v>
      </c>
      <c r="H84" s="66" t="n">
        <v>30</v>
      </c>
      <c r="I84" s="66" t="n">
        <v>27</v>
      </c>
      <c r="J84" s="66" t="n">
        <v>5</v>
      </c>
      <c r="K84" s="66" t="n">
        <v>32</v>
      </c>
      <c r="L84" s="66" t="n">
        <v>44</v>
      </c>
      <c r="M84" s="66" t="n">
        <v>28</v>
      </c>
      <c r="N84" s="66" t="n">
        <v>47</v>
      </c>
      <c r="O84" s="66" t="n">
        <v>7</v>
      </c>
      <c r="P84" s="66" t="n">
        <v>7</v>
      </c>
    </row>
    <row r="85" ht="15.75" customHeight="1" s="45">
      <c r="A85" s="61" t="n">
        <v>46241</v>
      </c>
      <c r="B85" s="82" t="inlineStr">
        <is>
          <t>Pós-Projeto</t>
        </is>
      </c>
      <c r="C85" s="83" t="inlineStr">
        <is>
          <t>Atend. Médico em UPA</t>
        </is>
      </c>
      <c r="D85" s="64" t="n">
        <v>160</v>
      </c>
      <c r="E85" s="64" t="n">
        <v>118</v>
      </c>
      <c r="F85" s="64" t="n">
        <v>108</v>
      </c>
      <c r="G85" s="64" t="n">
        <v>80</v>
      </c>
      <c r="H85" s="64" t="n">
        <v>107</v>
      </c>
      <c r="I85" s="64" t="n">
        <v>152</v>
      </c>
      <c r="J85" s="64" t="n">
        <v>83</v>
      </c>
      <c r="K85" s="64" t="n">
        <v>208</v>
      </c>
      <c r="L85" s="64" t="n">
        <v>109</v>
      </c>
      <c r="M85" s="64" t="n">
        <v>166</v>
      </c>
      <c r="N85" s="64" t="n">
        <v>175</v>
      </c>
      <c r="O85" s="64" t="n">
        <v>200</v>
      </c>
      <c r="P85" s="64" t="n">
        <v>169</v>
      </c>
    </row>
    <row r="86" ht="15.75" customHeight="1" s="45">
      <c r="A86" s="61" t="n">
        <v>46241</v>
      </c>
      <c r="B86" s="82" t="inlineStr">
        <is>
          <t>Pós-Projeto</t>
        </is>
      </c>
      <c r="C86" s="84" t="inlineStr">
        <is>
          <t>Exames Laboratoriais</t>
        </is>
      </c>
      <c r="D86" s="66" t="n">
        <v>680</v>
      </c>
      <c r="E86" s="66" t="n">
        <v>508</v>
      </c>
      <c r="F86" s="66" t="n">
        <v>310</v>
      </c>
      <c r="G86" s="66" t="n">
        <v>330</v>
      </c>
      <c r="H86" s="66" t="n">
        <v>325</v>
      </c>
      <c r="I86" s="66" t="n">
        <v>589</v>
      </c>
      <c r="J86" s="66" t="n">
        <v>226</v>
      </c>
      <c r="K86" s="66" t="n">
        <v>933</v>
      </c>
      <c r="L86" s="66" t="n">
        <v>546</v>
      </c>
      <c r="M86" s="66" t="n">
        <v>510</v>
      </c>
      <c r="N86" s="66" t="n">
        <v>548</v>
      </c>
      <c r="O86" s="66" t="n">
        <v>319</v>
      </c>
      <c r="P86" s="66" t="n">
        <v>358</v>
      </c>
    </row>
    <row r="87" ht="15.75" customHeight="1" s="45">
      <c r="A87" s="61" t="n">
        <v>46241</v>
      </c>
      <c r="B87" s="82" t="inlineStr">
        <is>
          <t>Pós-Projeto</t>
        </is>
      </c>
      <c r="C87" s="83" t="inlineStr">
        <is>
          <t>Radiografias</t>
        </is>
      </c>
      <c r="D87" s="64" t="n">
        <v>38</v>
      </c>
      <c r="E87" s="64" t="n">
        <v>27</v>
      </c>
      <c r="F87" s="64" t="n">
        <v>22</v>
      </c>
      <c r="G87" s="64" t="n">
        <v>17</v>
      </c>
      <c r="H87" s="64" t="n">
        <v>2</v>
      </c>
      <c r="I87" s="64" t="n">
        <v>27</v>
      </c>
      <c r="J87" s="64" t="n">
        <v>23</v>
      </c>
      <c r="K87" s="64" t="n">
        <v>34</v>
      </c>
      <c r="L87" s="64" t="n">
        <v>21</v>
      </c>
      <c r="M87" s="64" t="n">
        <v>35</v>
      </c>
      <c r="N87" s="64" t="n">
        <v>19</v>
      </c>
      <c r="O87" s="64" t="n">
        <v>37</v>
      </c>
      <c r="P87" s="64" t="n">
        <v>34</v>
      </c>
    </row>
    <row r="88" ht="15.75" customHeight="1" s="45">
      <c r="A88" s="61" t="n">
        <v>46241</v>
      </c>
      <c r="B88" s="82" t="inlineStr">
        <is>
          <t>Pós-Projeto</t>
        </is>
      </c>
      <c r="C88" s="84" t="inlineStr">
        <is>
          <t>Eletrocardiogramas</t>
        </is>
      </c>
      <c r="D88" s="66" t="n">
        <v>27</v>
      </c>
      <c r="E88" s="67" t="n">
        <v>0</v>
      </c>
      <c r="F88" s="67" t="n">
        <v>0</v>
      </c>
      <c r="G88" s="66" t="n">
        <v>2</v>
      </c>
      <c r="H88" s="67" t="n">
        <v>0</v>
      </c>
      <c r="I88" s="67" t="n">
        <v>0</v>
      </c>
      <c r="J88" s="67" t="n">
        <v>0</v>
      </c>
      <c r="K88" s="66" t="n">
        <v>2</v>
      </c>
      <c r="L88" s="66" t="n">
        <v>1</v>
      </c>
      <c r="M88" s="67" t="n">
        <v>0</v>
      </c>
      <c r="N88" s="66" t="n">
        <v>15</v>
      </c>
      <c r="O88" s="67" t="n">
        <v>0</v>
      </c>
      <c r="P88" s="66" t="n">
        <v>15</v>
      </c>
    </row>
    <row r="89" ht="15.75" customHeight="1" s="45">
      <c r="A89" s="61" t="n">
        <v>46241</v>
      </c>
      <c r="B89" s="82" t="inlineStr">
        <is>
          <t>Pós-Projeto</t>
        </is>
      </c>
      <c r="C89" s="85" t="inlineStr">
        <is>
          <t>GAEs Abertas</t>
        </is>
      </c>
      <c r="D89" s="69" t="n">
        <v>206</v>
      </c>
      <c r="E89" s="69" t="n">
        <v>180</v>
      </c>
      <c r="F89" s="69" t="n">
        <v>135</v>
      </c>
      <c r="G89" s="69" t="n">
        <v>158</v>
      </c>
      <c r="H89" s="69" t="n">
        <v>116</v>
      </c>
      <c r="I89" s="69" t="n">
        <v>189</v>
      </c>
      <c r="J89" s="69" t="n">
        <v>122</v>
      </c>
      <c r="K89" s="69" t="n">
        <v>279</v>
      </c>
      <c r="L89" s="69" t="n">
        <v>142</v>
      </c>
      <c r="M89" s="69" t="n">
        <v>221</v>
      </c>
      <c r="N89" s="69" t="n">
        <v>190</v>
      </c>
      <c r="O89" s="69" t="n">
        <v>257</v>
      </c>
      <c r="P89" s="69" t="n">
        <v>224</v>
      </c>
    </row>
    <row r="90" ht="15.75" customHeight="1" s="45">
      <c r="A90" s="61" t="n">
        <v>46241</v>
      </c>
      <c r="B90" s="82" t="inlineStr">
        <is>
          <t>Pós-Projeto</t>
        </is>
      </c>
      <c r="C90" s="85" t="inlineStr">
        <is>
          <t>GAEs Classificadas</t>
        </is>
      </c>
      <c r="D90" s="69" t="n">
        <v>202</v>
      </c>
      <c r="E90" s="69" t="n">
        <v>174</v>
      </c>
      <c r="F90" s="69" t="n">
        <v>132</v>
      </c>
      <c r="G90" s="69" t="n">
        <v>157</v>
      </c>
      <c r="H90" s="69" t="n">
        <v>112</v>
      </c>
      <c r="I90" s="69" t="n">
        <v>174</v>
      </c>
      <c r="J90" s="69" t="n">
        <v>116</v>
      </c>
      <c r="K90" s="69" t="n">
        <v>258</v>
      </c>
      <c r="L90" s="69" t="n">
        <v>136</v>
      </c>
      <c r="M90" s="69" t="n">
        <v>209</v>
      </c>
      <c r="N90" s="69" t="n">
        <v>179</v>
      </c>
      <c r="O90" s="69" t="n">
        <v>253</v>
      </c>
      <c r="P90" s="69" t="n">
        <v>217</v>
      </c>
    </row>
    <row r="91" ht="15.75" customHeight="1" s="45">
      <c r="A91" s="61" t="n">
        <v>46241</v>
      </c>
      <c r="B91" s="82" t="inlineStr">
        <is>
          <t>Pós-Projeto</t>
        </is>
      </c>
      <c r="C91" s="86" t="inlineStr">
        <is>
          <t>Percentual de GAEs abertas classificadas</t>
        </is>
      </c>
      <c r="D91" s="71">
        <f>IFERROR(D90/D89,"-")</f>
        <v/>
      </c>
      <c r="E91" s="71">
        <f>IFERROR(E90/E89,"-")</f>
        <v/>
      </c>
      <c r="F91" s="71">
        <f>IFERROR(F90/F89,"-")</f>
        <v/>
      </c>
      <c r="G91" s="71">
        <f>IFERROR(G90/G89,"-")</f>
        <v/>
      </c>
      <c r="H91" s="71">
        <f>IFERROR(H90/H89,"-")</f>
        <v/>
      </c>
      <c r="I91" s="71">
        <f>IFERROR(I90/I89,"-")</f>
        <v/>
      </c>
      <c r="J91" s="71">
        <f>IFERROR(J90/J89,"-")</f>
        <v/>
      </c>
      <c r="K91" s="71">
        <f>IFERROR(K90/K89,"-")</f>
        <v/>
      </c>
      <c r="L91" s="71">
        <f>IFERROR(L90/L89,"-")</f>
        <v/>
      </c>
      <c r="M91" s="71">
        <f>IFERROR(M90/M89,"-")</f>
        <v/>
      </c>
      <c r="N91" s="71">
        <f>IFERROR(N90/N89,"-")</f>
        <v/>
      </c>
      <c r="O91" s="71">
        <f>IFERROR(O90/O89,"-")</f>
        <v/>
      </c>
      <c r="P91" s="71">
        <f>IFERROR(P90/P89,"-")</f>
        <v/>
      </c>
    </row>
    <row r="92" ht="15.75" customHeight="1" s="45">
      <c r="A92" s="61" t="n">
        <v>46241</v>
      </c>
      <c r="B92" s="82" t="inlineStr">
        <is>
          <t>Pós-Projeto</t>
        </is>
      </c>
      <c r="C92" s="87" t="inlineStr">
        <is>
          <t>Tempo Médio — 🟡 Amarelo (hh:mm)</t>
        </is>
      </c>
      <c r="D92" s="73" t="n">
        <v>0.02527777777777778</v>
      </c>
      <c r="E92" s="73" t="n">
        <v>0.06856481481481481</v>
      </c>
      <c r="F92" s="73" t="n">
        <v>0.03025462962962963</v>
      </c>
      <c r="G92" s="73" t="n">
        <v>0.02958333333333333</v>
      </c>
      <c r="H92" s="73" t="n">
        <v>0.05630787037037037</v>
      </c>
      <c r="I92" s="73" t="n">
        <v>0.04710648148148148</v>
      </c>
      <c r="J92" s="73" t="n">
        <v>0.01990740740740741</v>
      </c>
      <c r="K92" s="73" t="n">
        <v>0.05861111111111111</v>
      </c>
      <c r="L92" s="73" t="n">
        <v>0.1230324074074074</v>
      </c>
      <c r="M92" s="73" t="n">
        <v>0.02673611111111111</v>
      </c>
      <c r="N92" s="73" t="n">
        <v>0.0690162037037037</v>
      </c>
      <c r="O92" s="73" t="n">
        <v>0.0293287037037037</v>
      </c>
      <c r="P92" s="73" t="n">
        <v>0.03512731481481481</v>
      </c>
    </row>
    <row r="93" ht="15.75" customHeight="1" s="45">
      <c r="A93" s="61" t="n">
        <v>46241</v>
      </c>
      <c r="B93" s="82" t="inlineStr">
        <is>
          <t>Pós-Projeto</t>
        </is>
      </c>
      <c r="C93" s="88" t="inlineStr">
        <is>
          <t>Tempo Médio — 🟠 Laranja (hh:mm)</t>
        </is>
      </c>
      <c r="D93" s="75" t="n">
        <v>0.004351851851851852</v>
      </c>
      <c r="E93" s="75" t="n">
        <v>0.008784722222222222</v>
      </c>
      <c r="F93" s="80" t="n">
        <v>0</v>
      </c>
      <c r="G93" s="75" t="n">
        <v>0.003483796296296296</v>
      </c>
      <c r="H93" s="75" t="n">
        <v>0.007199074074074074</v>
      </c>
      <c r="I93" s="75" t="n">
        <v>0.009305555555555555</v>
      </c>
      <c r="J93" s="75" t="n">
        <v>0.01153935185185185</v>
      </c>
      <c r="K93" s="75" t="n">
        <v>0.01359953703703704</v>
      </c>
      <c r="L93" s="75" t="n">
        <v>0.007268518518518519</v>
      </c>
      <c r="M93" s="75" t="n">
        <v>0.006400462962962963</v>
      </c>
      <c r="N93" s="75" t="n">
        <v>0.01207175925925926</v>
      </c>
      <c r="O93" s="75" t="n">
        <v>0.00849537037037037</v>
      </c>
      <c r="P93" s="75" t="n">
        <v>0.009247685185185185</v>
      </c>
    </row>
    <row r="94" ht="15.75" customHeight="1" s="45">
      <c r="A94" s="76" t="n">
        <v>46241</v>
      </c>
      <c r="B94" s="82" t="inlineStr">
        <is>
          <t>Pós-Projeto</t>
        </is>
      </c>
      <c r="C94" s="91" t="inlineStr">
        <is>
          <t>Tempo Médio — 🟢 Verde   (hh:mm)</t>
        </is>
      </c>
      <c r="D94" s="79" t="n">
        <v>0.06586805555555555</v>
      </c>
      <c r="E94" s="79" t="n">
        <v>0.1608564814814815</v>
      </c>
      <c r="F94" s="79" t="n">
        <v>0.0855324074074074</v>
      </c>
      <c r="G94" s="79" t="n">
        <v>0.06190972222222222</v>
      </c>
      <c r="H94" s="79" t="n">
        <v>0.05078703703703704</v>
      </c>
      <c r="I94" s="79" t="n">
        <v>0.1491782407407407</v>
      </c>
      <c r="J94" s="79" t="n">
        <v>0.03075231481481482</v>
      </c>
      <c r="K94" s="79" t="n">
        <v>0.0895949074074074</v>
      </c>
      <c r="L94" s="79" t="n">
        <v>0.1809375</v>
      </c>
      <c r="M94" s="79" t="n">
        <v>0.03574074074074074</v>
      </c>
      <c r="N94" s="79" t="n">
        <v>0.05547453703703704</v>
      </c>
      <c r="O94" s="79" t="n">
        <v>0.07961805555555555</v>
      </c>
      <c r="P94" s="79" t="n">
        <v>0.06453703703703703</v>
      </c>
    </row>
    <row r="95" ht="15.75" customHeight="1" s="45">
      <c r="A95" s="57" t="n">
        <v>46242</v>
      </c>
      <c r="B95" s="81" t="inlineStr">
        <is>
          <t>Pós-Projeto</t>
        </is>
      </c>
      <c r="C95" s="59" t="inlineStr">
        <is>
          <t>Acolhim. + Atend. Urgência + Atend. UPA</t>
        </is>
      </c>
      <c r="D95" s="60">
        <f>SUM(D96:D98)</f>
        <v/>
      </c>
      <c r="E95" s="60">
        <f>SUM(E96:E98)</f>
        <v/>
      </c>
      <c r="F95" s="60">
        <f>SUM(F96:F98)</f>
        <v/>
      </c>
      <c r="G95" s="60">
        <f>SUM(G96:G98)</f>
        <v/>
      </c>
      <c r="H95" s="60">
        <f>SUM(H96:H98)</f>
        <v/>
      </c>
      <c r="I95" s="60">
        <f>SUM(I96:I98)</f>
        <v/>
      </c>
      <c r="J95" s="60">
        <f>SUM(J96:J98)</f>
        <v/>
      </c>
      <c r="K95" s="60">
        <f>SUM(K96:K98)</f>
        <v/>
      </c>
      <c r="L95" s="60">
        <f>SUM(L96:L98)</f>
        <v/>
      </c>
      <c r="M95" s="60">
        <f>SUM(M96:M98)</f>
        <v/>
      </c>
      <c r="N95" s="60">
        <f>SUM(N96:N98)</f>
        <v/>
      </c>
      <c r="O95" s="60">
        <f>SUM(O96:O98)</f>
        <v/>
      </c>
      <c r="P95" s="60">
        <f>SUM(P96:P98)</f>
        <v/>
      </c>
    </row>
    <row r="96" ht="15.75" customHeight="1" s="45">
      <c r="A96" s="61" t="n">
        <v>46242</v>
      </c>
      <c r="B96" s="82" t="inlineStr">
        <is>
          <t>Pós-Projeto</t>
        </is>
      </c>
      <c r="C96" s="83" t="inlineStr">
        <is>
          <t>Acolhimento c/ Classif. de Risco</t>
        </is>
      </c>
      <c r="D96" s="64" t="n">
        <v>165</v>
      </c>
      <c r="E96" s="64" t="n">
        <v>117</v>
      </c>
      <c r="F96" s="64" t="n">
        <v>129</v>
      </c>
      <c r="G96" s="64" t="n">
        <v>112</v>
      </c>
      <c r="H96" s="64" t="n">
        <v>112</v>
      </c>
      <c r="I96" s="64" t="n">
        <v>160</v>
      </c>
      <c r="J96" s="64" t="n">
        <v>92</v>
      </c>
      <c r="K96" s="64" t="n">
        <v>273</v>
      </c>
      <c r="L96" s="64" t="n">
        <v>140</v>
      </c>
      <c r="M96" s="64" t="n">
        <v>196</v>
      </c>
      <c r="N96" s="64" t="n">
        <v>173</v>
      </c>
      <c r="O96" s="64" t="n">
        <v>237</v>
      </c>
      <c r="P96" s="64" t="n">
        <v>181</v>
      </c>
    </row>
    <row r="97" ht="15.75" customHeight="1" s="45">
      <c r="A97" s="61" t="n">
        <v>46242</v>
      </c>
      <c r="B97" s="82" t="inlineStr">
        <is>
          <t>Pós-Projeto</t>
        </is>
      </c>
      <c r="C97" s="84" t="inlineStr">
        <is>
          <t>Atend. Urgência Obs. ≤ 24h</t>
        </is>
      </c>
      <c r="D97" s="66" t="n">
        <v>20</v>
      </c>
      <c r="E97" s="66" t="n">
        <v>21</v>
      </c>
      <c r="F97" s="66" t="n">
        <v>25</v>
      </c>
      <c r="G97" s="66" t="n">
        <v>17</v>
      </c>
      <c r="H97" s="66" t="n">
        <v>18</v>
      </c>
      <c r="I97" s="66" t="n">
        <v>43</v>
      </c>
      <c r="J97" s="66" t="n">
        <v>11</v>
      </c>
      <c r="K97" s="66" t="n">
        <v>49</v>
      </c>
      <c r="L97" s="66" t="n">
        <v>49</v>
      </c>
      <c r="M97" s="66" t="n">
        <v>23</v>
      </c>
      <c r="N97" s="66" t="n">
        <v>19</v>
      </c>
      <c r="O97" s="66" t="n">
        <v>15</v>
      </c>
      <c r="P97" s="66" t="n">
        <v>22</v>
      </c>
    </row>
    <row r="98" ht="15.75" customHeight="1" s="45">
      <c r="A98" s="61" t="n">
        <v>46242</v>
      </c>
      <c r="B98" s="82" t="inlineStr">
        <is>
          <t>Pós-Projeto</t>
        </is>
      </c>
      <c r="C98" s="83" t="inlineStr">
        <is>
          <t>Atend. Médico em UPA</t>
        </is>
      </c>
      <c r="D98" s="64" t="n">
        <v>86</v>
      </c>
      <c r="E98" s="64" t="n">
        <v>64</v>
      </c>
      <c r="F98" s="64" t="n">
        <v>81</v>
      </c>
      <c r="G98" s="64" t="n">
        <v>93</v>
      </c>
      <c r="H98" s="64" t="n">
        <v>87</v>
      </c>
      <c r="I98" s="64" t="n">
        <v>122</v>
      </c>
      <c r="J98" s="64" t="n">
        <v>64</v>
      </c>
      <c r="K98" s="64" t="n">
        <v>222</v>
      </c>
      <c r="L98" s="64" t="n">
        <v>128</v>
      </c>
      <c r="M98" s="64" t="n">
        <v>117</v>
      </c>
      <c r="N98" s="64" t="n">
        <v>148</v>
      </c>
      <c r="O98" s="64" t="n">
        <v>199</v>
      </c>
      <c r="P98" s="64" t="n">
        <v>144</v>
      </c>
    </row>
    <row r="99" ht="15.75" customHeight="1" s="45">
      <c r="A99" s="61" t="n">
        <v>46242</v>
      </c>
      <c r="B99" s="82" t="inlineStr">
        <is>
          <t>Pós-Projeto</t>
        </is>
      </c>
      <c r="C99" s="84" t="inlineStr">
        <is>
          <t>Exames Laboratoriais</t>
        </is>
      </c>
      <c r="D99" s="66" t="n">
        <v>559</v>
      </c>
      <c r="E99" s="66" t="n">
        <v>413</v>
      </c>
      <c r="F99" s="66" t="n">
        <v>532</v>
      </c>
      <c r="G99" s="66" t="n">
        <v>382</v>
      </c>
      <c r="H99" s="66" t="n">
        <v>453</v>
      </c>
      <c r="I99" s="66" t="n">
        <v>576</v>
      </c>
      <c r="J99" s="66" t="n">
        <v>238</v>
      </c>
      <c r="K99" s="66" t="n">
        <v>923</v>
      </c>
      <c r="L99" s="66" t="n">
        <v>728</v>
      </c>
      <c r="M99" s="66" t="n">
        <v>485</v>
      </c>
      <c r="N99" s="66" t="n">
        <v>624</v>
      </c>
      <c r="O99" s="66" t="n">
        <v>338</v>
      </c>
      <c r="P99" s="66" t="n">
        <v>447</v>
      </c>
    </row>
    <row r="100" ht="15.75" customHeight="1" s="45">
      <c r="A100" s="61" t="n">
        <v>46242</v>
      </c>
      <c r="B100" s="82" t="inlineStr">
        <is>
          <t>Pós-Projeto</t>
        </is>
      </c>
      <c r="C100" s="83" t="inlineStr">
        <is>
          <t>Radiografias</t>
        </is>
      </c>
      <c r="D100" s="64" t="n">
        <v>23</v>
      </c>
      <c r="E100" s="64" t="n">
        <v>11</v>
      </c>
      <c r="F100" s="64" t="n">
        <v>23</v>
      </c>
      <c r="G100" s="64" t="n">
        <v>11</v>
      </c>
      <c r="H100" s="67" t="n">
        <v>0</v>
      </c>
      <c r="I100" s="64" t="n">
        <v>27</v>
      </c>
      <c r="J100" s="64" t="n">
        <v>9</v>
      </c>
      <c r="K100" s="64" t="n">
        <v>43</v>
      </c>
      <c r="L100" s="64" t="n">
        <v>13</v>
      </c>
      <c r="M100" s="64" t="n">
        <v>27</v>
      </c>
      <c r="N100" s="64" t="n">
        <v>19</v>
      </c>
      <c r="O100" s="64" t="n">
        <v>37</v>
      </c>
      <c r="P100" s="64" t="n">
        <v>31</v>
      </c>
    </row>
    <row r="101" ht="15.75" customHeight="1" s="45">
      <c r="A101" s="61" t="n">
        <v>46242</v>
      </c>
      <c r="B101" s="82" t="inlineStr">
        <is>
          <t>Pós-Projeto</t>
        </is>
      </c>
      <c r="C101" s="84" t="inlineStr">
        <is>
          <t>Eletrocardiogramas</t>
        </is>
      </c>
      <c r="D101" s="66" t="n">
        <v>6</v>
      </c>
      <c r="E101" s="67" t="n">
        <v>0</v>
      </c>
      <c r="F101" s="67" t="n">
        <v>0</v>
      </c>
      <c r="G101" s="66" t="n">
        <v>2</v>
      </c>
      <c r="H101" s="66" t="n">
        <v>1</v>
      </c>
      <c r="I101" s="66" t="n">
        <v>4</v>
      </c>
      <c r="J101" s="67" t="n">
        <v>0</v>
      </c>
      <c r="K101" s="66" t="n">
        <v>3</v>
      </c>
      <c r="L101" s="67" t="n">
        <v>0</v>
      </c>
      <c r="M101" s="67" t="n">
        <v>0</v>
      </c>
      <c r="N101" s="66" t="n">
        <v>8</v>
      </c>
      <c r="O101" s="67" t="n">
        <v>0</v>
      </c>
      <c r="P101" s="66" t="n">
        <v>13</v>
      </c>
    </row>
    <row r="102" ht="15.75" customHeight="1" s="45">
      <c r="A102" s="61" t="n">
        <v>46242</v>
      </c>
      <c r="B102" s="82" t="inlineStr">
        <is>
          <t>Pós-Projeto</t>
        </is>
      </c>
      <c r="C102" s="85" t="inlineStr">
        <is>
          <t>GAEs Abertas</t>
        </is>
      </c>
      <c r="D102" s="69" t="n">
        <v>181</v>
      </c>
      <c r="E102" s="69" t="n">
        <v>116</v>
      </c>
      <c r="F102" s="69" t="n">
        <v>141</v>
      </c>
      <c r="G102" s="69" t="n">
        <v>113</v>
      </c>
      <c r="H102" s="69" t="n">
        <v>113</v>
      </c>
      <c r="I102" s="69" t="n">
        <v>174</v>
      </c>
      <c r="J102" s="69" t="n">
        <v>94</v>
      </c>
      <c r="K102" s="69" t="n">
        <v>292</v>
      </c>
      <c r="L102" s="69" t="n">
        <v>144</v>
      </c>
      <c r="M102" s="69" t="n">
        <v>204</v>
      </c>
      <c r="N102" s="69" t="n">
        <v>181</v>
      </c>
      <c r="O102" s="69" t="n">
        <v>240</v>
      </c>
      <c r="P102" s="69" t="n">
        <v>187</v>
      </c>
    </row>
    <row r="103" ht="15.75" customHeight="1" s="45">
      <c r="A103" s="61" t="n">
        <v>46242</v>
      </c>
      <c r="B103" s="82" t="inlineStr">
        <is>
          <t>Pós-Projeto</t>
        </is>
      </c>
      <c r="C103" s="85" t="inlineStr">
        <is>
          <t>GAEs Classificadas</t>
        </is>
      </c>
      <c r="D103" s="69" t="n">
        <v>166</v>
      </c>
      <c r="E103" s="69" t="n">
        <v>111</v>
      </c>
      <c r="F103" s="69" t="n">
        <v>130</v>
      </c>
      <c r="G103" s="69" t="n">
        <v>112</v>
      </c>
      <c r="H103" s="69" t="n">
        <v>112</v>
      </c>
      <c r="I103" s="69" t="n">
        <v>161</v>
      </c>
      <c r="J103" s="69" t="n">
        <v>92</v>
      </c>
      <c r="K103" s="69" t="n">
        <v>276</v>
      </c>
      <c r="L103" s="69" t="n">
        <v>140</v>
      </c>
      <c r="M103" s="69" t="n">
        <v>194</v>
      </c>
      <c r="N103" s="69" t="n">
        <v>168</v>
      </c>
      <c r="O103" s="69" t="n">
        <v>237</v>
      </c>
      <c r="P103" s="69" t="n">
        <v>180</v>
      </c>
    </row>
    <row r="104" ht="15.75" customHeight="1" s="45">
      <c r="A104" s="61" t="n">
        <v>46242</v>
      </c>
      <c r="B104" s="82" t="inlineStr">
        <is>
          <t>Pós-Projeto</t>
        </is>
      </c>
      <c r="C104" s="86" t="inlineStr">
        <is>
          <t>Percentual de GAEs abertas classificadas</t>
        </is>
      </c>
      <c r="D104" s="71">
        <f>IFERROR(D103/D102,"-")</f>
        <v/>
      </c>
      <c r="E104" s="71">
        <f>IFERROR(E103/E102,"-")</f>
        <v/>
      </c>
      <c r="F104" s="71">
        <f>IFERROR(F103/F102,"-")</f>
        <v/>
      </c>
      <c r="G104" s="71">
        <f>IFERROR(G103/G102,"-")</f>
        <v/>
      </c>
      <c r="H104" s="71">
        <f>IFERROR(H103/H102,"-")</f>
        <v/>
      </c>
      <c r="I104" s="71">
        <f>IFERROR(I103/I102,"-")</f>
        <v/>
      </c>
      <c r="J104" s="71">
        <f>IFERROR(J103/J102,"-")</f>
        <v/>
      </c>
      <c r="K104" s="71">
        <f>IFERROR(K103/K102,"-")</f>
        <v/>
      </c>
      <c r="L104" s="71">
        <f>IFERROR(L103/L102,"-")</f>
        <v/>
      </c>
      <c r="M104" s="71">
        <f>IFERROR(M103/M102,"-")</f>
        <v/>
      </c>
      <c r="N104" s="71">
        <f>IFERROR(N103/N102,"-")</f>
        <v/>
      </c>
      <c r="O104" s="71">
        <f>IFERROR(O103/O102,"-")</f>
        <v/>
      </c>
      <c r="P104" s="71">
        <f>IFERROR(P103/P102,"-")</f>
        <v/>
      </c>
    </row>
    <row r="105" ht="15.75" customHeight="1" s="45">
      <c r="A105" s="61" t="n">
        <v>46242</v>
      </c>
      <c r="B105" s="82" t="inlineStr">
        <is>
          <t>Pós-Projeto</t>
        </is>
      </c>
      <c r="C105" s="87" t="inlineStr">
        <is>
          <t>Tempo Médio — 🟡 Amarelo (hh:mm)</t>
        </is>
      </c>
      <c r="D105" s="73" t="n">
        <v>0.09096064814814815</v>
      </c>
      <c r="E105" s="73" t="n">
        <v>0.09474537037037037</v>
      </c>
      <c r="F105" s="73" t="n">
        <v>0.06268518518518519</v>
      </c>
      <c r="G105" s="73" t="n">
        <v>0.02670138888888889</v>
      </c>
      <c r="H105" s="73" t="n">
        <v>0.03268518518518519</v>
      </c>
      <c r="I105" s="73" t="n">
        <v>0.07313657407407408</v>
      </c>
      <c r="J105" s="73" t="n">
        <v>0.03951388888888889</v>
      </c>
      <c r="K105" s="73" t="n">
        <v>0.07373842592592593</v>
      </c>
      <c r="L105" s="73" t="n">
        <v>0.09605324074074074</v>
      </c>
      <c r="M105" s="73" t="n">
        <v>0.03541666666666667</v>
      </c>
      <c r="N105" s="73" t="n">
        <v>0.03829861111111111</v>
      </c>
      <c r="O105" s="73" t="n">
        <v>0.0168287037037037</v>
      </c>
      <c r="P105" s="73" t="n">
        <v>0.01515046296296296</v>
      </c>
    </row>
    <row r="106" ht="15.75" customHeight="1" s="45">
      <c r="A106" s="61" t="n">
        <v>46242</v>
      </c>
      <c r="B106" s="82" t="inlineStr">
        <is>
          <t>Pós-Projeto</t>
        </is>
      </c>
      <c r="C106" s="88" t="inlineStr">
        <is>
          <t>Tempo Médio — 🟠 Laranja (hh:mm)</t>
        </is>
      </c>
      <c r="D106" s="75" t="n">
        <v>0.01950231481481482</v>
      </c>
      <c r="E106" s="75" t="n">
        <v>0.008958333333333334</v>
      </c>
      <c r="F106" s="75" t="n">
        <v>0.004756944444444445</v>
      </c>
      <c r="G106" s="75" t="n">
        <v>0.0059375</v>
      </c>
      <c r="H106" s="75" t="n">
        <v>0.003321759259259259</v>
      </c>
      <c r="I106" s="75" t="n">
        <v>0.008344907407407407</v>
      </c>
      <c r="J106" s="75" t="n">
        <v>0.008715277777777778</v>
      </c>
      <c r="K106" s="75" t="n">
        <v>0.01841435185185185</v>
      </c>
      <c r="L106" s="80" t="n">
        <v>0</v>
      </c>
      <c r="M106" s="75" t="n">
        <v>0.01326388888888889</v>
      </c>
      <c r="N106" s="75" t="n">
        <v>0.01204861111111111</v>
      </c>
      <c r="O106" s="75" t="n">
        <v>0.006736111111111111</v>
      </c>
      <c r="P106" s="75" t="n">
        <v>0.009270833333333334</v>
      </c>
    </row>
    <row r="107" ht="15.75" customHeight="1" s="45">
      <c r="A107" s="76" t="n">
        <v>46242</v>
      </c>
      <c r="B107" s="82" t="inlineStr">
        <is>
          <t>Pós-Projeto</t>
        </is>
      </c>
      <c r="C107" s="91" t="inlineStr">
        <is>
          <t>Tempo Médio — 🟢 Verde   (hh:mm)</t>
        </is>
      </c>
      <c r="D107" s="79" t="n">
        <v>0.08435185185185186</v>
      </c>
      <c r="E107" s="79" t="n">
        <v>0.1886226851851852</v>
      </c>
      <c r="F107" s="79" t="n">
        <v>0.1058912037037037</v>
      </c>
      <c r="G107" s="79" t="n">
        <v>0.07428240740740741</v>
      </c>
      <c r="H107" s="79" t="n">
        <v>0.09575231481481482</v>
      </c>
      <c r="I107" s="79" t="n">
        <v>0.1539583333333333</v>
      </c>
      <c r="J107" s="79" t="n">
        <v>0.1268865740740741</v>
      </c>
      <c r="K107" s="79" t="n">
        <v>0.124849537037037</v>
      </c>
      <c r="L107" s="79" t="n">
        <v>0.09608796296296296</v>
      </c>
      <c r="M107" s="79" t="n">
        <v>0.05486111111111111</v>
      </c>
      <c r="N107" s="79" t="n">
        <v>0.1205439814814815</v>
      </c>
      <c r="O107" s="79" t="n">
        <v>0.04336805555555556</v>
      </c>
      <c r="P107" s="79" t="n">
        <v>0.02555555555555556</v>
      </c>
    </row>
    <row r="108" ht="15.75" customHeight="1" s="45">
      <c r="A108" s="57" t="n">
        <v>46243</v>
      </c>
      <c r="B108" s="81" t="inlineStr">
        <is>
          <t>Pós-Projeto</t>
        </is>
      </c>
      <c r="C108" s="59" t="inlineStr">
        <is>
          <t>Acolhim. + Atend. Urgência + Atend. UPA</t>
        </is>
      </c>
      <c r="D108" s="60">
        <f>SUM(D109:D111)</f>
        <v/>
      </c>
      <c r="E108" s="60">
        <f>SUM(E109:E111)</f>
        <v/>
      </c>
      <c r="F108" s="60">
        <f>SUM(F109:F111)</f>
        <v/>
      </c>
      <c r="G108" s="60">
        <f>SUM(G109:G111)</f>
        <v/>
      </c>
      <c r="H108" s="60">
        <f>SUM(H109:H111)</f>
        <v/>
      </c>
      <c r="I108" s="60">
        <f>SUM(I109:I111)</f>
        <v/>
      </c>
      <c r="J108" s="60">
        <f>SUM(J109:J111)</f>
        <v/>
      </c>
      <c r="K108" s="60">
        <f>SUM(K109:K111)</f>
        <v/>
      </c>
      <c r="L108" s="60">
        <f>SUM(L109:L111)</f>
        <v/>
      </c>
      <c r="M108" s="60">
        <f>SUM(M109:M111)</f>
        <v/>
      </c>
      <c r="N108" s="60">
        <f>SUM(N109:N111)</f>
        <v/>
      </c>
      <c r="O108" s="60">
        <f>SUM(O109:O111)</f>
        <v/>
      </c>
      <c r="P108" s="60">
        <f>SUM(P109:P111)</f>
        <v/>
      </c>
    </row>
    <row r="109" ht="15.75" customHeight="1" s="45">
      <c r="A109" s="61" t="n">
        <v>46243</v>
      </c>
      <c r="B109" s="82" t="inlineStr">
        <is>
          <t>Pós-Projeto</t>
        </is>
      </c>
      <c r="C109" s="83" t="inlineStr">
        <is>
          <t>Acolhimento c/ Classif. de Risco</t>
        </is>
      </c>
      <c r="D109" s="64" t="n">
        <v>177</v>
      </c>
      <c r="E109" s="64" t="n">
        <v>120</v>
      </c>
      <c r="F109" s="64" t="n">
        <v>122</v>
      </c>
      <c r="G109" s="64" t="n">
        <v>110</v>
      </c>
      <c r="H109" s="64" t="n">
        <v>102</v>
      </c>
      <c r="I109" s="64" t="n">
        <v>137</v>
      </c>
      <c r="J109" s="64" t="n">
        <v>79</v>
      </c>
      <c r="K109" s="64" t="n">
        <v>208</v>
      </c>
      <c r="L109" s="64" t="n">
        <v>96</v>
      </c>
      <c r="M109" s="64" t="n">
        <v>165</v>
      </c>
      <c r="N109" s="64" t="n">
        <v>148</v>
      </c>
      <c r="O109" s="64" t="n">
        <v>209</v>
      </c>
      <c r="P109" s="64" t="n">
        <v>154</v>
      </c>
    </row>
    <row r="110" ht="15.75" customHeight="1" s="45">
      <c r="A110" s="61" t="n">
        <v>46243</v>
      </c>
      <c r="B110" s="82" t="inlineStr">
        <is>
          <t>Pós-Projeto</t>
        </is>
      </c>
      <c r="C110" s="84" t="inlineStr">
        <is>
          <t>Atend. Urgência Obs. ≤ 24h</t>
        </is>
      </c>
      <c r="D110" s="66" t="n">
        <v>12</v>
      </c>
      <c r="E110" s="66" t="n">
        <v>31</v>
      </c>
      <c r="F110" s="66" t="n">
        <v>25</v>
      </c>
      <c r="G110" s="66" t="n">
        <v>15</v>
      </c>
      <c r="H110" s="66" t="n">
        <v>16</v>
      </c>
      <c r="I110" s="66" t="n">
        <v>22</v>
      </c>
      <c r="J110" s="66" t="n">
        <v>16</v>
      </c>
      <c r="K110" s="66" t="n">
        <v>36</v>
      </c>
      <c r="L110" s="66" t="n">
        <v>39</v>
      </c>
      <c r="M110" s="66" t="n">
        <v>37</v>
      </c>
      <c r="N110" s="66" t="n">
        <v>22</v>
      </c>
      <c r="O110" s="66" t="n">
        <v>4</v>
      </c>
      <c r="P110" s="66" t="n">
        <v>72</v>
      </c>
    </row>
    <row r="111" ht="15.75" customHeight="1" s="45">
      <c r="A111" s="61" t="n">
        <v>46243</v>
      </c>
      <c r="B111" s="82" t="inlineStr">
        <is>
          <t>Pós-Projeto</t>
        </is>
      </c>
      <c r="C111" s="83" t="inlineStr">
        <is>
          <t>Atend. Médico em UPA</t>
        </is>
      </c>
      <c r="D111" s="64" t="n">
        <v>161</v>
      </c>
      <c r="E111" s="64" t="n">
        <v>66</v>
      </c>
      <c r="F111" s="64" t="n">
        <v>84</v>
      </c>
      <c r="G111" s="64" t="n">
        <v>66</v>
      </c>
      <c r="H111" s="64" t="n">
        <v>90</v>
      </c>
      <c r="I111" s="64" t="n">
        <v>112</v>
      </c>
      <c r="J111" s="64" t="n">
        <v>70</v>
      </c>
      <c r="K111" s="64" t="n">
        <v>128</v>
      </c>
      <c r="L111" s="64" t="n">
        <v>78</v>
      </c>
      <c r="M111" s="64" t="n">
        <v>118</v>
      </c>
      <c r="N111" s="64" t="n">
        <v>103</v>
      </c>
      <c r="O111" s="64" t="n">
        <v>165</v>
      </c>
      <c r="P111" s="64" t="n">
        <v>70</v>
      </c>
    </row>
    <row r="112" ht="15.75" customHeight="1" s="45">
      <c r="A112" s="61" t="n">
        <v>46243</v>
      </c>
      <c r="B112" s="82" t="inlineStr">
        <is>
          <t>Pós-Projeto</t>
        </is>
      </c>
      <c r="C112" s="84" t="inlineStr">
        <is>
          <t>Exames Laboratoriais</t>
        </is>
      </c>
      <c r="D112" s="66" t="n">
        <v>535</v>
      </c>
      <c r="E112" s="66" t="n">
        <v>464</v>
      </c>
      <c r="F112" s="66" t="n">
        <v>552</v>
      </c>
      <c r="G112" s="66" t="n">
        <v>170</v>
      </c>
      <c r="H112" s="66" t="n">
        <v>327</v>
      </c>
      <c r="I112" s="66" t="n">
        <v>657</v>
      </c>
      <c r="J112" s="66" t="n">
        <v>171</v>
      </c>
      <c r="K112" s="66" t="n">
        <v>639</v>
      </c>
      <c r="L112" s="66" t="n">
        <v>458</v>
      </c>
      <c r="M112" s="66" t="n">
        <v>518</v>
      </c>
      <c r="N112" s="66" t="n">
        <v>320</v>
      </c>
      <c r="O112" s="66" t="n">
        <v>348</v>
      </c>
      <c r="P112" s="66" t="n">
        <v>187</v>
      </c>
    </row>
    <row r="113" ht="15.75" customHeight="1" s="45">
      <c r="A113" s="61" t="n">
        <v>46243</v>
      </c>
      <c r="B113" s="82" t="inlineStr">
        <is>
          <t>Pós-Projeto</t>
        </is>
      </c>
      <c r="C113" s="83" t="inlineStr">
        <is>
          <t>Radiografias</t>
        </is>
      </c>
      <c r="D113" s="64" t="n">
        <v>15</v>
      </c>
      <c r="E113" s="64" t="n">
        <v>16</v>
      </c>
      <c r="F113" s="64" t="n">
        <v>17</v>
      </c>
      <c r="G113" s="64" t="n">
        <v>9</v>
      </c>
      <c r="H113" s="67" t="n">
        <v>0</v>
      </c>
      <c r="I113" s="64" t="n">
        <v>18</v>
      </c>
      <c r="J113" s="64" t="n">
        <v>13</v>
      </c>
      <c r="K113" s="64" t="n">
        <v>17</v>
      </c>
      <c r="L113" s="64" t="n">
        <v>8</v>
      </c>
      <c r="M113" s="64" t="n">
        <v>46</v>
      </c>
      <c r="N113" s="64" t="n">
        <v>13</v>
      </c>
      <c r="O113" s="64" t="n">
        <v>24</v>
      </c>
      <c r="P113" s="64" t="n">
        <v>21</v>
      </c>
    </row>
    <row r="114" ht="15.75" customHeight="1" s="45">
      <c r="A114" s="61" t="n">
        <v>46243</v>
      </c>
      <c r="B114" s="82" t="inlineStr">
        <is>
          <t>Pós-Projeto</t>
        </is>
      </c>
      <c r="C114" s="84" t="inlineStr">
        <is>
          <t>Eletrocardiogramas</t>
        </is>
      </c>
      <c r="D114" s="66" t="n">
        <v>20</v>
      </c>
      <c r="E114" s="67" t="n">
        <v>0</v>
      </c>
      <c r="F114" s="67" t="n">
        <v>0</v>
      </c>
      <c r="G114" s="66" t="n">
        <v>2</v>
      </c>
      <c r="H114" s="67" t="n">
        <v>0</v>
      </c>
      <c r="I114" s="67" t="n">
        <v>0</v>
      </c>
      <c r="J114" s="67" t="n">
        <v>0</v>
      </c>
      <c r="K114" s="66" t="n">
        <v>1</v>
      </c>
      <c r="L114" s="67" t="n">
        <v>0</v>
      </c>
      <c r="M114" s="67" t="n">
        <v>0</v>
      </c>
      <c r="N114" s="66" t="n">
        <v>9</v>
      </c>
      <c r="O114" s="67" t="n">
        <v>0</v>
      </c>
      <c r="P114" s="66" t="n">
        <v>20</v>
      </c>
    </row>
    <row r="115" ht="15.75" customHeight="1" s="45">
      <c r="A115" s="61" t="n">
        <v>46243</v>
      </c>
      <c r="B115" s="82" t="inlineStr">
        <is>
          <t>Pós-Projeto</t>
        </is>
      </c>
      <c r="C115" s="85" t="inlineStr">
        <is>
          <t>GAEs Abertas</t>
        </is>
      </c>
      <c r="D115" s="69" t="n">
        <v>181</v>
      </c>
      <c r="E115" s="69" t="n">
        <v>129</v>
      </c>
      <c r="F115" s="69" t="n">
        <v>125</v>
      </c>
      <c r="G115" s="69" t="n">
        <v>112</v>
      </c>
      <c r="H115" s="69" t="n">
        <v>109</v>
      </c>
      <c r="I115" s="69" t="n">
        <v>143</v>
      </c>
      <c r="J115" s="69" t="n">
        <v>85</v>
      </c>
      <c r="K115" s="69" t="n">
        <v>235</v>
      </c>
      <c r="L115" s="69" t="n">
        <v>100</v>
      </c>
      <c r="M115" s="69" t="n">
        <v>177</v>
      </c>
      <c r="N115" s="69" t="n">
        <v>154</v>
      </c>
      <c r="O115" s="69" t="n">
        <v>218</v>
      </c>
      <c r="P115" s="69" t="n">
        <v>159</v>
      </c>
    </row>
    <row r="116" ht="15.75" customHeight="1" s="45">
      <c r="A116" s="61" t="n">
        <v>46243</v>
      </c>
      <c r="B116" s="82" t="inlineStr">
        <is>
          <t>Pós-Projeto</t>
        </is>
      </c>
      <c r="C116" s="85" t="inlineStr">
        <is>
          <t>GAEs Classificadas</t>
        </is>
      </c>
      <c r="D116" s="69" t="n">
        <v>178</v>
      </c>
      <c r="E116" s="69" t="n">
        <v>120</v>
      </c>
      <c r="F116" s="69" t="n">
        <v>122</v>
      </c>
      <c r="G116" s="69" t="n">
        <v>111</v>
      </c>
      <c r="H116" s="69" t="n">
        <v>103</v>
      </c>
      <c r="I116" s="69" t="n">
        <v>137</v>
      </c>
      <c r="J116" s="69" t="n">
        <v>81</v>
      </c>
      <c r="K116" s="69" t="n">
        <v>209</v>
      </c>
      <c r="L116" s="69" t="n">
        <v>96</v>
      </c>
      <c r="M116" s="69" t="n">
        <v>167</v>
      </c>
      <c r="N116" s="69" t="n">
        <v>149</v>
      </c>
      <c r="O116" s="69" t="n">
        <v>211</v>
      </c>
      <c r="P116" s="69" t="n">
        <v>154</v>
      </c>
    </row>
    <row r="117" ht="15.75" customHeight="1" s="45">
      <c r="A117" s="61" t="n">
        <v>46243</v>
      </c>
      <c r="B117" s="82" t="inlineStr">
        <is>
          <t>Pós-Projeto</t>
        </is>
      </c>
      <c r="C117" s="86" t="inlineStr">
        <is>
          <t>Percentual de GAEs abertas classificadas</t>
        </is>
      </c>
      <c r="D117" s="71">
        <f>IFERROR(D116/D115,"-")</f>
        <v/>
      </c>
      <c r="E117" s="71">
        <f>IFERROR(E116/E115,"-")</f>
        <v/>
      </c>
      <c r="F117" s="71">
        <f>IFERROR(F116/F115,"-")</f>
        <v/>
      </c>
      <c r="G117" s="71">
        <f>IFERROR(G116/G115,"-")</f>
        <v/>
      </c>
      <c r="H117" s="71">
        <f>IFERROR(H116/H115,"-")</f>
        <v/>
      </c>
      <c r="I117" s="71">
        <f>IFERROR(I116/I115,"-")</f>
        <v/>
      </c>
      <c r="J117" s="71">
        <f>IFERROR(J116/J115,"-")</f>
        <v/>
      </c>
      <c r="K117" s="71">
        <f>IFERROR(K116/K115,"-")</f>
        <v/>
      </c>
      <c r="L117" s="71">
        <f>IFERROR(L116/L115,"-")</f>
        <v/>
      </c>
      <c r="M117" s="71">
        <f>IFERROR(M116/M115,"-")</f>
        <v/>
      </c>
      <c r="N117" s="71">
        <f>IFERROR(N116/N115,"-")</f>
        <v/>
      </c>
      <c r="O117" s="71">
        <f>IFERROR(O116/O115,"-")</f>
        <v/>
      </c>
      <c r="P117" s="71">
        <f>IFERROR(P116/P115,"-")</f>
        <v/>
      </c>
    </row>
    <row r="118" ht="15.75" customHeight="1" s="45">
      <c r="A118" s="61" t="n">
        <v>46243</v>
      </c>
      <c r="B118" s="82" t="inlineStr">
        <is>
          <t>Pós-Projeto</t>
        </is>
      </c>
      <c r="C118" s="87" t="inlineStr">
        <is>
          <t>Tempo Médio — 🟡 Amarelo (hh:mm)</t>
        </is>
      </c>
      <c r="D118" s="73" t="n">
        <v>0.05875</v>
      </c>
      <c r="E118" s="73" t="n">
        <v>0.1467708333333333</v>
      </c>
      <c r="F118" s="73" t="n">
        <v>0.06579861111111111</v>
      </c>
      <c r="G118" s="73" t="n">
        <v>0.07052083333333334</v>
      </c>
      <c r="H118" s="73" t="n">
        <v>0.02230324074074074</v>
      </c>
      <c r="I118" s="73" t="n">
        <v>0.02642361111111111</v>
      </c>
      <c r="J118" s="73" t="n">
        <v>0.05237268518518518</v>
      </c>
      <c r="K118" s="73" t="n">
        <v>0.09864583333333334</v>
      </c>
      <c r="L118" s="73" t="n">
        <v>0.05743055555555555</v>
      </c>
      <c r="M118" s="73" t="n">
        <v>0.03423611111111111</v>
      </c>
      <c r="N118" s="73" t="n">
        <v>0.07260416666666666</v>
      </c>
      <c r="O118" s="73" t="n">
        <v>0.0389699074074074</v>
      </c>
      <c r="P118" s="73" t="n">
        <v>0.02082175925925926</v>
      </c>
    </row>
    <row r="119" ht="15.75" customHeight="1" s="45">
      <c r="A119" s="61" t="n">
        <v>46243</v>
      </c>
      <c r="B119" s="82" t="inlineStr">
        <is>
          <t>Pós-Projeto</t>
        </is>
      </c>
      <c r="C119" s="88" t="inlineStr">
        <is>
          <t>Tempo Médio — 🟠 Laranja (hh:mm)</t>
        </is>
      </c>
      <c r="D119" s="75" t="n">
        <v>0.00537037037037037</v>
      </c>
      <c r="E119" s="75" t="n">
        <v>0.0225</v>
      </c>
      <c r="F119" s="75" t="n">
        <v>0.005555555555555556</v>
      </c>
      <c r="G119" s="75" t="n">
        <v>0.004907407407407407</v>
      </c>
      <c r="H119" s="75" t="n">
        <v>0.008194444444444445</v>
      </c>
      <c r="I119" s="75" t="n">
        <v>0.007002314814814815</v>
      </c>
      <c r="J119" s="75" t="n">
        <v>0.01300925925925926</v>
      </c>
      <c r="K119" s="75" t="n">
        <v>0.01780092592592592</v>
      </c>
      <c r="L119" s="75" t="n">
        <v>0.005960648148148148</v>
      </c>
      <c r="M119" s="75" t="n">
        <v>0.00568287037037037</v>
      </c>
      <c r="N119" s="75" t="n">
        <v>0.009837962962962963</v>
      </c>
      <c r="O119" s="75" t="n">
        <v>0.009351851851851853</v>
      </c>
      <c r="P119" s="75" t="n">
        <v>0.008715277777777778</v>
      </c>
    </row>
    <row r="120" ht="15.75" customHeight="1" s="45">
      <c r="A120" s="76" t="n">
        <v>46243</v>
      </c>
      <c r="B120" s="82" t="inlineStr">
        <is>
          <t>Pós-Projeto</t>
        </is>
      </c>
      <c r="C120" s="91" t="inlineStr">
        <is>
          <t>Tempo Médio — 🟢 Verde   (hh:mm)</t>
        </is>
      </c>
      <c r="D120" s="79" t="n">
        <v>0.08211805555555556</v>
      </c>
      <c r="E120" s="79" t="n">
        <v>0.1463657407407407</v>
      </c>
      <c r="F120" s="79" t="n">
        <v>0.1518518518518518</v>
      </c>
      <c r="G120" s="79" t="n">
        <v>0.1469212962962963</v>
      </c>
      <c r="H120" s="79" t="n">
        <v>0.08018518518518518</v>
      </c>
      <c r="I120" s="79" t="n">
        <v>0.08221064814814814</v>
      </c>
      <c r="J120" s="79" t="n">
        <v>0.07559027777777778</v>
      </c>
      <c r="K120" s="79" t="n">
        <v>0.04231481481481481</v>
      </c>
      <c r="L120" s="79" t="n">
        <v>0.08033564814814814</v>
      </c>
      <c r="M120" s="79" t="n">
        <v>0.03085648148148148</v>
      </c>
      <c r="N120" s="79" t="n">
        <v>0.1107060185185185</v>
      </c>
      <c r="O120" s="79" t="n">
        <v>0.07532407407407407</v>
      </c>
      <c r="P120" s="79" t="n">
        <v>0.08924768518518518</v>
      </c>
    </row>
    <row r="121" ht="15.75" customHeight="1" s="45">
      <c r="A121" s="57" t="n">
        <v>46244</v>
      </c>
      <c r="B121" s="81" t="inlineStr">
        <is>
          <t>Pós-Projeto</t>
        </is>
      </c>
      <c r="C121" s="59" t="inlineStr">
        <is>
          <t>Acolhim. + Atend. Urgência + Atend. UPA</t>
        </is>
      </c>
      <c r="D121" s="60">
        <f>SUM(D122:D124)</f>
        <v/>
      </c>
      <c r="E121" s="60">
        <f>SUM(E122:E124)</f>
        <v/>
      </c>
      <c r="F121" s="60">
        <f>SUM(F122:F124)</f>
        <v/>
      </c>
      <c r="G121" s="60">
        <f>SUM(G122:G124)</f>
        <v/>
      </c>
      <c r="H121" s="60">
        <f>SUM(H122:H124)</f>
        <v/>
      </c>
      <c r="I121" s="60">
        <f>SUM(I122:I124)</f>
        <v/>
      </c>
      <c r="J121" s="60">
        <f>SUM(J122:J124)</f>
        <v/>
      </c>
      <c r="K121" s="60">
        <f>SUM(K122:K124)</f>
        <v/>
      </c>
      <c r="L121" s="60">
        <f>SUM(L122:L124)</f>
        <v/>
      </c>
      <c r="M121" s="60">
        <f>SUM(M122:M124)</f>
        <v/>
      </c>
      <c r="N121" s="60">
        <f>SUM(N122:N124)</f>
        <v/>
      </c>
      <c r="O121" s="60">
        <f>SUM(O122:O124)</f>
        <v/>
      </c>
      <c r="P121" s="60">
        <f>SUM(P122:P124)</f>
        <v/>
      </c>
    </row>
    <row r="122" ht="15.75" customHeight="1" s="45">
      <c r="A122" s="61" t="n">
        <v>46244</v>
      </c>
      <c r="B122" s="82" t="inlineStr">
        <is>
          <t>Pós-Projeto</t>
        </is>
      </c>
      <c r="C122" s="83" t="inlineStr">
        <is>
          <t>Acolhimento c/ Classif. de Risco</t>
        </is>
      </c>
      <c r="D122" s="64" t="n">
        <v>240</v>
      </c>
      <c r="E122" s="64" t="n">
        <v>175</v>
      </c>
      <c r="F122" s="64" t="n">
        <v>170</v>
      </c>
      <c r="G122" s="64" t="n">
        <v>170</v>
      </c>
      <c r="H122" s="64" t="n">
        <v>144</v>
      </c>
      <c r="I122" s="64" t="n">
        <v>229</v>
      </c>
      <c r="J122" s="64" t="n">
        <v>160</v>
      </c>
      <c r="K122" s="64" t="n">
        <v>330</v>
      </c>
      <c r="L122" s="64" t="n">
        <v>151</v>
      </c>
      <c r="M122" s="64" t="n">
        <v>250</v>
      </c>
      <c r="N122" s="64" t="n">
        <v>227</v>
      </c>
      <c r="O122" s="64" t="n">
        <v>286</v>
      </c>
      <c r="P122" s="64" t="n">
        <v>263</v>
      </c>
    </row>
    <row r="123" ht="15.75" customHeight="1" s="45">
      <c r="A123" s="61" t="n">
        <v>46244</v>
      </c>
      <c r="B123" s="82" t="inlineStr">
        <is>
          <t>Pós-Projeto</t>
        </is>
      </c>
      <c r="C123" s="84" t="inlineStr">
        <is>
          <t>Atend. Urgência Obs. ≤ 24h</t>
        </is>
      </c>
      <c r="D123" s="66" t="n">
        <v>23</v>
      </c>
      <c r="E123" s="66" t="n">
        <v>12</v>
      </c>
      <c r="F123" s="66" t="n">
        <v>20</v>
      </c>
      <c r="G123" s="66" t="n">
        <v>26</v>
      </c>
      <c r="H123" s="66" t="n">
        <v>15</v>
      </c>
      <c r="I123" s="66" t="n">
        <v>11</v>
      </c>
      <c r="J123" s="66" t="n">
        <v>2</v>
      </c>
      <c r="K123" s="66" t="n">
        <v>46</v>
      </c>
      <c r="L123" s="66" t="n">
        <v>61</v>
      </c>
      <c r="M123" s="66" t="n">
        <v>46</v>
      </c>
      <c r="N123" s="66" t="n">
        <v>21</v>
      </c>
      <c r="O123" s="66" t="n">
        <v>8</v>
      </c>
      <c r="P123" s="66" t="n">
        <v>43</v>
      </c>
    </row>
    <row r="124" ht="15.75" customHeight="1" s="45">
      <c r="A124" s="61" t="n">
        <v>46244</v>
      </c>
      <c r="B124" s="82" t="inlineStr">
        <is>
          <t>Pós-Projeto</t>
        </is>
      </c>
      <c r="C124" s="83" t="inlineStr">
        <is>
          <t>Atend. Médico em UPA</t>
        </is>
      </c>
      <c r="D124" s="64" t="n">
        <v>211</v>
      </c>
      <c r="E124" s="64" t="n">
        <v>127</v>
      </c>
      <c r="F124" s="64" t="n">
        <v>135</v>
      </c>
      <c r="G124" s="64" t="n">
        <v>132</v>
      </c>
      <c r="H124" s="64" t="n">
        <v>113</v>
      </c>
      <c r="I124" s="64" t="n">
        <v>210</v>
      </c>
      <c r="J124" s="64" t="n">
        <v>119</v>
      </c>
      <c r="K124" s="64" t="n">
        <v>298</v>
      </c>
      <c r="L124" s="64" t="n">
        <v>119</v>
      </c>
      <c r="M124" s="64" t="n">
        <v>186</v>
      </c>
      <c r="N124" s="64" t="n">
        <v>156</v>
      </c>
      <c r="O124" s="64" t="n">
        <v>189</v>
      </c>
      <c r="P124" s="64" t="n">
        <v>165</v>
      </c>
    </row>
    <row r="125" ht="15.75" customHeight="1" s="45">
      <c r="A125" s="61" t="n">
        <v>46244</v>
      </c>
      <c r="B125" s="82" t="inlineStr">
        <is>
          <t>Pós-Projeto</t>
        </is>
      </c>
      <c r="C125" s="84" t="inlineStr">
        <is>
          <t>Exames Laboratoriais</t>
        </is>
      </c>
      <c r="D125" s="66" t="n">
        <v>611</v>
      </c>
      <c r="E125" s="66" t="n">
        <v>474</v>
      </c>
      <c r="F125" s="66" t="n">
        <v>642</v>
      </c>
      <c r="G125" s="66" t="n">
        <v>458</v>
      </c>
      <c r="H125" s="66" t="n">
        <v>369</v>
      </c>
      <c r="I125" s="66" t="n">
        <v>690</v>
      </c>
      <c r="J125" s="66" t="n">
        <v>413</v>
      </c>
      <c r="K125" s="66" t="n">
        <v>853</v>
      </c>
      <c r="L125" s="66" t="n">
        <v>618</v>
      </c>
      <c r="M125" s="66" t="n">
        <v>630</v>
      </c>
      <c r="N125" s="66" t="n">
        <v>499</v>
      </c>
      <c r="O125" s="66" t="n">
        <v>395</v>
      </c>
      <c r="P125" s="66" t="n">
        <v>577</v>
      </c>
    </row>
    <row r="126" ht="15.75" customHeight="1" s="45">
      <c r="A126" s="61" t="n">
        <v>46244</v>
      </c>
      <c r="B126" s="82" t="inlineStr">
        <is>
          <t>Pós-Projeto</t>
        </is>
      </c>
      <c r="C126" s="83" t="inlineStr">
        <is>
          <t>Radiografias</t>
        </is>
      </c>
      <c r="D126" s="64" t="n">
        <v>38</v>
      </c>
      <c r="E126" s="64" t="n">
        <v>24</v>
      </c>
      <c r="F126" s="64" t="n">
        <v>32</v>
      </c>
      <c r="G126" s="64" t="n">
        <v>37</v>
      </c>
      <c r="H126" s="67" t="n">
        <v>0</v>
      </c>
      <c r="I126" s="64" t="n">
        <v>17</v>
      </c>
      <c r="J126" s="64" t="n">
        <v>23</v>
      </c>
      <c r="K126" s="64" t="n">
        <v>53</v>
      </c>
      <c r="L126" s="64" t="n">
        <v>28</v>
      </c>
      <c r="M126" s="64" t="n">
        <v>32</v>
      </c>
      <c r="N126" s="64" t="n">
        <v>17</v>
      </c>
      <c r="O126" s="64" t="n">
        <v>61</v>
      </c>
      <c r="P126" s="64" t="n">
        <v>42</v>
      </c>
    </row>
    <row r="127" ht="15.75" customHeight="1" s="45">
      <c r="A127" s="61" t="n">
        <v>46244</v>
      </c>
      <c r="B127" s="82" t="inlineStr">
        <is>
          <t>Pós-Projeto</t>
        </is>
      </c>
      <c r="C127" s="84" t="inlineStr">
        <is>
          <t>Eletrocardiogramas</t>
        </is>
      </c>
      <c r="D127" s="66" t="n">
        <v>1</v>
      </c>
      <c r="E127" s="66" t="n">
        <v>1</v>
      </c>
      <c r="F127" s="67" t="n">
        <v>0</v>
      </c>
      <c r="G127" s="66" t="n">
        <v>3</v>
      </c>
      <c r="H127" s="66" t="n">
        <v>1</v>
      </c>
      <c r="I127" s="67" t="n">
        <v>0</v>
      </c>
      <c r="J127" s="67" t="n">
        <v>0</v>
      </c>
      <c r="K127" s="67" t="n">
        <v>0</v>
      </c>
      <c r="L127" s="67" t="n">
        <v>0</v>
      </c>
      <c r="M127" s="67" t="n">
        <v>0</v>
      </c>
      <c r="N127" s="66" t="n">
        <v>8</v>
      </c>
      <c r="O127" s="67" t="n">
        <v>0</v>
      </c>
      <c r="P127" s="66" t="n">
        <v>27</v>
      </c>
    </row>
    <row r="128" ht="15.75" customHeight="1" s="45">
      <c r="A128" s="61" t="n">
        <v>46244</v>
      </c>
      <c r="B128" s="82" t="inlineStr">
        <is>
          <t>Pós-Projeto</t>
        </is>
      </c>
      <c r="C128" s="85" t="inlineStr">
        <is>
          <t>GAEs Abertas</t>
        </is>
      </c>
      <c r="D128" s="69" t="n">
        <v>243</v>
      </c>
      <c r="E128" s="69" t="n">
        <v>183</v>
      </c>
      <c r="F128" s="69" t="n">
        <v>184</v>
      </c>
      <c r="G128" s="69" t="n">
        <v>173</v>
      </c>
      <c r="H128" s="69" t="n">
        <v>143</v>
      </c>
      <c r="I128" s="69" t="n">
        <v>251</v>
      </c>
      <c r="J128" s="69" t="n">
        <v>162</v>
      </c>
      <c r="K128" s="69" t="n">
        <v>354</v>
      </c>
      <c r="L128" s="69" t="n">
        <v>157</v>
      </c>
      <c r="M128" s="69" t="n">
        <v>255</v>
      </c>
      <c r="N128" s="69" t="n">
        <v>237</v>
      </c>
      <c r="O128" s="69" t="n">
        <v>293</v>
      </c>
      <c r="P128" s="69" t="n">
        <v>267</v>
      </c>
    </row>
    <row r="129" ht="15.75" customHeight="1" s="45">
      <c r="A129" s="61" t="n">
        <v>46244</v>
      </c>
      <c r="B129" s="82" t="inlineStr">
        <is>
          <t>Pós-Projeto</t>
        </is>
      </c>
      <c r="C129" s="85" t="inlineStr">
        <is>
          <t>GAEs Classificadas</t>
        </is>
      </c>
      <c r="D129" s="69" t="n">
        <v>239</v>
      </c>
      <c r="E129" s="69" t="n">
        <v>176</v>
      </c>
      <c r="F129" s="69" t="n">
        <v>170</v>
      </c>
      <c r="G129" s="69" t="n">
        <v>168</v>
      </c>
      <c r="H129" s="69" t="n">
        <v>143</v>
      </c>
      <c r="I129" s="69" t="n">
        <v>230</v>
      </c>
      <c r="J129" s="69" t="n">
        <v>160</v>
      </c>
      <c r="K129" s="69" t="n">
        <v>327</v>
      </c>
      <c r="L129" s="69" t="n">
        <v>153</v>
      </c>
      <c r="M129" s="69" t="n">
        <v>249</v>
      </c>
      <c r="N129" s="69" t="n">
        <v>228</v>
      </c>
      <c r="O129" s="69" t="n">
        <v>286</v>
      </c>
      <c r="P129" s="69" t="n">
        <v>262</v>
      </c>
    </row>
    <row r="130" ht="15.75" customHeight="1" s="45">
      <c r="A130" s="61" t="n">
        <v>46244</v>
      </c>
      <c r="B130" s="82" t="inlineStr">
        <is>
          <t>Pós-Projeto</t>
        </is>
      </c>
      <c r="C130" s="86" t="inlineStr">
        <is>
          <t>Percentual de GAEs abertas classificadas</t>
        </is>
      </c>
      <c r="D130" s="71">
        <f>IFERROR(D129/D128,"-")</f>
        <v/>
      </c>
      <c r="E130" s="71">
        <f>IFERROR(E129/E128,"-")</f>
        <v/>
      </c>
      <c r="F130" s="71">
        <f>IFERROR(F129/F128,"-")</f>
        <v/>
      </c>
      <c r="G130" s="71">
        <f>IFERROR(G129/G128,"-")</f>
        <v/>
      </c>
      <c r="H130" s="71">
        <f>IFERROR(H129/H128,"-")</f>
        <v/>
      </c>
      <c r="I130" s="71">
        <f>IFERROR(I129/I128,"-")</f>
        <v/>
      </c>
      <c r="J130" s="71">
        <f>IFERROR(J129/J128,"-")</f>
        <v/>
      </c>
      <c r="K130" s="71">
        <f>IFERROR(K129/K128,"-")</f>
        <v/>
      </c>
      <c r="L130" s="71">
        <f>IFERROR(L129/L128,"-")</f>
        <v/>
      </c>
      <c r="M130" s="71">
        <f>IFERROR(M129/M128,"-")</f>
        <v/>
      </c>
      <c r="N130" s="71">
        <f>IFERROR(N129/N128,"-")</f>
        <v/>
      </c>
      <c r="O130" s="71">
        <f>IFERROR(O129/O128,"-")</f>
        <v/>
      </c>
      <c r="P130" s="71">
        <f>IFERROR(P129/P128,"-")</f>
        <v/>
      </c>
    </row>
    <row r="131" ht="15.75" customHeight="1" s="45">
      <c r="A131" s="61" t="n">
        <v>46244</v>
      </c>
      <c r="B131" s="82" t="inlineStr">
        <is>
          <t>Pós-Projeto</t>
        </is>
      </c>
      <c r="C131" s="87" t="inlineStr">
        <is>
          <t>Tempo Médio — 🟡 Amarelo (hh:mm)</t>
        </is>
      </c>
      <c r="D131" s="73" t="n">
        <v>0.02766203703703704</v>
      </c>
      <c r="E131" s="73" t="n">
        <v>0.02789351851851852</v>
      </c>
      <c r="F131" s="73" t="n">
        <v>0.04266203703703704</v>
      </c>
      <c r="G131" s="73" t="n">
        <v>0.0300462962962963</v>
      </c>
      <c r="H131" s="73" t="n">
        <v>0.0225462962962963</v>
      </c>
      <c r="I131" s="73" t="n">
        <v>0.06644675925925926</v>
      </c>
      <c r="J131" s="73" t="n">
        <v>0.03662037037037037</v>
      </c>
      <c r="K131" s="73" t="n">
        <v>0.05880787037037037</v>
      </c>
      <c r="L131" s="73" t="n">
        <v>0.1084259259259259</v>
      </c>
      <c r="M131" s="73" t="n">
        <v>0.02806712962962963</v>
      </c>
      <c r="N131" s="73" t="n">
        <v>0.03045138888888889</v>
      </c>
      <c r="O131" s="73" t="n">
        <v>0.03657407407407407</v>
      </c>
      <c r="P131" s="73" t="n">
        <v>0.02153935185185185</v>
      </c>
    </row>
    <row r="132" ht="15.75" customHeight="1" s="45">
      <c r="A132" s="61" t="n">
        <v>46244</v>
      </c>
      <c r="B132" s="82" t="inlineStr">
        <is>
          <t>Pós-Projeto</t>
        </is>
      </c>
      <c r="C132" s="88" t="inlineStr">
        <is>
          <t>Tempo Médio — 🟠 Laranja (hh:mm)</t>
        </is>
      </c>
      <c r="D132" s="75" t="n">
        <v>0.01076388888888889</v>
      </c>
      <c r="E132" s="75" t="n">
        <v>0.007418981481481481</v>
      </c>
      <c r="F132" s="75" t="n">
        <v>0.007175925925925926</v>
      </c>
      <c r="G132" s="75" t="n">
        <v>0.00712962962962963</v>
      </c>
      <c r="H132" s="75" t="n">
        <v>0.006226851851851851</v>
      </c>
      <c r="I132" s="75" t="n">
        <v>0.005555555555555556</v>
      </c>
      <c r="J132" s="75" t="n">
        <v>0.01113425925925926</v>
      </c>
      <c r="K132" s="75" t="n">
        <v>0.00886574074074074</v>
      </c>
      <c r="L132" s="75" t="n">
        <v>0.01622685185185185</v>
      </c>
      <c r="M132" s="75" t="n">
        <v>0.009143518518518518</v>
      </c>
      <c r="N132" s="75" t="n">
        <v>0.01375</v>
      </c>
      <c r="O132" s="75" t="n">
        <v>0.009907407407407408</v>
      </c>
      <c r="P132" s="75" t="n">
        <v>0.008831018518518519</v>
      </c>
    </row>
    <row r="133" ht="15.75" customHeight="1" s="45">
      <c r="A133" s="76" t="n">
        <v>46244</v>
      </c>
      <c r="B133" s="82" t="inlineStr">
        <is>
          <t>Pós-Projeto</t>
        </is>
      </c>
      <c r="C133" s="91" t="inlineStr">
        <is>
          <t>Tempo Médio — 🟢 Verde   (hh:mm)</t>
        </is>
      </c>
      <c r="D133" s="79" t="n">
        <v>0.04456018518518518</v>
      </c>
      <c r="E133" s="79" t="n">
        <v>0.1003240740740741</v>
      </c>
      <c r="F133" s="79" t="n">
        <v>0.1181597222222222</v>
      </c>
      <c r="G133" s="79" t="n">
        <v>0.1096759259259259</v>
      </c>
      <c r="H133" s="79" t="n">
        <v>0.1154513888888889</v>
      </c>
      <c r="I133" s="79" t="n">
        <v>0.1618865740740741</v>
      </c>
      <c r="J133" s="79" t="n">
        <v>0.06068287037037037</v>
      </c>
      <c r="K133" s="79" t="n">
        <v>0.0816550925925926</v>
      </c>
      <c r="L133" s="79" t="n">
        <v>0.09103009259259259</v>
      </c>
      <c r="M133" s="79" t="n">
        <v>0.05076388888888889</v>
      </c>
      <c r="N133" s="79" t="n">
        <v>0.08630787037037037</v>
      </c>
      <c r="O133" s="79" t="n">
        <v>0.08320601851851851</v>
      </c>
      <c r="P133" s="79" t="n">
        <v>0.07284722222222222</v>
      </c>
    </row>
    <row r="134" ht="15.75" customHeight="1" s="45">
      <c r="A134" s="57" t="n">
        <v>46245</v>
      </c>
      <c r="B134" s="81" t="inlineStr">
        <is>
          <t>Pós-Projeto</t>
        </is>
      </c>
      <c r="C134" s="59" t="inlineStr">
        <is>
          <t>Acolhim. + Atend. Urgência + Atend. UPA</t>
        </is>
      </c>
      <c r="D134" s="60">
        <f>SUM(D135:D137)</f>
        <v/>
      </c>
      <c r="E134" s="60">
        <f>SUM(E135:E137)</f>
        <v/>
      </c>
      <c r="F134" s="60">
        <f>SUM(F135:F137)</f>
        <v/>
      </c>
      <c r="G134" s="60">
        <f>SUM(G135:G137)</f>
        <v/>
      </c>
      <c r="H134" s="60">
        <f>SUM(H135:H137)</f>
        <v/>
      </c>
      <c r="I134" s="60">
        <f>SUM(I135:I137)</f>
        <v/>
      </c>
      <c r="J134" s="60">
        <f>SUM(J135:J137)</f>
        <v/>
      </c>
      <c r="K134" s="60">
        <f>SUM(K135:K137)</f>
        <v/>
      </c>
      <c r="L134" s="60">
        <f>SUM(L135:L137)</f>
        <v/>
      </c>
      <c r="M134" s="60">
        <f>SUM(M135:M137)</f>
        <v/>
      </c>
      <c r="N134" s="60">
        <f>SUM(N135:N137)</f>
        <v/>
      </c>
      <c r="O134" s="60">
        <f>SUM(O135:O137)</f>
        <v/>
      </c>
      <c r="P134" s="60">
        <f>SUM(P135:P137)</f>
        <v/>
      </c>
    </row>
    <row r="135" ht="15.75" customHeight="1" s="45">
      <c r="A135" s="61" t="n">
        <v>46245</v>
      </c>
      <c r="B135" s="82" t="inlineStr">
        <is>
          <t>Pós-Projeto</t>
        </is>
      </c>
      <c r="C135" s="83" t="inlineStr">
        <is>
          <t>Acolhimento c/ Classif. de Risco</t>
        </is>
      </c>
      <c r="D135" s="64" t="n">
        <v>206</v>
      </c>
      <c r="E135" s="64" t="n">
        <v>166</v>
      </c>
      <c r="F135" s="64" t="n">
        <v>161</v>
      </c>
      <c r="G135" s="64" t="n">
        <v>141</v>
      </c>
      <c r="H135" s="64" t="n">
        <v>142</v>
      </c>
      <c r="I135" s="64" t="n">
        <v>200</v>
      </c>
      <c r="J135" s="64" t="n">
        <v>131</v>
      </c>
      <c r="K135" s="64" t="n">
        <v>293</v>
      </c>
      <c r="L135" s="64" t="n">
        <v>137</v>
      </c>
      <c r="M135" s="64" t="n">
        <v>255</v>
      </c>
      <c r="N135" s="64" t="n">
        <v>223</v>
      </c>
      <c r="O135" s="64" t="n">
        <v>304</v>
      </c>
      <c r="P135" s="64" t="n">
        <v>216</v>
      </c>
    </row>
    <row r="136" ht="15.75" customHeight="1" s="45">
      <c r="A136" s="61" t="n">
        <v>46245</v>
      </c>
      <c r="B136" s="82" t="inlineStr">
        <is>
          <t>Pós-Projeto</t>
        </is>
      </c>
      <c r="C136" s="84" t="inlineStr">
        <is>
          <t>Atend. Urgência Obs. ≤ 24h</t>
        </is>
      </c>
      <c r="D136" s="66" t="n">
        <v>14</v>
      </c>
      <c r="E136" s="66" t="n">
        <v>5</v>
      </c>
      <c r="F136" s="66" t="n">
        <v>22</v>
      </c>
      <c r="G136" s="66" t="n">
        <v>30</v>
      </c>
      <c r="H136" s="66" t="n">
        <v>7</v>
      </c>
      <c r="I136" s="66" t="n">
        <v>11</v>
      </c>
      <c r="J136" s="66" t="n">
        <v>2</v>
      </c>
      <c r="K136" s="66" t="n">
        <v>28</v>
      </c>
      <c r="L136" s="66" t="n">
        <v>38</v>
      </c>
      <c r="M136" s="66" t="n">
        <v>39</v>
      </c>
      <c r="N136" s="66" t="n">
        <v>16</v>
      </c>
      <c r="O136" s="66" t="n">
        <v>2</v>
      </c>
      <c r="P136" s="66" t="n">
        <v>43</v>
      </c>
    </row>
    <row r="137" ht="15.75" customHeight="1" s="45">
      <c r="A137" s="61" t="n">
        <v>46245</v>
      </c>
      <c r="B137" s="82" t="inlineStr">
        <is>
          <t>Pós-Projeto</t>
        </is>
      </c>
      <c r="C137" s="83" t="inlineStr">
        <is>
          <t>Atend. Médico em UPA</t>
        </is>
      </c>
      <c r="D137" s="64" t="n">
        <v>169</v>
      </c>
      <c r="E137" s="64" t="n">
        <v>123</v>
      </c>
      <c r="F137" s="64" t="n">
        <v>126</v>
      </c>
      <c r="G137" s="64" t="n">
        <v>114</v>
      </c>
      <c r="H137" s="64" t="n">
        <v>94</v>
      </c>
      <c r="I137" s="64" t="n">
        <v>145</v>
      </c>
      <c r="J137" s="64" t="n">
        <v>102</v>
      </c>
      <c r="K137" s="64" t="n">
        <v>257</v>
      </c>
      <c r="L137" s="64" t="n">
        <v>79</v>
      </c>
      <c r="M137" s="64" t="n">
        <v>197</v>
      </c>
      <c r="N137" s="64" t="n">
        <v>133</v>
      </c>
      <c r="O137" s="64" t="n">
        <v>183</v>
      </c>
      <c r="P137" s="64" t="n">
        <v>146</v>
      </c>
    </row>
    <row r="138" ht="15.75" customHeight="1" s="45">
      <c r="A138" s="61" t="n">
        <v>46245</v>
      </c>
      <c r="B138" s="82" t="inlineStr">
        <is>
          <t>Pós-Projeto</t>
        </is>
      </c>
      <c r="C138" s="84" t="inlineStr">
        <is>
          <t>Exames Laboratoriais</t>
        </is>
      </c>
      <c r="D138" s="66" t="n">
        <v>663</v>
      </c>
      <c r="E138" s="66" t="n">
        <v>508</v>
      </c>
      <c r="F138" s="66" t="n">
        <v>237</v>
      </c>
      <c r="G138" s="66" t="n">
        <v>474</v>
      </c>
      <c r="H138" s="66" t="n">
        <v>275</v>
      </c>
      <c r="I138" s="66" t="n">
        <v>779</v>
      </c>
      <c r="J138" s="66" t="n">
        <v>257</v>
      </c>
      <c r="K138" s="66" t="n">
        <v>789</v>
      </c>
      <c r="L138" s="66" t="n">
        <v>757</v>
      </c>
      <c r="M138" s="66" t="n">
        <v>717</v>
      </c>
      <c r="N138" s="66" t="n">
        <v>492</v>
      </c>
      <c r="O138" s="66" t="n">
        <v>455</v>
      </c>
      <c r="P138" s="66" t="n">
        <v>345</v>
      </c>
    </row>
    <row r="139" ht="15.75" customHeight="1" s="45">
      <c r="A139" s="61" t="n">
        <v>46245</v>
      </c>
      <c r="B139" s="82" t="inlineStr">
        <is>
          <t>Pós-Projeto</t>
        </is>
      </c>
      <c r="C139" s="83" t="inlineStr">
        <is>
          <t>Radiografias</t>
        </is>
      </c>
      <c r="D139" s="64" t="n">
        <v>33</v>
      </c>
      <c r="E139" s="64" t="n">
        <v>11</v>
      </c>
      <c r="F139" s="64" t="n">
        <v>24</v>
      </c>
      <c r="G139" s="64" t="n">
        <v>16</v>
      </c>
      <c r="H139" s="67" t="n">
        <v>0</v>
      </c>
      <c r="I139" s="64" t="n">
        <v>13</v>
      </c>
      <c r="J139" s="64" t="n">
        <v>14</v>
      </c>
      <c r="K139" s="64" t="n">
        <v>44</v>
      </c>
      <c r="L139" s="64" t="n">
        <v>26</v>
      </c>
      <c r="M139" s="64" t="n">
        <v>48</v>
      </c>
      <c r="N139" s="64" t="n">
        <v>20</v>
      </c>
      <c r="O139" s="64" t="n">
        <v>57</v>
      </c>
      <c r="P139" s="64" t="n">
        <v>36</v>
      </c>
    </row>
    <row r="140" ht="15.75" customHeight="1" s="45">
      <c r="A140" s="61" t="n">
        <v>46245</v>
      </c>
      <c r="B140" s="82" t="inlineStr">
        <is>
          <t>Pós-Projeto</t>
        </is>
      </c>
      <c r="C140" s="84" t="inlineStr">
        <is>
          <t>Eletrocardiogramas</t>
        </is>
      </c>
      <c r="D140" s="66" t="n">
        <v>26</v>
      </c>
      <c r="E140" s="66" t="n">
        <v>13</v>
      </c>
      <c r="F140" s="66" t="n">
        <v>6</v>
      </c>
      <c r="G140" s="66" t="n">
        <v>7</v>
      </c>
      <c r="H140" s="67" t="n">
        <v>0</v>
      </c>
      <c r="I140" s="66" t="n">
        <v>1</v>
      </c>
      <c r="J140" s="67" t="n">
        <v>0</v>
      </c>
      <c r="K140" s="66" t="n">
        <v>2</v>
      </c>
      <c r="L140" s="67" t="n">
        <v>0</v>
      </c>
      <c r="M140" s="67" t="n">
        <v>0</v>
      </c>
      <c r="N140" s="66" t="n">
        <v>3</v>
      </c>
      <c r="O140" s="67" t="n">
        <v>0</v>
      </c>
      <c r="P140" s="66" t="n">
        <v>1</v>
      </c>
    </row>
    <row r="141" ht="15.75" customHeight="1" s="45">
      <c r="A141" s="61" t="n">
        <v>46245</v>
      </c>
      <c r="B141" s="82" t="inlineStr">
        <is>
          <t>Pós-Projeto</t>
        </is>
      </c>
      <c r="C141" s="85" t="inlineStr">
        <is>
          <t>GAEs Abertas</t>
        </is>
      </c>
      <c r="D141" s="69" t="n">
        <v>222</v>
      </c>
      <c r="E141" s="69" t="n">
        <v>179</v>
      </c>
      <c r="F141" s="69" t="n">
        <v>162</v>
      </c>
      <c r="G141" s="69" t="n">
        <v>147</v>
      </c>
      <c r="H141" s="69" t="n">
        <v>157</v>
      </c>
      <c r="I141" s="69" t="n">
        <v>228</v>
      </c>
      <c r="J141" s="69" t="n">
        <v>136</v>
      </c>
      <c r="K141" s="69" t="n">
        <v>323</v>
      </c>
      <c r="L141" s="69" t="n">
        <v>144</v>
      </c>
      <c r="M141" s="69" t="n">
        <v>269</v>
      </c>
      <c r="N141" s="69" t="n">
        <v>226</v>
      </c>
      <c r="O141" s="69" t="n">
        <v>314</v>
      </c>
      <c r="P141" s="69" t="n">
        <v>222</v>
      </c>
    </row>
    <row r="142" ht="15.75" customHeight="1" s="45">
      <c r="A142" s="61" t="n">
        <v>46245</v>
      </c>
      <c r="B142" s="82" t="inlineStr">
        <is>
          <t>Pós-Projeto</t>
        </is>
      </c>
      <c r="C142" s="85" t="inlineStr">
        <is>
          <t>GAEs Classificadas</t>
        </is>
      </c>
      <c r="D142" s="69" t="n">
        <v>206</v>
      </c>
      <c r="E142" s="69" t="n">
        <v>167</v>
      </c>
      <c r="F142" s="69" t="n">
        <v>160</v>
      </c>
      <c r="G142" s="69" t="n">
        <v>141</v>
      </c>
      <c r="H142" s="69" t="n">
        <v>141</v>
      </c>
      <c r="I142" s="69" t="n">
        <v>197</v>
      </c>
      <c r="J142" s="69" t="n">
        <v>129</v>
      </c>
      <c r="K142" s="69" t="n">
        <v>291</v>
      </c>
      <c r="L142" s="69" t="n">
        <v>137</v>
      </c>
      <c r="M142" s="69" t="n">
        <v>254</v>
      </c>
      <c r="N142" s="69" t="n">
        <v>221</v>
      </c>
      <c r="O142" s="69" t="n">
        <v>303</v>
      </c>
      <c r="P142" s="69" t="n">
        <v>218</v>
      </c>
    </row>
    <row r="143" ht="15.75" customHeight="1" s="45">
      <c r="A143" s="61" t="n">
        <v>46245</v>
      </c>
      <c r="B143" s="82" t="inlineStr">
        <is>
          <t>Pós-Projeto</t>
        </is>
      </c>
      <c r="C143" s="86" t="inlineStr">
        <is>
          <t>Percentual de GAEs abertas classificadas</t>
        </is>
      </c>
      <c r="D143" s="71">
        <f>IFERROR(D142/D141,"-")</f>
        <v/>
      </c>
      <c r="E143" s="71">
        <f>IFERROR(E142/E141,"-")</f>
        <v/>
      </c>
      <c r="F143" s="71">
        <f>IFERROR(F142/F141,"-")</f>
        <v/>
      </c>
      <c r="G143" s="71">
        <f>IFERROR(G142/G141,"-")</f>
        <v/>
      </c>
      <c r="H143" s="71">
        <f>IFERROR(H142/H141,"-")</f>
        <v/>
      </c>
      <c r="I143" s="71">
        <f>IFERROR(I142/I141,"-")</f>
        <v/>
      </c>
      <c r="J143" s="71">
        <f>IFERROR(J142/J141,"-")</f>
        <v/>
      </c>
      <c r="K143" s="71">
        <f>IFERROR(K142/K141,"-")</f>
        <v/>
      </c>
      <c r="L143" s="71">
        <f>IFERROR(L142/L141,"-")</f>
        <v/>
      </c>
      <c r="M143" s="71">
        <f>IFERROR(M142/M141,"-")</f>
        <v/>
      </c>
      <c r="N143" s="71">
        <f>IFERROR(N142/N141,"-")</f>
        <v/>
      </c>
      <c r="O143" s="71">
        <f>IFERROR(O142/O141,"-")</f>
        <v/>
      </c>
      <c r="P143" s="71">
        <f>IFERROR(P142/P141,"-")</f>
        <v/>
      </c>
    </row>
    <row r="144" ht="15.75" customHeight="1" s="45">
      <c r="A144" s="61" t="n">
        <v>46245</v>
      </c>
      <c r="B144" s="82" t="inlineStr">
        <is>
          <t>Pós-Projeto</t>
        </is>
      </c>
      <c r="C144" s="87" t="inlineStr">
        <is>
          <t>Tempo Médio — 🟡 Amarelo (hh:mm)</t>
        </is>
      </c>
      <c r="D144" s="73" t="n">
        <v>0.06956018518518518</v>
      </c>
      <c r="E144" s="73" t="n">
        <v>0.06453703703703703</v>
      </c>
      <c r="F144" s="73" t="n">
        <v>0.01824074074074074</v>
      </c>
      <c r="G144" s="73" t="n">
        <v>0.02865740740740741</v>
      </c>
      <c r="H144" s="73" t="n">
        <v>0.05055555555555555</v>
      </c>
      <c r="I144" s="73" t="n">
        <v>0.048125</v>
      </c>
      <c r="J144" s="73" t="n">
        <v>0.02162037037037037</v>
      </c>
      <c r="K144" s="73" t="n">
        <v>0.05215277777777778</v>
      </c>
      <c r="L144" s="73" t="n">
        <v>0.05606481481481482</v>
      </c>
      <c r="M144" s="73" t="n">
        <v>0.04596064814814815</v>
      </c>
      <c r="N144" s="73" t="n">
        <v>0.0999537037037037</v>
      </c>
      <c r="O144" s="73" t="n">
        <v>0.02417824074074074</v>
      </c>
      <c r="P144" s="73" t="n">
        <v>0.03202546296296296</v>
      </c>
    </row>
    <row r="145" ht="15.75" customHeight="1" s="45">
      <c r="A145" s="61" t="n">
        <v>46245</v>
      </c>
      <c r="B145" s="82" t="inlineStr">
        <is>
          <t>Pós-Projeto</t>
        </is>
      </c>
      <c r="C145" s="88" t="inlineStr">
        <is>
          <t>Tempo Médio — 🟠 Laranja (hh:mm)</t>
        </is>
      </c>
      <c r="D145" s="75" t="n">
        <v>0.009537037037037037</v>
      </c>
      <c r="E145" s="75" t="n">
        <v>0.008136574074074074</v>
      </c>
      <c r="F145" s="75" t="n">
        <v>0.004421296296296296</v>
      </c>
      <c r="G145" s="75" t="n">
        <v>0.005671296296296297</v>
      </c>
      <c r="H145" s="75" t="n">
        <v>0.005532407407407408</v>
      </c>
      <c r="I145" s="75" t="n">
        <v>0.03019675925925926</v>
      </c>
      <c r="J145" s="75" t="n">
        <v>0.008738425925925926</v>
      </c>
      <c r="K145" s="75" t="n">
        <v>0.01447916666666667</v>
      </c>
      <c r="L145" s="75" t="n">
        <v>0.01130787037037037</v>
      </c>
      <c r="M145" s="75" t="n">
        <v>0.007974537037037037</v>
      </c>
      <c r="N145" s="75" t="n">
        <v>0.01509259259259259</v>
      </c>
      <c r="O145" s="75" t="n">
        <v>0.008263888888888888</v>
      </c>
      <c r="P145" s="75" t="n">
        <v>0.009166666666666667</v>
      </c>
    </row>
    <row r="146" ht="15.75" customHeight="1" s="45">
      <c r="A146" s="76" t="n">
        <v>46245</v>
      </c>
      <c r="B146" s="82" t="inlineStr">
        <is>
          <t>Pós-Projeto</t>
        </is>
      </c>
      <c r="C146" s="91" t="inlineStr">
        <is>
          <t>Tempo Médio — 🟢 Verde   (hh:mm)</t>
        </is>
      </c>
      <c r="D146" s="79" t="n">
        <v>0.05996527777777778</v>
      </c>
      <c r="E146" s="79" t="n">
        <v>0.09857638888888889</v>
      </c>
      <c r="F146" s="79" t="n">
        <v>0.03883101851851852</v>
      </c>
      <c r="G146" s="79" t="n">
        <v>0.06202546296296296</v>
      </c>
      <c r="H146" s="79" t="n">
        <v>0.08577546296296296</v>
      </c>
      <c r="I146" s="79" t="n">
        <v>0.1241203703703704</v>
      </c>
      <c r="J146" s="79" t="n">
        <v>0.0427662037037037</v>
      </c>
      <c r="K146" s="79" t="n">
        <v>0.07303240740740741</v>
      </c>
      <c r="L146" s="79" t="n">
        <v>0.09232638888888889</v>
      </c>
      <c r="M146" s="79" t="n">
        <v>0.09991898148148148</v>
      </c>
      <c r="N146" s="79" t="n">
        <v>0.09917824074074075</v>
      </c>
      <c r="O146" s="79" t="n">
        <v>0.05707175925925926</v>
      </c>
      <c r="P146" s="79" t="n">
        <v>0.06454861111111111</v>
      </c>
    </row>
    <row r="147" ht="15.75" customHeight="1" s="45">
      <c r="A147" s="57" t="n">
        <v>46246</v>
      </c>
      <c r="B147" s="81" t="inlineStr">
        <is>
          <t>Pós-Projeto</t>
        </is>
      </c>
      <c r="C147" s="59" t="inlineStr">
        <is>
          <t>Acolhim. + Atend. Urgência + Atend. UPA</t>
        </is>
      </c>
      <c r="D147" s="60">
        <f>SUM(D148:D150)</f>
        <v/>
      </c>
      <c r="E147" s="60">
        <f>SUM(E148:E150)</f>
        <v/>
      </c>
      <c r="F147" s="60">
        <f>SUM(F148:F150)</f>
        <v/>
      </c>
      <c r="G147" s="60">
        <f>SUM(G148:G150)</f>
        <v/>
      </c>
      <c r="H147" s="60">
        <f>SUM(H148:H150)</f>
        <v/>
      </c>
      <c r="I147" s="60">
        <f>SUM(I148:I150)</f>
        <v/>
      </c>
      <c r="J147" s="60">
        <f>SUM(J148:J150)</f>
        <v/>
      </c>
      <c r="K147" s="60">
        <f>SUM(K148:K150)</f>
        <v/>
      </c>
      <c r="L147" s="60">
        <f>SUM(L148:L150)</f>
        <v/>
      </c>
      <c r="M147" s="60">
        <f>SUM(M148:M150)</f>
        <v/>
      </c>
      <c r="N147" s="60">
        <f>SUM(N148:N150)</f>
        <v/>
      </c>
      <c r="O147" s="60">
        <f>SUM(O148:O150)</f>
        <v/>
      </c>
      <c r="P147" s="60">
        <f>SUM(P148:P150)</f>
        <v/>
      </c>
    </row>
    <row r="148" ht="15.75" customHeight="1" s="45">
      <c r="A148" s="61" t="n">
        <v>46246</v>
      </c>
      <c r="B148" s="82" t="inlineStr">
        <is>
          <t>Pós-Projeto</t>
        </is>
      </c>
      <c r="C148" s="83" t="inlineStr">
        <is>
          <t>Acolhimento c/ Classif. de Risco</t>
        </is>
      </c>
      <c r="D148" s="64" t="n">
        <v>229</v>
      </c>
      <c r="E148" s="64" t="n">
        <v>180</v>
      </c>
      <c r="F148" s="64" t="n">
        <v>156</v>
      </c>
      <c r="G148" s="64" t="n">
        <v>145</v>
      </c>
      <c r="H148" s="64" t="n">
        <v>145</v>
      </c>
      <c r="I148" s="64" t="n">
        <v>202</v>
      </c>
      <c r="J148" s="64" t="n">
        <v>142</v>
      </c>
      <c r="K148" s="64" t="n">
        <v>303</v>
      </c>
      <c r="L148" s="64" t="n">
        <v>125</v>
      </c>
      <c r="M148" s="64" t="n">
        <v>215</v>
      </c>
      <c r="N148" s="64" t="n">
        <v>198</v>
      </c>
      <c r="O148" s="64" t="n">
        <v>248</v>
      </c>
      <c r="P148" s="64" t="n">
        <v>233</v>
      </c>
    </row>
    <row r="149" ht="15.75" customHeight="1" s="45">
      <c r="A149" s="61" t="n">
        <v>46246</v>
      </c>
      <c r="B149" s="82" t="inlineStr">
        <is>
          <t>Pós-Projeto</t>
        </is>
      </c>
      <c r="C149" s="84" t="inlineStr">
        <is>
          <t>Atend. Urgência Obs. ≤ 24h</t>
        </is>
      </c>
      <c r="D149" s="66" t="n">
        <v>15</v>
      </c>
      <c r="E149" s="66" t="n">
        <v>13</v>
      </c>
      <c r="F149" s="66" t="n">
        <v>23</v>
      </c>
      <c r="G149" s="66" t="n">
        <v>14</v>
      </c>
      <c r="H149" s="66" t="n">
        <v>9</v>
      </c>
      <c r="I149" s="66" t="n">
        <v>28</v>
      </c>
      <c r="J149" s="66" t="n">
        <v>3</v>
      </c>
      <c r="K149" s="66" t="n">
        <v>37</v>
      </c>
      <c r="L149" s="66" t="n">
        <v>49</v>
      </c>
      <c r="M149" s="66" t="n">
        <v>44</v>
      </c>
      <c r="N149" s="66" t="n">
        <v>19</v>
      </c>
      <c r="O149" s="66" t="n">
        <v>3</v>
      </c>
      <c r="P149" s="66" t="n">
        <v>39</v>
      </c>
    </row>
    <row r="150" ht="15.75" customHeight="1" s="45">
      <c r="A150" s="61" t="n">
        <v>46246</v>
      </c>
      <c r="B150" s="82" t="inlineStr">
        <is>
          <t>Pós-Projeto</t>
        </is>
      </c>
      <c r="C150" s="83" t="inlineStr">
        <is>
          <t>Atend. Médico em UPA</t>
        </is>
      </c>
      <c r="D150" s="64" t="n">
        <v>156</v>
      </c>
      <c r="E150" s="64" t="n">
        <v>137</v>
      </c>
      <c r="F150" s="64" t="n">
        <v>110</v>
      </c>
      <c r="G150" s="64" t="n">
        <v>111</v>
      </c>
      <c r="H150" s="64" t="n">
        <v>91</v>
      </c>
      <c r="I150" s="64" t="n">
        <v>152</v>
      </c>
      <c r="J150" s="64" t="n">
        <v>90</v>
      </c>
      <c r="K150" s="64" t="n">
        <v>283</v>
      </c>
      <c r="L150" s="64" t="n">
        <v>95</v>
      </c>
      <c r="M150" s="64" t="n">
        <v>163</v>
      </c>
      <c r="N150" s="64" t="n">
        <v>172</v>
      </c>
      <c r="O150" s="64" t="n">
        <v>179</v>
      </c>
      <c r="P150" s="64" t="n">
        <v>154</v>
      </c>
    </row>
    <row r="151" ht="15.75" customHeight="1" s="45">
      <c r="A151" s="61" t="n">
        <v>46246</v>
      </c>
      <c r="B151" s="82" t="inlineStr">
        <is>
          <t>Pós-Projeto</t>
        </is>
      </c>
      <c r="C151" s="84" t="inlineStr">
        <is>
          <t>Exames Laboratoriais</t>
        </is>
      </c>
      <c r="D151" s="66" t="n">
        <v>757</v>
      </c>
      <c r="E151" s="66" t="n">
        <v>562</v>
      </c>
      <c r="F151" s="66" t="n">
        <v>431</v>
      </c>
      <c r="G151" s="66" t="n">
        <v>374</v>
      </c>
      <c r="H151" s="66" t="n">
        <v>358</v>
      </c>
      <c r="I151" s="66" t="n">
        <v>680</v>
      </c>
      <c r="J151" s="66" t="n">
        <v>294</v>
      </c>
      <c r="K151" s="66" t="n">
        <v>809</v>
      </c>
      <c r="L151" s="66" t="n">
        <v>662</v>
      </c>
      <c r="M151" s="66" t="n">
        <v>597</v>
      </c>
      <c r="N151" s="66" t="n">
        <v>657</v>
      </c>
      <c r="O151" s="66" t="n">
        <v>430</v>
      </c>
      <c r="P151" s="66" t="n">
        <v>639</v>
      </c>
    </row>
    <row r="152" ht="15.75" customHeight="1" s="45">
      <c r="A152" s="61" t="n">
        <v>46246</v>
      </c>
      <c r="B152" s="82" t="inlineStr">
        <is>
          <t>Pós-Projeto</t>
        </is>
      </c>
      <c r="C152" s="83" t="inlineStr">
        <is>
          <t>Radiografias</t>
        </is>
      </c>
      <c r="D152" s="64" t="n">
        <v>24</v>
      </c>
      <c r="E152" s="64" t="n">
        <v>26</v>
      </c>
      <c r="F152" s="64" t="n">
        <v>14</v>
      </c>
      <c r="G152" s="64" t="n">
        <v>26</v>
      </c>
      <c r="H152" s="67" t="n">
        <v>0</v>
      </c>
      <c r="I152" s="64" t="n">
        <v>28</v>
      </c>
      <c r="J152" s="64" t="n">
        <v>16</v>
      </c>
      <c r="K152" s="64" t="n">
        <v>52</v>
      </c>
      <c r="L152" s="64" t="n">
        <v>33</v>
      </c>
      <c r="M152" s="64" t="n">
        <v>35</v>
      </c>
      <c r="N152" s="64" t="n">
        <v>33</v>
      </c>
      <c r="O152" s="64" t="n">
        <v>27</v>
      </c>
      <c r="P152" s="64" t="n">
        <v>37</v>
      </c>
    </row>
    <row r="153" ht="15.75" customHeight="1" s="45">
      <c r="A153" s="61" t="n">
        <v>46246</v>
      </c>
      <c r="B153" s="82" t="inlineStr">
        <is>
          <t>Pós-Projeto</t>
        </is>
      </c>
      <c r="C153" s="84" t="inlineStr">
        <is>
          <t>Eletrocardiogramas</t>
        </is>
      </c>
      <c r="D153" s="66" t="n">
        <v>1</v>
      </c>
      <c r="E153" s="66" t="n">
        <v>11</v>
      </c>
      <c r="F153" s="66" t="n">
        <v>5</v>
      </c>
      <c r="G153" s="67" t="n">
        <v>0</v>
      </c>
      <c r="H153" s="67" t="n">
        <v>0</v>
      </c>
      <c r="I153" s="66" t="n">
        <v>5</v>
      </c>
      <c r="J153" s="67" t="n">
        <v>0</v>
      </c>
      <c r="K153" s="67" t="n">
        <v>0</v>
      </c>
      <c r="L153" s="67" t="n">
        <v>0</v>
      </c>
      <c r="M153" s="67" t="n">
        <v>0</v>
      </c>
      <c r="N153" s="66" t="n">
        <v>4</v>
      </c>
      <c r="O153" s="67" t="n">
        <v>0</v>
      </c>
      <c r="P153" s="66" t="n">
        <v>1</v>
      </c>
    </row>
    <row r="154" ht="15.75" customHeight="1" s="45">
      <c r="A154" s="61" t="n">
        <v>46246</v>
      </c>
      <c r="B154" s="82" t="inlineStr">
        <is>
          <t>Pós-Projeto</t>
        </is>
      </c>
      <c r="C154" s="85" t="inlineStr">
        <is>
          <t>GAEs Abertas</t>
        </is>
      </c>
      <c r="D154" s="69" t="n">
        <v>238</v>
      </c>
      <c r="E154" s="69" t="n">
        <v>183</v>
      </c>
      <c r="F154" s="69" t="n">
        <v>164</v>
      </c>
      <c r="G154" s="69" t="n">
        <v>147</v>
      </c>
      <c r="H154" s="69" t="n">
        <v>149</v>
      </c>
      <c r="I154" s="69" t="n">
        <v>218</v>
      </c>
      <c r="J154" s="69" t="n">
        <v>143</v>
      </c>
      <c r="K154" s="69" t="n">
        <v>346</v>
      </c>
      <c r="L154" s="69" t="n">
        <v>129</v>
      </c>
      <c r="M154" s="69" t="n">
        <v>219</v>
      </c>
      <c r="N154" s="69" t="n">
        <v>210</v>
      </c>
      <c r="O154" s="69" t="n">
        <v>257</v>
      </c>
      <c r="P154" s="69" t="n">
        <v>239</v>
      </c>
    </row>
    <row r="155" ht="15.75" customHeight="1" s="45">
      <c r="A155" s="61" t="n">
        <v>46246</v>
      </c>
      <c r="B155" s="82" t="inlineStr">
        <is>
          <t>Pós-Projeto</t>
        </is>
      </c>
      <c r="C155" s="85" t="inlineStr">
        <is>
          <t>GAEs Classificadas</t>
        </is>
      </c>
      <c r="D155" s="69" t="n">
        <v>228</v>
      </c>
      <c r="E155" s="69" t="n">
        <v>181</v>
      </c>
      <c r="F155" s="69" t="n">
        <v>157</v>
      </c>
      <c r="G155" s="69" t="n">
        <v>145</v>
      </c>
      <c r="H155" s="69" t="n">
        <v>146</v>
      </c>
      <c r="I155" s="69" t="n">
        <v>203</v>
      </c>
      <c r="J155" s="69" t="n">
        <v>143</v>
      </c>
      <c r="K155" s="69" t="n">
        <v>305</v>
      </c>
      <c r="L155" s="69" t="n">
        <v>123</v>
      </c>
      <c r="M155" s="69" t="n">
        <v>215</v>
      </c>
      <c r="N155" s="69" t="n">
        <v>198</v>
      </c>
      <c r="O155" s="69" t="n">
        <v>251</v>
      </c>
      <c r="P155" s="69" t="n">
        <v>233</v>
      </c>
    </row>
    <row r="156" ht="15.75" customHeight="1" s="45">
      <c r="A156" s="61" t="n">
        <v>46246</v>
      </c>
      <c r="B156" s="82" t="inlineStr">
        <is>
          <t>Pós-Projeto</t>
        </is>
      </c>
      <c r="C156" s="86" t="inlineStr">
        <is>
          <t>Percentual de GAEs abertas classificadas</t>
        </is>
      </c>
      <c r="D156" s="71">
        <f>IFERROR(D155/D154,"-")</f>
        <v/>
      </c>
      <c r="E156" s="71">
        <f>IFERROR(E155/E154,"-")</f>
        <v/>
      </c>
      <c r="F156" s="71">
        <f>IFERROR(F155/F154,"-")</f>
        <v/>
      </c>
      <c r="G156" s="71">
        <f>IFERROR(G155/G154,"-")</f>
        <v/>
      </c>
      <c r="H156" s="71">
        <f>IFERROR(H155/H154,"-")</f>
        <v/>
      </c>
      <c r="I156" s="71">
        <f>IFERROR(I155/I154,"-")</f>
        <v/>
      </c>
      <c r="J156" s="71">
        <f>IFERROR(J155/J154,"-")</f>
        <v/>
      </c>
      <c r="K156" s="71">
        <f>IFERROR(K155/K154,"-")</f>
        <v/>
      </c>
      <c r="L156" s="71">
        <f>IFERROR(L155/L154,"-")</f>
        <v/>
      </c>
      <c r="M156" s="71">
        <f>IFERROR(M155/M154,"-")</f>
        <v/>
      </c>
      <c r="N156" s="71">
        <f>IFERROR(N155/N154,"-")</f>
        <v/>
      </c>
      <c r="O156" s="71">
        <f>IFERROR(O155/O154,"-")</f>
        <v/>
      </c>
      <c r="P156" s="71">
        <f>IFERROR(P155/P154,"-")</f>
        <v/>
      </c>
    </row>
    <row r="157" ht="15.75" customHeight="1" s="45">
      <c r="A157" s="61" t="n">
        <v>46246</v>
      </c>
      <c r="B157" s="82" t="inlineStr">
        <is>
          <t>Pós-Projeto</t>
        </is>
      </c>
      <c r="C157" s="87" t="inlineStr">
        <is>
          <t>Tempo Médio — 🟡 Amarelo (hh:mm)</t>
        </is>
      </c>
      <c r="D157" s="73" t="n">
        <v>0.03690972222222222</v>
      </c>
      <c r="E157" s="73" t="n">
        <v>0.03685185185185185</v>
      </c>
      <c r="F157" s="73" t="n">
        <v>0.02190972222222222</v>
      </c>
      <c r="G157" s="73" t="n">
        <v>0.04056712962962963</v>
      </c>
      <c r="H157" s="73" t="n">
        <v>0.05461805555555556</v>
      </c>
      <c r="I157" s="73" t="n">
        <v>0.07211805555555556</v>
      </c>
      <c r="J157" s="73" t="n">
        <v>0.03497685185185185</v>
      </c>
      <c r="K157" s="73" t="n">
        <v>0.06546296296296296</v>
      </c>
      <c r="L157" s="73" t="n">
        <v>0.05097222222222222</v>
      </c>
      <c r="M157" s="73" t="n">
        <v>0.05583333333333333</v>
      </c>
      <c r="N157" s="73" t="n">
        <v>0.06696759259259259</v>
      </c>
      <c r="O157" s="73" t="n">
        <v>0.04221064814814815</v>
      </c>
      <c r="P157" s="73" t="n">
        <v>0.03606481481481481</v>
      </c>
    </row>
    <row r="158" ht="15.75" customHeight="1" s="45">
      <c r="A158" s="61" t="n">
        <v>46246</v>
      </c>
      <c r="B158" s="82" t="inlineStr">
        <is>
          <t>Pós-Projeto</t>
        </is>
      </c>
      <c r="C158" s="88" t="inlineStr">
        <is>
          <t>Tempo Médio — 🟠 Laranja (hh:mm)</t>
        </is>
      </c>
      <c r="D158" s="75" t="n">
        <v>0.02734953703703704</v>
      </c>
      <c r="E158" s="75" t="n">
        <v>0.007025462962962963</v>
      </c>
      <c r="F158" s="75" t="n">
        <v>0.005949074074074075</v>
      </c>
      <c r="G158" s="75" t="n">
        <v>0.006331018518518519</v>
      </c>
      <c r="H158" s="75" t="n">
        <v>0.01196759259259259</v>
      </c>
      <c r="I158" s="75" t="n">
        <v>0.008738425925925926</v>
      </c>
      <c r="J158" s="75" t="n">
        <v>0.01101851851851852</v>
      </c>
      <c r="K158" s="75" t="n">
        <v>0.008483796296296297</v>
      </c>
      <c r="L158" s="75" t="n">
        <v>0.01789351851851852</v>
      </c>
      <c r="M158" s="75" t="n">
        <v>0.01950231481481482</v>
      </c>
      <c r="N158" s="75" t="n">
        <v>0.01038194444444444</v>
      </c>
      <c r="O158" s="75" t="n">
        <v>0.00730324074074074</v>
      </c>
      <c r="P158" s="75" t="n">
        <v>0.01525462962962963</v>
      </c>
    </row>
    <row r="159" ht="15.75" customHeight="1" s="45">
      <c r="A159" s="76" t="n">
        <v>46246</v>
      </c>
      <c r="B159" s="82" t="inlineStr">
        <is>
          <t>Pós-Projeto</t>
        </is>
      </c>
      <c r="C159" s="91" t="inlineStr">
        <is>
          <t>Tempo Médio — 🟢 Verde   (hh:mm)</t>
        </is>
      </c>
      <c r="D159" s="79" t="n">
        <v>0.06300925925925926</v>
      </c>
      <c r="E159" s="79" t="n">
        <v>0.05388888888888889</v>
      </c>
      <c r="F159" s="79" t="n">
        <v>0.08681712962962963</v>
      </c>
      <c r="G159" s="79" t="n">
        <v>0.06880787037037037</v>
      </c>
      <c r="H159" s="79" t="n">
        <v>0.08502314814814815</v>
      </c>
      <c r="I159" s="79" t="n">
        <v>0.09666666666666666</v>
      </c>
      <c r="J159" s="79" t="n">
        <v>0.0752199074074074</v>
      </c>
      <c r="K159" s="79" t="n">
        <v>0.05966435185185185</v>
      </c>
      <c r="L159" s="79" t="n">
        <v>0.07424768518518518</v>
      </c>
      <c r="M159" s="79" t="n">
        <v>0.06815972222222222</v>
      </c>
      <c r="N159" s="79" t="n">
        <v>0.1077893518518519</v>
      </c>
      <c r="O159" s="79" t="n">
        <v>0.100775462962963</v>
      </c>
      <c r="P159" s="79" t="n">
        <v>0.05802083333333333</v>
      </c>
    </row>
    <row r="160" ht="15.75" customHeight="1" s="45">
      <c r="A160" s="57" t="n">
        <v>46247</v>
      </c>
      <c r="B160" s="81" t="inlineStr">
        <is>
          <t>Pós-Projeto</t>
        </is>
      </c>
      <c r="C160" s="59" t="inlineStr">
        <is>
          <t>Acolhim. + Atend. Urgência + Atend. UPA</t>
        </is>
      </c>
      <c r="D160" s="60">
        <f>SUM(D161:D163)</f>
        <v/>
      </c>
      <c r="E160" s="60">
        <f>SUM(E161:E163)</f>
        <v/>
      </c>
      <c r="F160" s="60">
        <f>SUM(F161:F163)</f>
        <v/>
      </c>
      <c r="G160" s="60">
        <f>SUM(G161:G163)</f>
        <v/>
      </c>
      <c r="H160" s="60">
        <f>SUM(H161:H163)</f>
        <v/>
      </c>
      <c r="I160" s="60">
        <f>SUM(I161:I163)</f>
        <v/>
      </c>
      <c r="J160" s="60">
        <f>SUM(J161:J163)</f>
        <v/>
      </c>
      <c r="K160" s="60">
        <f>SUM(K161:K163)</f>
        <v/>
      </c>
      <c r="L160" s="60">
        <f>SUM(L161:L163)</f>
        <v/>
      </c>
      <c r="M160" s="60">
        <f>SUM(M161:M163)</f>
        <v/>
      </c>
      <c r="N160" s="60">
        <f>SUM(N161:N163)</f>
        <v/>
      </c>
      <c r="O160" s="60">
        <f>SUM(O161:O163)</f>
        <v/>
      </c>
      <c r="P160" s="60">
        <f>SUM(P161:P163)</f>
        <v/>
      </c>
    </row>
    <row r="161" ht="15.75" customHeight="1" s="45">
      <c r="A161" s="61" t="n">
        <v>46247</v>
      </c>
      <c r="B161" s="82" t="inlineStr">
        <is>
          <t>Pós-Projeto</t>
        </is>
      </c>
      <c r="C161" s="83" t="inlineStr">
        <is>
          <t>Acolhimento c/ Classif. de Risco</t>
        </is>
      </c>
      <c r="D161" s="64" t="n">
        <v>222</v>
      </c>
      <c r="E161" s="64" t="n">
        <v>176</v>
      </c>
      <c r="F161" s="64" t="n">
        <v>139</v>
      </c>
      <c r="G161" s="64" t="n">
        <v>154</v>
      </c>
      <c r="H161" s="64" t="n">
        <v>157</v>
      </c>
      <c r="I161" s="64" t="n">
        <v>191</v>
      </c>
      <c r="J161" s="64" t="n">
        <v>128</v>
      </c>
      <c r="K161" s="64" t="n">
        <v>289</v>
      </c>
      <c r="L161" s="64" t="n">
        <v>133</v>
      </c>
      <c r="M161" s="64" t="n">
        <v>236</v>
      </c>
      <c r="N161" s="64" t="n">
        <v>214</v>
      </c>
      <c r="O161" s="64" t="n">
        <v>278</v>
      </c>
      <c r="P161" s="64" t="n">
        <v>267</v>
      </c>
    </row>
    <row r="162" ht="15.75" customHeight="1" s="45">
      <c r="A162" s="61" t="n">
        <v>46247</v>
      </c>
      <c r="B162" s="82" t="inlineStr">
        <is>
          <t>Pós-Projeto</t>
        </is>
      </c>
      <c r="C162" s="84" t="inlineStr">
        <is>
          <t>Atend. Urgência Obs. ≤ 24h</t>
        </is>
      </c>
      <c r="D162" s="66" t="n">
        <v>12</v>
      </c>
      <c r="E162" s="66" t="n">
        <v>11</v>
      </c>
      <c r="F162" s="66" t="n">
        <v>20</v>
      </c>
      <c r="G162" s="66" t="n">
        <v>20</v>
      </c>
      <c r="H162" s="66" t="n">
        <v>16</v>
      </c>
      <c r="I162" s="66" t="n">
        <v>22</v>
      </c>
      <c r="J162" s="66" t="n">
        <v>3</v>
      </c>
      <c r="K162" s="66" t="n">
        <v>43</v>
      </c>
      <c r="L162" s="66" t="n">
        <v>70</v>
      </c>
      <c r="M162" s="66" t="n">
        <v>45</v>
      </c>
      <c r="N162" s="66" t="n">
        <v>33</v>
      </c>
      <c r="O162" s="66" t="n">
        <v>16</v>
      </c>
      <c r="P162" s="66" t="n">
        <v>20</v>
      </c>
    </row>
    <row r="163" ht="15.75" customHeight="1" s="45">
      <c r="A163" s="61" t="n">
        <v>46247</v>
      </c>
      <c r="B163" s="82" t="inlineStr">
        <is>
          <t>Pós-Projeto</t>
        </is>
      </c>
      <c r="C163" s="83" t="inlineStr">
        <is>
          <t>Atend. Médico em UPA</t>
        </is>
      </c>
      <c r="D163" s="64" t="n">
        <v>195</v>
      </c>
      <c r="E163" s="64" t="n">
        <v>78</v>
      </c>
      <c r="F163" s="64" t="n">
        <v>100</v>
      </c>
      <c r="G163" s="64" t="n">
        <v>128</v>
      </c>
      <c r="H163" s="64" t="n">
        <v>134</v>
      </c>
      <c r="I163" s="64" t="n">
        <v>169</v>
      </c>
      <c r="J163" s="64" t="n">
        <v>107</v>
      </c>
      <c r="K163" s="64" t="n">
        <v>261</v>
      </c>
      <c r="L163" s="64" t="n">
        <v>103</v>
      </c>
      <c r="M163" s="64" t="n">
        <v>152</v>
      </c>
      <c r="N163" s="64" t="n">
        <v>190</v>
      </c>
      <c r="O163" s="64" t="n">
        <v>225</v>
      </c>
      <c r="P163" s="64" t="n">
        <v>181</v>
      </c>
    </row>
    <row r="164" ht="15.75" customHeight="1" s="45">
      <c r="A164" s="61" t="n">
        <v>46247</v>
      </c>
      <c r="B164" s="82" t="inlineStr">
        <is>
          <t>Pós-Projeto</t>
        </is>
      </c>
      <c r="C164" s="84" t="inlineStr">
        <is>
          <t>Exames Laboratoriais</t>
        </is>
      </c>
      <c r="D164" s="66" t="n">
        <v>573</v>
      </c>
      <c r="E164" s="66" t="n">
        <v>513</v>
      </c>
      <c r="F164" s="66" t="n">
        <v>830</v>
      </c>
      <c r="G164" s="66" t="n">
        <v>422</v>
      </c>
      <c r="H164" s="66" t="n">
        <v>460</v>
      </c>
      <c r="I164" s="66" t="n">
        <v>692</v>
      </c>
      <c r="J164" s="66" t="n">
        <v>341</v>
      </c>
      <c r="K164" s="66" t="n">
        <v>883</v>
      </c>
      <c r="L164" s="66" t="n">
        <v>477</v>
      </c>
      <c r="M164" s="66" t="n">
        <v>721</v>
      </c>
      <c r="N164" s="66" t="n">
        <v>534</v>
      </c>
      <c r="O164" s="66" t="n">
        <v>396</v>
      </c>
      <c r="P164" s="66" t="n">
        <v>296</v>
      </c>
    </row>
    <row r="165" ht="15.75" customHeight="1" s="45">
      <c r="A165" s="61" t="n">
        <v>46247</v>
      </c>
      <c r="B165" s="82" t="inlineStr">
        <is>
          <t>Pós-Projeto</t>
        </is>
      </c>
      <c r="C165" s="83" t="inlineStr">
        <is>
          <t>Radiografias</t>
        </is>
      </c>
      <c r="D165" s="64" t="n">
        <v>24</v>
      </c>
      <c r="E165" s="64" t="n">
        <v>16</v>
      </c>
      <c r="F165" s="64" t="n">
        <v>30</v>
      </c>
      <c r="G165" s="64" t="n">
        <v>6</v>
      </c>
      <c r="H165" s="67" t="n">
        <v>0</v>
      </c>
      <c r="I165" s="64" t="n">
        <v>14</v>
      </c>
      <c r="J165" s="64" t="n">
        <v>19</v>
      </c>
      <c r="K165" s="64" t="n">
        <v>31</v>
      </c>
      <c r="L165" s="64" t="n">
        <v>21</v>
      </c>
      <c r="M165" s="64" t="n">
        <v>46</v>
      </c>
      <c r="N165" s="64" t="n">
        <v>33</v>
      </c>
      <c r="O165" s="64" t="n">
        <v>47</v>
      </c>
      <c r="P165" s="64" t="n">
        <v>42</v>
      </c>
    </row>
    <row r="166" ht="15.75" customHeight="1" s="45">
      <c r="A166" s="61" t="n">
        <v>46247</v>
      </c>
      <c r="B166" s="82" t="inlineStr">
        <is>
          <t>Pós-Projeto</t>
        </is>
      </c>
      <c r="C166" s="84" t="inlineStr">
        <is>
          <t>Eletrocardiogramas</t>
        </is>
      </c>
      <c r="D166" s="66" t="n">
        <v>11</v>
      </c>
      <c r="E166" s="66" t="n">
        <v>1</v>
      </c>
      <c r="F166" s="67" t="n">
        <v>0</v>
      </c>
      <c r="G166" s="66" t="n">
        <v>1</v>
      </c>
      <c r="H166" s="67" t="n">
        <v>0</v>
      </c>
      <c r="I166" s="67" t="n">
        <v>0</v>
      </c>
      <c r="J166" s="67" t="n">
        <v>0</v>
      </c>
      <c r="K166" s="66" t="n">
        <v>15</v>
      </c>
      <c r="L166" s="67" t="n">
        <v>0</v>
      </c>
      <c r="M166" s="67" t="n">
        <v>0</v>
      </c>
      <c r="N166" s="66" t="n">
        <v>11</v>
      </c>
      <c r="O166" s="67" t="n">
        <v>0</v>
      </c>
      <c r="P166" s="67" t="n">
        <v>0</v>
      </c>
    </row>
    <row r="167" ht="15.75" customHeight="1" s="45">
      <c r="A167" s="61" t="n">
        <v>46247</v>
      </c>
      <c r="B167" s="82" t="inlineStr">
        <is>
          <t>Pós-Projeto</t>
        </is>
      </c>
      <c r="C167" s="85" t="inlineStr">
        <is>
          <t>GAEs Abertas</t>
        </is>
      </c>
      <c r="D167" s="69" t="n">
        <v>229</v>
      </c>
      <c r="E167" s="69" t="n">
        <v>180</v>
      </c>
      <c r="F167" s="69" t="n">
        <v>143</v>
      </c>
      <c r="G167" s="69" t="n">
        <v>160</v>
      </c>
      <c r="H167" s="69" t="n">
        <v>167</v>
      </c>
      <c r="I167" s="69" t="n">
        <v>199</v>
      </c>
      <c r="J167" s="69" t="n">
        <v>131</v>
      </c>
      <c r="K167" s="69" t="n">
        <v>302</v>
      </c>
      <c r="L167" s="69" t="n">
        <v>143</v>
      </c>
      <c r="M167" s="69" t="n">
        <v>246</v>
      </c>
      <c r="N167" s="69" t="n">
        <v>220</v>
      </c>
      <c r="O167" s="69" t="n">
        <v>283</v>
      </c>
      <c r="P167" s="69" t="n">
        <v>274</v>
      </c>
    </row>
    <row r="168" ht="15.75" customHeight="1" s="45">
      <c r="A168" s="61" t="n">
        <v>46247</v>
      </c>
      <c r="B168" s="82" t="inlineStr">
        <is>
          <t>Pós-Projeto</t>
        </is>
      </c>
      <c r="C168" s="85" t="inlineStr">
        <is>
          <t>GAEs Classificadas</t>
        </is>
      </c>
      <c r="D168" s="69" t="n">
        <v>222</v>
      </c>
      <c r="E168" s="69" t="n">
        <v>177</v>
      </c>
      <c r="F168" s="69" t="n">
        <v>138</v>
      </c>
      <c r="G168" s="69" t="n">
        <v>155</v>
      </c>
      <c r="H168" s="69" t="n">
        <v>155</v>
      </c>
      <c r="I168" s="69" t="n">
        <v>190</v>
      </c>
      <c r="J168" s="69" t="n">
        <v>129</v>
      </c>
      <c r="K168" s="69" t="n">
        <v>290</v>
      </c>
      <c r="L168" s="69" t="n">
        <v>133</v>
      </c>
      <c r="M168" s="69" t="n">
        <v>235</v>
      </c>
      <c r="N168" s="69" t="n">
        <v>214</v>
      </c>
      <c r="O168" s="69" t="n">
        <v>275</v>
      </c>
      <c r="P168" s="69" t="n">
        <v>265</v>
      </c>
    </row>
    <row r="169" ht="15.75" customHeight="1" s="45">
      <c r="A169" s="61" t="n">
        <v>46247</v>
      </c>
      <c r="B169" s="82" t="inlineStr">
        <is>
          <t>Pós-Projeto</t>
        </is>
      </c>
      <c r="C169" s="86" t="inlineStr">
        <is>
          <t>Percentual de GAEs abertas classificadas</t>
        </is>
      </c>
      <c r="D169" s="71">
        <f>IFERROR(D168/D167,"-")</f>
        <v/>
      </c>
      <c r="E169" s="71">
        <f>IFERROR(E168/E167,"-")</f>
        <v/>
      </c>
      <c r="F169" s="71">
        <f>IFERROR(F168/F167,"-")</f>
        <v/>
      </c>
      <c r="G169" s="71">
        <f>IFERROR(G168/G167,"-")</f>
        <v/>
      </c>
      <c r="H169" s="71">
        <f>IFERROR(H168/H167,"-")</f>
        <v/>
      </c>
      <c r="I169" s="71">
        <f>IFERROR(I168/I167,"-")</f>
        <v/>
      </c>
      <c r="J169" s="71">
        <f>IFERROR(J168/J167,"-")</f>
        <v/>
      </c>
      <c r="K169" s="71">
        <f>IFERROR(K168/K167,"-")</f>
        <v/>
      </c>
      <c r="L169" s="71">
        <f>IFERROR(L168/L167,"-")</f>
        <v/>
      </c>
      <c r="M169" s="71">
        <f>IFERROR(M168/M167,"-")</f>
        <v/>
      </c>
      <c r="N169" s="71">
        <f>IFERROR(N168/N167,"-")</f>
        <v/>
      </c>
      <c r="O169" s="71">
        <f>IFERROR(O168/O167,"-")</f>
        <v/>
      </c>
      <c r="P169" s="71">
        <f>IFERROR(P168/P167,"-")</f>
        <v/>
      </c>
    </row>
    <row r="170" ht="15.75" customHeight="1" s="45">
      <c r="A170" s="61" t="n">
        <v>46247</v>
      </c>
      <c r="B170" s="82" t="inlineStr">
        <is>
          <t>Pós-Projeto</t>
        </is>
      </c>
      <c r="C170" s="87" t="inlineStr">
        <is>
          <t>Tempo Médio — 🟡 Amarelo (hh:mm)</t>
        </is>
      </c>
      <c r="D170" s="73" t="n">
        <v>0.05784722222222222</v>
      </c>
      <c r="E170" s="73" t="n">
        <v>0.05136574074074074</v>
      </c>
      <c r="F170" s="73" t="n">
        <v>0.03425925925925926</v>
      </c>
      <c r="G170" s="73" t="n">
        <v>0.03785879629629629</v>
      </c>
      <c r="H170" s="73" t="n">
        <v>0.04435185185185185</v>
      </c>
      <c r="I170" s="73" t="n">
        <v>0.01700231481481481</v>
      </c>
      <c r="J170" s="73" t="n">
        <v>0.04456018518518518</v>
      </c>
      <c r="K170" s="73" t="n">
        <v>0.0503587962962963</v>
      </c>
      <c r="L170" s="73" t="n">
        <v>0.1275347222222222</v>
      </c>
      <c r="M170" s="73" t="n">
        <v>0.02940972222222222</v>
      </c>
      <c r="N170" s="73" t="n">
        <v>0.08749999999999999</v>
      </c>
      <c r="O170" s="73" t="n">
        <v>0.03490740740740741</v>
      </c>
      <c r="P170" s="73" t="n">
        <v>0.05195601851851852</v>
      </c>
    </row>
    <row r="171" ht="15.75" customHeight="1" s="45">
      <c r="A171" s="61" t="n">
        <v>46247</v>
      </c>
      <c r="B171" s="82" t="inlineStr">
        <is>
          <t>Pós-Projeto</t>
        </is>
      </c>
      <c r="C171" s="88" t="inlineStr">
        <is>
          <t>Tempo Médio — 🟠 Laranja (hh:mm)</t>
        </is>
      </c>
      <c r="D171" s="75" t="n">
        <v>0.01001157407407407</v>
      </c>
      <c r="E171" s="75" t="n">
        <v>0.00625</v>
      </c>
      <c r="F171" s="75" t="n">
        <v>0.006273148148148148</v>
      </c>
      <c r="G171" s="75" t="n">
        <v>0.004027777777777778</v>
      </c>
      <c r="H171" s="75" t="n">
        <v>0.07149305555555556</v>
      </c>
      <c r="I171" s="75" t="n">
        <v>0.003298611111111111</v>
      </c>
      <c r="J171" s="75" t="n">
        <v>0.0096875</v>
      </c>
      <c r="K171" s="75" t="n">
        <v>0.01202546296296296</v>
      </c>
      <c r="L171" s="75" t="n">
        <v>0.01554398148148148</v>
      </c>
      <c r="M171" s="75" t="n">
        <v>0.008449074074074074</v>
      </c>
      <c r="N171" s="75" t="n">
        <v>0.009340277777777777</v>
      </c>
      <c r="O171" s="75" t="n">
        <v>0.009409722222222222</v>
      </c>
      <c r="P171" s="75" t="n">
        <v>0.009363425925925926</v>
      </c>
    </row>
    <row r="172" ht="15.75" customHeight="1" s="45">
      <c r="A172" s="76" t="n">
        <v>46247</v>
      </c>
      <c r="B172" s="82" t="inlineStr">
        <is>
          <t>Pós-Projeto</t>
        </is>
      </c>
      <c r="C172" s="91" t="inlineStr">
        <is>
          <t>Tempo Médio — 🟢 Verde   (hh:mm)</t>
        </is>
      </c>
      <c r="D172" s="79" t="n">
        <v>0.06923611111111111</v>
      </c>
      <c r="E172" s="79" t="n">
        <v>0.05377314814814815</v>
      </c>
      <c r="F172" s="79" t="n">
        <v>0.05946759259259259</v>
      </c>
      <c r="G172" s="79" t="n">
        <v>0.0998263888888889</v>
      </c>
      <c r="H172" s="79" t="n">
        <v>0.09945601851851851</v>
      </c>
      <c r="I172" s="79" t="n">
        <v>0.08407407407407408</v>
      </c>
      <c r="J172" s="79" t="n">
        <v>0.0374537037037037</v>
      </c>
      <c r="K172" s="79" t="n">
        <v>0.08472222222222223</v>
      </c>
      <c r="L172" s="79" t="n">
        <v>0.1307175925925926</v>
      </c>
      <c r="M172" s="79" t="n">
        <v>0.07034722222222223</v>
      </c>
      <c r="N172" s="79" t="n">
        <v>0.109537037037037</v>
      </c>
      <c r="O172" s="79" t="n">
        <v>0.0837037037037037</v>
      </c>
      <c r="P172" s="79" t="n">
        <v>0.05865740740740741</v>
      </c>
    </row>
    <row r="173" ht="15.75" customHeight="1" s="45">
      <c r="A173" s="57" t="n">
        <v>46248</v>
      </c>
      <c r="B173" s="81" t="inlineStr">
        <is>
          <t>Pós-Projeto</t>
        </is>
      </c>
      <c r="C173" s="59" t="inlineStr">
        <is>
          <t>Acolhim. + Atend. Urgência + Atend. UPA</t>
        </is>
      </c>
      <c r="D173" s="60">
        <f>SUM(D174:D176)</f>
        <v/>
      </c>
      <c r="E173" s="60">
        <f>SUM(E174:E176)</f>
        <v/>
      </c>
      <c r="F173" s="60">
        <f>SUM(F174:F176)</f>
        <v/>
      </c>
      <c r="G173" s="60">
        <f>SUM(G174:G176)</f>
        <v/>
      </c>
      <c r="H173" s="60">
        <f>SUM(H174:H176)</f>
        <v/>
      </c>
      <c r="I173" s="60">
        <f>SUM(I174:I176)</f>
        <v/>
      </c>
      <c r="J173" s="60">
        <f>SUM(J174:J176)</f>
        <v/>
      </c>
      <c r="K173" s="60">
        <f>SUM(K174:K176)</f>
        <v/>
      </c>
      <c r="L173" s="60">
        <f>SUM(L174:L176)</f>
        <v/>
      </c>
      <c r="M173" s="60">
        <f>SUM(M174:M176)</f>
        <v/>
      </c>
      <c r="N173" s="60">
        <f>SUM(N174:N176)</f>
        <v/>
      </c>
      <c r="O173" s="60">
        <f>SUM(O174:O176)</f>
        <v/>
      </c>
      <c r="P173" s="60">
        <f>SUM(P174:P176)</f>
        <v/>
      </c>
    </row>
    <row r="174" ht="15.75" customHeight="1" s="45">
      <c r="A174" s="61" t="n">
        <v>46248</v>
      </c>
      <c r="B174" s="82" t="inlineStr">
        <is>
          <t>Pós-Projeto</t>
        </is>
      </c>
      <c r="C174" s="83" t="inlineStr">
        <is>
          <t>Acolhimento c/ Classif. de Risco</t>
        </is>
      </c>
      <c r="D174" s="64" t="n">
        <v>213</v>
      </c>
      <c r="E174" s="64" t="n">
        <v>157</v>
      </c>
      <c r="F174" s="64" t="n">
        <v>137</v>
      </c>
      <c r="G174" s="64" t="n">
        <v>137</v>
      </c>
      <c r="H174" s="64" t="n">
        <v>154</v>
      </c>
      <c r="I174" s="64" t="n">
        <v>166</v>
      </c>
      <c r="J174" s="64" t="n">
        <v>115</v>
      </c>
      <c r="K174" s="64" t="n">
        <v>279</v>
      </c>
      <c r="L174" s="64" t="n">
        <v>135</v>
      </c>
      <c r="M174" s="64" t="n">
        <v>224</v>
      </c>
      <c r="N174" s="64" t="n">
        <v>203</v>
      </c>
      <c r="O174" s="64" t="n">
        <v>235</v>
      </c>
      <c r="P174" s="64" t="n">
        <v>220</v>
      </c>
    </row>
    <row r="175" ht="15.75" customHeight="1" s="45">
      <c r="A175" s="61" t="n">
        <v>46248</v>
      </c>
      <c r="B175" s="62" t="inlineStr">
        <is>
          <t>Pós-Projeto</t>
        </is>
      </c>
      <c r="C175" s="84" t="inlineStr">
        <is>
          <t>Atend. Urgência Obs. ≤ 24h</t>
        </is>
      </c>
      <c r="D175" s="66" t="n">
        <v>15</v>
      </c>
      <c r="E175" s="66" t="n">
        <v>13</v>
      </c>
      <c r="F175" s="66" t="n">
        <v>23</v>
      </c>
      <c r="G175" s="66" t="n">
        <v>29</v>
      </c>
      <c r="H175" s="66" t="n">
        <v>25</v>
      </c>
      <c r="I175" s="66" t="n">
        <v>30</v>
      </c>
      <c r="J175" s="66" t="n">
        <v>4</v>
      </c>
      <c r="K175" s="66" t="n">
        <v>33</v>
      </c>
      <c r="L175" s="66" t="n">
        <v>52</v>
      </c>
      <c r="M175" s="66" t="n">
        <v>20</v>
      </c>
      <c r="N175" s="66" t="n">
        <v>29</v>
      </c>
      <c r="O175" s="66" t="n">
        <v>1</v>
      </c>
      <c r="P175" s="66" t="n">
        <v>24</v>
      </c>
    </row>
    <row r="176" ht="15.75" customHeight="1" s="45">
      <c r="A176" s="61" t="n">
        <v>46248</v>
      </c>
      <c r="B176" s="82" t="inlineStr">
        <is>
          <t>Pós-Projeto</t>
        </is>
      </c>
      <c r="C176" s="83" t="inlineStr">
        <is>
          <t>Atend. Médico em UPA</t>
        </is>
      </c>
      <c r="D176" s="64" t="n">
        <v>184</v>
      </c>
      <c r="E176" s="64" t="n">
        <v>93</v>
      </c>
      <c r="F176" s="64" t="n">
        <v>100</v>
      </c>
      <c r="G176" s="64" t="n">
        <v>79</v>
      </c>
      <c r="H176" s="64" t="n">
        <v>114</v>
      </c>
      <c r="I176" s="64" t="n">
        <v>181</v>
      </c>
      <c r="J176" s="64" t="n">
        <v>78</v>
      </c>
      <c r="K176" s="64" t="n">
        <v>217</v>
      </c>
      <c r="L176" s="64" t="n">
        <v>93</v>
      </c>
      <c r="M176" s="64" t="n">
        <v>166</v>
      </c>
      <c r="N176" s="64" t="n">
        <v>189</v>
      </c>
      <c r="O176" s="64" t="n">
        <v>205</v>
      </c>
      <c r="P176" s="64" t="n">
        <v>132</v>
      </c>
    </row>
    <row r="177" ht="15.75" customHeight="1" s="45">
      <c r="A177" s="61" t="n">
        <v>46248</v>
      </c>
      <c r="B177" s="82" t="inlineStr">
        <is>
          <t>Pós-Projeto</t>
        </is>
      </c>
      <c r="C177" s="84" t="inlineStr">
        <is>
          <t>Exames Laboratoriais</t>
        </is>
      </c>
      <c r="D177" s="66" t="n">
        <v>540</v>
      </c>
      <c r="E177" s="66" t="n">
        <v>549</v>
      </c>
      <c r="F177" s="66" t="n">
        <v>503</v>
      </c>
      <c r="G177" s="66" t="n">
        <v>354</v>
      </c>
      <c r="H177" s="66" t="n">
        <v>342</v>
      </c>
      <c r="I177" s="66" t="n">
        <v>742</v>
      </c>
      <c r="J177" s="66" t="n">
        <v>291</v>
      </c>
      <c r="K177" s="66" t="n">
        <v>745</v>
      </c>
      <c r="L177" s="66" t="n">
        <v>613</v>
      </c>
      <c r="M177" s="66" t="n">
        <v>450</v>
      </c>
      <c r="N177" s="66" t="n">
        <v>500</v>
      </c>
      <c r="O177" s="66" t="n">
        <v>409</v>
      </c>
      <c r="P177" s="66" t="n">
        <v>561</v>
      </c>
    </row>
    <row r="178" ht="15.75" customHeight="1" s="45">
      <c r="A178" s="61" t="n">
        <v>46248</v>
      </c>
      <c r="B178" s="82" t="inlineStr">
        <is>
          <t>Pós-Projeto</t>
        </is>
      </c>
      <c r="C178" s="83" t="inlineStr">
        <is>
          <t>Radiografias</t>
        </is>
      </c>
      <c r="D178" s="64" t="n">
        <v>21</v>
      </c>
      <c r="E178" s="64" t="n">
        <v>20</v>
      </c>
      <c r="F178" s="64" t="n">
        <v>18</v>
      </c>
      <c r="G178" s="67" t="n">
        <v>0</v>
      </c>
      <c r="H178" s="64" t="n">
        <v>1</v>
      </c>
      <c r="I178" s="64" t="n">
        <v>14</v>
      </c>
      <c r="J178" s="64" t="n">
        <v>8</v>
      </c>
      <c r="K178" s="64" t="n">
        <v>42</v>
      </c>
      <c r="L178" s="64" t="n">
        <v>15</v>
      </c>
      <c r="M178" s="64" t="n">
        <v>36</v>
      </c>
      <c r="N178" s="64" t="n">
        <v>32</v>
      </c>
      <c r="O178" s="64" t="n">
        <v>36</v>
      </c>
      <c r="P178" s="64" t="n">
        <v>34</v>
      </c>
    </row>
    <row r="179" ht="15.75" customHeight="1" s="45">
      <c r="A179" s="61" t="n">
        <v>46248</v>
      </c>
      <c r="B179" s="82" t="inlineStr">
        <is>
          <t>Pós-Projeto</t>
        </is>
      </c>
      <c r="C179" s="84" t="inlineStr">
        <is>
          <t>Eletrocardiogramas</t>
        </is>
      </c>
      <c r="D179" s="67" t="n">
        <v>0</v>
      </c>
      <c r="E179" s="67" t="n">
        <v>0</v>
      </c>
      <c r="F179" s="67" t="n">
        <v>0</v>
      </c>
      <c r="G179" s="66" t="n">
        <v>3</v>
      </c>
      <c r="H179" s="67" t="n">
        <v>0</v>
      </c>
      <c r="I179" s="66" t="n">
        <v>2</v>
      </c>
      <c r="J179" s="67" t="n">
        <v>0</v>
      </c>
      <c r="K179" s="66" t="n">
        <v>2</v>
      </c>
      <c r="L179" s="67" t="n">
        <v>0</v>
      </c>
      <c r="M179" s="67" t="n">
        <v>0</v>
      </c>
      <c r="N179" s="66" t="n">
        <v>7</v>
      </c>
      <c r="O179" s="67" t="n">
        <v>0</v>
      </c>
      <c r="P179" s="66" t="n">
        <v>14</v>
      </c>
    </row>
    <row r="180" ht="15.75" customHeight="1" s="45">
      <c r="A180" s="61" t="n">
        <v>46248</v>
      </c>
      <c r="B180" s="82" t="inlineStr">
        <is>
          <t>Pós-Projeto</t>
        </is>
      </c>
      <c r="C180" s="85" t="inlineStr">
        <is>
          <t>GAEs Abertas</t>
        </is>
      </c>
      <c r="D180" s="69" t="n">
        <v>219</v>
      </c>
      <c r="E180" s="69" t="n">
        <v>155</v>
      </c>
      <c r="F180" s="69" t="n">
        <v>143</v>
      </c>
      <c r="G180" s="69" t="n">
        <v>140</v>
      </c>
      <c r="H180" s="69" t="n">
        <v>158</v>
      </c>
      <c r="I180" s="69" t="n">
        <v>183</v>
      </c>
      <c r="J180" s="69" t="n">
        <v>114</v>
      </c>
      <c r="K180" s="69" t="n">
        <v>303</v>
      </c>
      <c r="L180" s="69" t="n">
        <v>142</v>
      </c>
      <c r="M180" s="69" t="n">
        <v>234</v>
      </c>
      <c r="N180" s="69" t="n">
        <v>212</v>
      </c>
      <c r="O180" s="69" t="n">
        <v>242</v>
      </c>
      <c r="P180" s="69" t="n">
        <v>225</v>
      </c>
    </row>
    <row r="181" ht="15.75" customHeight="1" s="45">
      <c r="A181" s="61" t="n">
        <v>46248</v>
      </c>
      <c r="B181" s="82" t="inlineStr">
        <is>
          <t>Pós-Projeto</t>
        </is>
      </c>
      <c r="C181" s="85" t="inlineStr">
        <is>
          <t>GAEs Classificadas</t>
        </is>
      </c>
      <c r="D181" s="69" t="n">
        <v>213</v>
      </c>
      <c r="E181" s="69" t="n">
        <v>154</v>
      </c>
      <c r="F181" s="69" t="n">
        <v>136</v>
      </c>
      <c r="G181" s="69" t="n">
        <v>136</v>
      </c>
      <c r="H181" s="69" t="n">
        <v>155</v>
      </c>
      <c r="I181" s="69" t="n">
        <v>166</v>
      </c>
      <c r="J181" s="69" t="n">
        <v>114</v>
      </c>
      <c r="K181" s="69" t="n">
        <v>280</v>
      </c>
      <c r="L181" s="69" t="n">
        <v>136</v>
      </c>
      <c r="M181" s="69" t="n">
        <v>228</v>
      </c>
      <c r="N181" s="69" t="n">
        <v>203</v>
      </c>
      <c r="O181" s="69" t="n">
        <v>235</v>
      </c>
      <c r="P181" s="69" t="n">
        <v>220</v>
      </c>
    </row>
    <row r="182" ht="15.75" customHeight="1" s="45">
      <c r="A182" s="61" t="n">
        <v>46248</v>
      </c>
      <c r="B182" s="82" t="inlineStr">
        <is>
          <t>Pós-Projeto</t>
        </is>
      </c>
      <c r="C182" s="86" t="inlineStr">
        <is>
          <t>Percentual de GAEs abertas classificadas</t>
        </is>
      </c>
      <c r="D182" s="71">
        <f>IFERROR(D181/D180,"-")</f>
        <v/>
      </c>
      <c r="E182" s="71">
        <f>IFERROR(E181/E180,"-")</f>
        <v/>
      </c>
      <c r="F182" s="71">
        <f>IFERROR(F181/F180,"-")</f>
        <v/>
      </c>
      <c r="G182" s="71">
        <f>IFERROR(G181/G180,"-")</f>
        <v/>
      </c>
      <c r="H182" s="71">
        <f>IFERROR(H181/H180,"-")</f>
        <v/>
      </c>
      <c r="I182" s="71">
        <f>IFERROR(I181/I180,"-")</f>
        <v/>
      </c>
      <c r="J182" s="71">
        <f>IFERROR(J181/J180,"-")</f>
        <v/>
      </c>
      <c r="K182" s="71">
        <f>IFERROR(K181/K180,"-")</f>
        <v/>
      </c>
      <c r="L182" s="71">
        <f>IFERROR(L181/L180,"-")</f>
        <v/>
      </c>
      <c r="M182" s="71">
        <f>IFERROR(M181/M180,"-")</f>
        <v/>
      </c>
      <c r="N182" s="71">
        <f>IFERROR(N181/N180,"-")</f>
        <v/>
      </c>
      <c r="O182" s="71">
        <f>IFERROR(O181/O180,"-")</f>
        <v/>
      </c>
      <c r="P182" s="71">
        <f>IFERROR(P181/P180,"-")</f>
        <v/>
      </c>
    </row>
    <row r="183" ht="15.75" customHeight="1" s="45">
      <c r="A183" s="61" t="n">
        <v>46248</v>
      </c>
      <c r="B183" s="82" t="inlineStr">
        <is>
          <t>Pós-Projeto</t>
        </is>
      </c>
      <c r="C183" s="87" t="inlineStr">
        <is>
          <t>Tempo Médio — 🟡 Amarelo (hh:mm)</t>
        </is>
      </c>
      <c r="D183" s="73" t="n">
        <v>0.05689814814814815</v>
      </c>
      <c r="E183" s="73" t="n">
        <v>0.05302083333333334</v>
      </c>
      <c r="F183" s="73" t="n">
        <v>0.03434027777777778</v>
      </c>
      <c r="G183" s="73" t="n">
        <v>0.0271875</v>
      </c>
      <c r="H183" s="73" t="n">
        <v>0.07899305555555555</v>
      </c>
      <c r="I183" s="73" t="n">
        <v>0.02186342592592593</v>
      </c>
      <c r="J183" s="73" t="n">
        <v>0.05664351851851852</v>
      </c>
      <c r="K183" s="73" t="n">
        <v>0.04653935185185185</v>
      </c>
      <c r="L183" s="73" t="n">
        <v>0.07356481481481482</v>
      </c>
      <c r="M183" s="73" t="n">
        <v>0.04489583333333334</v>
      </c>
      <c r="N183" s="73" t="n">
        <v>0.116087962962963</v>
      </c>
      <c r="O183" s="73" t="n">
        <v>0.04010416666666667</v>
      </c>
      <c r="P183" s="73" t="n">
        <v>0.03699074074074074</v>
      </c>
    </row>
    <row r="184" ht="15.75" customHeight="1" s="45">
      <c r="A184" s="61" t="n">
        <v>46248</v>
      </c>
      <c r="B184" s="82" t="inlineStr">
        <is>
          <t>Pós-Projeto</t>
        </is>
      </c>
      <c r="C184" s="88" t="inlineStr">
        <is>
          <t>Tempo Médio — 🟠 Laranja (hh:mm)</t>
        </is>
      </c>
      <c r="D184" s="75" t="n">
        <v>0.008078703703703704</v>
      </c>
      <c r="E184" s="75" t="n">
        <v>0.007789351851851852</v>
      </c>
      <c r="F184" s="75" t="n">
        <v>0.004537037037037037</v>
      </c>
      <c r="G184" s="75" t="n">
        <v>0.006909722222222222</v>
      </c>
      <c r="H184" s="75" t="n">
        <v>0.00917824074074074</v>
      </c>
      <c r="I184" s="75" t="n">
        <v>0.006956018518518518</v>
      </c>
      <c r="J184" s="75" t="n">
        <v>0.008703703703703703</v>
      </c>
      <c r="K184" s="75" t="n">
        <v>0.01587962962962963</v>
      </c>
      <c r="L184" s="75" t="n">
        <v>0.01481481481481482</v>
      </c>
      <c r="M184" s="75" t="n">
        <v>0.008993055555555556</v>
      </c>
      <c r="N184" s="75" t="n">
        <v>0.02099537037037037</v>
      </c>
      <c r="O184" s="75" t="n">
        <v>0.01128472222222222</v>
      </c>
      <c r="P184" s="75" t="n">
        <v>0.008854166666666666</v>
      </c>
    </row>
    <row r="185" ht="15.75" customHeight="1" s="45">
      <c r="A185" s="76" t="n">
        <v>46248</v>
      </c>
      <c r="B185" s="82" t="inlineStr">
        <is>
          <t>Pós-Projeto</t>
        </is>
      </c>
      <c r="C185" s="91" t="inlineStr">
        <is>
          <t>Tempo Médio — 🟢 Verde   (hh:mm)</t>
        </is>
      </c>
      <c r="D185" s="79" t="n">
        <v>0.08444444444444445</v>
      </c>
      <c r="E185" s="79" t="n">
        <v>0.105625</v>
      </c>
      <c r="F185" s="79" t="n">
        <v>0.1438310185185185</v>
      </c>
      <c r="G185" s="79" t="n">
        <v>0.09655092592592593</v>
      </c>
      <c r="H185" s="79" t="n">
        <v>0.1109837962962963</v>
      </c>
      <c r="I185" s="79" t="n">
        <v>0.09579861111111111</v>
      </c>
      <c r="J185" s="79" t="n">
        <v>0.09295138888888889</v>
      </c>
      <c r="K185" s="79" t="n">
        <v>0.09336805555555555</v>
      </c>
      <c r="L185" s="79" t="n">
        <v>0.09180555555555556</v>
      </c>
      <c r="M185" s="79" t="n">
        <v>0.05211805555555556</v>
      </c>
      <c r="N185" s="79" t="n">
        <v>0.1258564814814815</v>
      </c>
      <c r="O185" s="79" t="n">
        <v>0.06449074074074074</v>
      </c>
      <c r="P185" s="79" t="n">
        <v>0.05752314814814815</v>
      </c>
    </row>
    <row r="186" ht="15.75" customHeight="1" s="45">
      <c r="A186" s="57" t="n">
        <v>46249</v>
      </c>
      <c r="B186" s="81" t="inlineStr">
        <is>
          <t>Pós-Projeto</t>
        </is>
      </c>
      <c r="C186" s="59" t="inlineStr">
        <is>
          <t>Acolhim. + Atend. Urgência + Atend. UPA</t>
        </is>
      </c>
      <c r="D186" s="60">
        <f>SUM(D187:D189)</f>
        <v/>
      </c>
      <c r="E186" s="60">
        <f>SUM(E187:E189)</f>
        <v/>
      </c>
      <c r="F186" s="60">
        <f>SUM(F187:F189)</f>
        <v/>
      </c>
      <c r="G186" s="60">
        <f>SUM(G187:G189)</f>
        <v/>
      </c>
      <c r="H186" s="60">
        <f>SUM(H187:H189)</f>
        <v/>
      </c>
      <c r="I186" s="60">
        <f>SUM(I187:I189)</f>
        <v/>
      </c>
      <c r="J186" s="60">
        <f>SUM(J187:J189)</f>
        <v/>
      </c>
      <c r="K186" s="60">
        <f>SUM(K187:K189)</f>
        <v/>
      </c>
      <c r="L186" s="60">
        <f>SUM(L187:L189)</f>
        <v/>
      </c>
      <c r="M186" s="60">
        <f>SUM(M187:M189)</f>
        <v/>
      </c>
      <c r="N186" s="60">
        <f>SUM(N187:N189)</f>
        <v/>
      </c>
      <c r="O186" s="60">
        <f>SUM(O187:O189)</f>
        <v/>
      </c>
      <c r="P186" s="60">
        <f>SUM(P187:P189)</f>
        <v/>
      </c>
    </row>
    <row r="187" ht="15.75" customHeight="1" s="45">
      <c r="A187" s="61" t="n">
        <v>46249</v>
      </c>
      <c r="B187" s="82" t="inlineStr">
        <is>
          <t>Pós-Projeto</t>
        </is>
      </c>
      <c r="C187" s="83" t="inlineStr">
        <is>
          <t>Acolhimento c/ Classif. de Risco</t>
        </is>
      </c>
      <c r="D187" s="64" t="n">
        <v>180</v>
      </c>
      <c r="E187" s="64" t="n">
        <v>118</v>
      </c>
      <c r="F187" s="64" t="n">
        <v>144</v>
      </c>
      <c r="G187" s="64" t="n">
        <v>128</v>
      </c>
      <c r="H187" s="64" t="n">
        <v>108</v>
      </c>
      <c r="I187" s="64" t="n">
        <v>170</v>
      </c>
      <c r="J187" s="64" t="n">
        <v>78</v>
      </c>
      <c r="K187" s="64" t="n">
        <v>258</v>
      </c>
      <c r="L187" s="64" t="n">
        <v>107</v>
      </c>
      <c r="M187" s="64" t="n">
        <v>205</v>
      </c>
      <c r="N187" s="64" t="n">
        <v>184</v>
      </c>
      <c r="O187" s="64" t="n">
        <v>230</v>
      </c>
      <c r="P187" s="64" t="n">
        <v>176</v>
      </c>
    </row>
    <row r="188" ht="15.75" customHeight="1" s="45">
      <c r="A188" s="61" t="n">
        <v>46249</v>
      </c>
      <c r="B188" s="82" t="inlineStr">
        <is>
          <t>Pós-Projeto</t>
        </is>
      </c>
      <c r="C188" s="84" t="inlineStr">
        <is>
          <t>Atend. Urgência Obs. ≤ 24h</t>
        </is>
      </c>
      <c r="D188" s="66" t="n">
        <v>17</v>
      </c>
      <c r="E188" s="66" t="n">
        <v>22</v>
      </c>
      <c r="F188" s="66" t="n">
        <v>21</v>
      </c>
      <c r="G188" s="66" t="n">
        <v>19</v>
      </c>
      <c r="H188" s="66" t="n">
        <v>18</v>
      </c>
      <c r="I188" s="66" t="n">
        <v>21</v>
      </c>
      <c r="J188" s="66" t="n">
        <v>21</v>
      </c>
      <c r="K188" s="66" t="n">
        <v>39</v>
      </c>
      <c r="L188" s="66" t="n">
        <v>47</v>
      </c>
      <c r="M188" s="66" t="n">
        <v>17</v>
      </c>
      <c r="N188" s="66" t="n">
        <v>38</v>
      </c>
      <c r="O188" s="66" t="n">
        <v>20</v>
      </c>
      <c r="P188" s="66" t="n">
        <v>26</v>
      </c>
    </row>
    <row r="189" ht="15.75" customHeight="1" s="45">
      <c r="A189" s="61" t="n">
        <v>46249</v>
      </c>
      <c r="B189" s="82" t="inlineStr">
        <is>
          <t>Pós-Projeto</t>
        </is>
      </c>
      <c r="C189" s="83" t="inlineStr">
        <is>
          <t>Atend. Médico em UPA</t>
        </is>
      </c>
      <c r="D189" s="64" t="n">
        <v>123</v>
      </c>
      <c r="E189" s="64" t="n">
        <v>78</v>
      </c>
      <c r="F189" s="64" t="n">
        <v>99</v>
      </c>
      <c r="G189" s="64" t="n">
        <v>59</v>
      </c>
      <c r="H189" s="64" t="n">
        <v>88</v>
      </c>
      <c r="I189" s="64" t="n">
        <v>167</v>
      </c>
      <c r="J189" s="64" t="n">
        <v>69</v>
      </c>
      <c r="K189" s="64" t="n">
        <v>135</v>
      </c>
      <c r="L189" s="64" t="n">
        <v>70</v>
      </c>
      <c r="M189" s="64" t="n">
        <v>133</v>
      </c>
      <c r="N189" s="64" t="n">
        <v>136</v>
      </c>
      <c r="O189" s="64" t="n">
        <v>208</v>
      </c>
      <c r="P189" s="64" t="n">
        <v>126</v>
      </c>
    </row>
    <row r="190" ht="15.75" customHeight="1" s="45">
      <c r="A190" s="61" t="n">
        <v>46249</v>
      </c>
      <c r="B190" s="82" t="inlineStr">
        <is>
          <t>Pós-Projeto</t>
        </is>
      </c>
      <c r="C190" s="84" t="inlineStr">
        <is>
          <t>Exames Laboratoriais</t>
        </is>
      </c>
      <c r="D190" s="66" t="n">
        <v>501</v>
      </c>
      <c r="E190" s="66" t="n">
        <v>478</v>
      </c>
      <c r="F190" s="66" t="n">
        <v>279</v>
      </c>
      <c r="G190" s="66" t="n">
        <v>209</v>
      </c>
      <c r="H190" s="66" t="n">
        <v>389</v>
      </c>
      <c r="I190" s="66" t="n">
        <v>764</v>
      </c>
      <c r="J190" s="66" t="n">
        <v>275</v>
      </c>
      <c r="K190" s="66" t="n">
        <v>660</v>
      </c>
      <c r="L190" s="66" t="n">
        <v>418</v>
      </c>
      <c r="M190" s="66" t="n">
        <v>461</v>
      </c>
      <c r="N190" s="66" t="n">
        <v>512</v>
      </c>
      <c r="O190" s="66" t="n">
        <v>289</v>
      </c>
      <c r="P190" s="66" t="n">
        <v>185</v>
      </c>
    </row>
    <row r="191" ht="15.75" customHeight="1" s="45">
      <c r="A191" s="61" t="n">
        <v>46249</v>
      </c>
      <c r="B191" s="82" t="inlineStr">
        <is>
          <t>Pós-Projeto</t>
        </is>
      </c>
      <c r="C191" s="83" t="inlineStr">
        <is>
          <t>Radiografias</t>
        </is>
      </c>
      <c r="D191" s="64" t="n">
        <v>14</v>
      </c>
      <c r="E191" s="64" t="n">
        <v>18</v>
      </c>
      <c r="F191" s="64" t="n">
        <v>13</v>
      </c>
      <c r="G191" s="67" t="n">
        <v>0</v>
      </c>
      <c r="H191" s="67" t="n">
        <v>0</v>
      </c>
      <c r="I191" s="64" t="n">
        <v>9</v>
      </c>
      <c r="J191" s="64" t="n">
        <v>14</v>
      </c>
      <c r="K191" s="64" t="n">
        <v>44</v>
      </c>
      <c r="L191" s="64" t="n">
        <v>16</v>
      </c>
      <c r="M191" s="64" t="n">
        <v>35</v>
      </c>
      <c r="N191" s="64" t="n">
        <v>24</v>
      </c>
      <c r="O191" s="64" t="n">
        <v>33</v>
      </c>
      <c r="P191" s="64" t="n">
        <v>40</v>
      </c>
    </row>
    <row r="192" ht="15.75" customHeight="1" s="45">
      <c r="A192" s="61" t="n">
        <v>46249</v>
      </c>
      <c r="B192" s="82" t="inlineStr">
        <is>
          <t>Pós-Projeto</t>
        </is>
      </c>
      <c r="C192" s="84" t="inlineStr">
        <is>
          <t>Eletrocardiogramas</t>
        </is>
      </c>
      <c r="D192" s="67" t="n">
        <v>0</v>
      </c>
      <c r="E192" s="67" t="n">
        <v>0</v>
      </c>
      <c r="F192" s="67" t="n">
        <v>0</v>
      </c>
      <c r="G192" s="66" t="n">
        <v>1</v>
      </c>
      <c r="H192" s="67" t="n">
        <v>0</v>
      </c>
      <c r="I192" s="67" t="n">
        <v>0</v>
      </c>
      <c r="J192" s="67" t="n">
        <v>0</v>
      </c>
      <c r="K192" s="66" t="n">
        <v>9</v>
      </c>
      <c r="L192" s="67" t="n">
        <v>0</v>
      </c>
      <c r="M192" s="67" t="n">
        <v>0</v>
      </c>
      <c r="N192" s="66" t="n">
        <v>7</v>
      </c>
      <c r="O192" s="67" t="n">
        <v>0</v>
      </c>
      <c r="P192" s="66" t="n">
        <v>5</v>
      </c>
    </row>
    <row r="193" ht="15.75" customHeight="1" s="45">
      <c r="A193" s="61" t="n">
        <v>46249</v>
      </c>
      <c r="B193" s="82" t="inlineStr">
        <is>
          <t>Pós-Projeto</t>
        </is>
      </c>
      <c r="C193" s="85" t="inlineStr">
        <is>
          <t>GAEs Abertas</t>
        </is>
      </c>
      <c r="D193" s="69" t="n">
        <v>196</v>
      </c>
      <c r="E193" s="69" t="n">
        <v>119</v>
      </c>
      <c r="F193" s="69" t="n">
        <v>148</v>
      </c>
      <c r="G193" s="69" t="n">
        <v>136</v>
      </c>
      <c r="H193" s="69" t="n">
        <v>110</v>
      </c>
      <c r="I193" s="69" t="n">
        <v>188</v>
      </c>
      <c r="J193" s="69" t="n">
        <v>78</v>
      </c>
      <c r="K193" s="69" t="n">
        <v>280</v>
      </c>
      <c r="L193" s="69" t="n">
        <v>109</v>
      </c>
      <c r="M193" s="69" t="n">
        <v>216</v>
      </c>
      <c r="N193" s="69" t="n">
        <v>193</v>
      </c>
      <c r="O193" s="69" t="n">
        <v>234</v>
      </c>
      <c r="P193" s="69" t="n">
        <v>184</v>
      </c>
    </row>
    <row r="194" ht="15.75" customHeight="1" s="45">
      <c r="A194" s="61" t="n">
        <v>46249</v>
      </c>
      <c r="B194" s="82" t="inlineStr">
        <is>
          <t>Pós-Projeto</t>
        </is>
      </c>
      <c r="C194" s="85" t="inlineStr">
        <is>
          <t>GAEs Classificadas</t>
        </is>
      </c>
      <c r="D194" s="69" t="n">
        <v>182</v>
      </c>
      <c r="E194" s="69" t="n">
        <v>119</v>
      </c>
      <c r="F194" s="69" t="n">
        <v>144</v>
      </c>
      <c r="G194" s="69" t="n">
        <v>128</v>
      </c>
      <c r="H194" s="69" t="n">
        <v>107</v>
      </c>
      <c r="I194" s="69" t="n">
        <v>176</v>
      </c>
      <c r="J194" s="69" t="n">
        <v>78</v>
      </c>
      <c r="K194" s="69" t="n">
        <v>256</v>
      </c>
      <c r="L194" s="69" t="n">
        <v>106</v>
      </c>
      <c r="M194" s="69" t="n">
        <v>206</v>
      </c>
      <c r="N194" s="69" t="n">
        <v>183</v>
      </c>
      <c r="O194" s="69" t="n">
        <v>230</v>
      </c>
      <c r="P194" s="69" t="n">
        <v>179</v>
      </c>
    </row>
    <row r="195" ht="15.75" customHeight="1" s="45">
      <c r="A195" s="61" t="n">
        <v>46249</v>
      </c>
      <c r="B195" s="82" t="inlineStr">
        <is>
          <t>Pós-Projeto</t>
        </is>
      </c>
      <c r="C195" s="86" t="inlineStr">
        <is>
          <t>Percentual de GAEs abertas classificadas</t>
        </is>
      </c>
      <c r="D195" s="71">
        <f>IFERROR(D194/D193,"-")</f>
        <v/>
      </c>
      <c r="E195" s="71">
        <f>IFERROR(E194/E193,"-")</f>
        <v/>
      </c>
      <c r="F195" s="71">
        <f>IFERROR(F194/F193,"-")</f>
        <v/>
      </c>
      <c r="G195" s="71">
        <f>IFERROR(G194/G193,"-")</f>
        <v/>
      </c>
      <c r="H195" s="71">
        <f>IFERROR(H194/H193,"-")</f>
        <v/>
      </c>
      <c r="I195" s="71">
        <f>IFERROR(I194/I193,"-")</f>
        <v/>
      </c>
      <c r="J195" s="71">
        <f>IFERROR(J194/J193,"-")</f>
        <v/>
      </c>
      <c r="K195" s="71">
        <f>IFERROR(K194/K193,"-")</f>
        <v/>
      </c>
      <c r="L195" s="71">
        <f>IFERROR(L194/L193,"-")</f>
        <v/>
      </c>
      <c r="M195" s="71">
        <f>IFERROR(M194/M193,"-")</f>
        <v/>
      </c>
      <c r="N195" s="71">
        <f>IFERROR(N194/N193,"-")</f>
        <v/>
      </c>
      <c r="O195" s="71">
        <f>IFERROR(O194/O193,"-")</f>
        <v/>
      </c>
      <c r="P195" s="71">
        <f>IFERROR(P194/P193,"-")</f>
        <v/>
      </c>
    </row>
    <row r="196" ht="15.75" customHeight="1" s="45">
      <c r="A196" s="61" t="n">
        <v>46249</v>
      </c>
      <c r="B196" s="82" t="inlineStr">
        <is>
          <t>Pós-Projeto</t>
        </is>
      </c>
      <c r="C196" s="87" t="inlineStr">
        <is>
          <t>Tempo Médio — 🟡 Amarelo (hh:mm)</t>
        </is>
      </c>
      <c r="D196" s="73" t="n">
        <v>0.1125578703703704</v>
      </c>
      <c r="E196" s="73" t="n">
        <v>0.06668981481481481</v>
      </c>
      <c r="F196" s="73" t="n">
        <v>0.09722222222222222</v>
      </c>
      <c r="G196" s="73" t="n">
        <v>0.09190972222222223</v>
      </c>
      <c r="H196" s="73" t="n">
        <v>0.03293981481481482</v>
      </c>
      <c r="I196" s="73" t="n">
        <v>0.03206018518518518</v>
      </c>
      <c r="J196" s="73" t="n">
        <v>0.04482638888888889</v>
      </c>
      <c r="K196" s="73" t="n">
        <v>0.09026620370370371</v>
      </c>
      <c r="L196" s="73" t="n">
        <v>0.09378472222222223</v>
      </c>
      <c r="M196" s="73" t="n">
        <v>0.04168981481481481</v>
      </c>
      <c r="N196" s="73" t="n">
        <v>0.03423611111111111</v>
      </c>
      <c r="O196" s="73" t="n">
        <v>0.026875</v>
      </c>
      <c r="P196" s="73" t="n">
        <v>0.0284375</v>
      </c>
    </row>
    <row r="197" ht="15.75" customHeight="1" s="45">
      <c r="A197" s="61" t="n">
        <v>46249</v>
      </c>
      <c r="B197" s="82" t="inlineStr">
        <is>
          <t>Pós-Projeto</t>
        </is>
      </c>
      <c r="C197" s="88" t="inlineStr">
        <is>
          <t>Tempo Médio — 🟠 Laranja (hh:mm)</t>
        </is>
      </c>
      <c r="D197" s="75" t="n">
        <v>0.01097222222222222</v>
      </c>
      <c r="E197" s="75" t="n">
        <v>0.007152777777777778</v>
      </c>
      <c r="F197" s="75" t="n">
        <v>0.003761574074074074</v>
      </c>
      <c r="G197" s="75" t="n">
        <v>0.02225694444444444</v>
      </c>
      <c r="H197" s="75" t="n">
        <v>0.008379629629629629</v>
      </c>
      <c r="I197" s="75" t="n">
        <v>0.0065625</v>
      </c>
      <c r="J197" s="75" t="n">
        <v>0.01774305555555556</v>
      </c>
      <c r="K197" s="75" t="n">
        <v>0.02140046296296296</v>
      </c>
      <c r="L197" s="75" t="n">
        <v>0.005393518518518519</v>
      </c>
      <c r="M197" s="75" t="n">
        <v>0.01321759259259259</v>
      </c>
      <c r="N197" s="75" t="n">
        <v>0.01385416666666667</v>
      </c>
      <c r="O197" s="75" t="n">
        <v>0.006863425925925926</v>
      </c>
      <c r="P197" s="75" t="n">
        <v>0.007141203703703703</v>
      </c>
    </row>
    <row r="198" ht="15.75" customHeight="1" s="45">
      <c r="A198" s="76" t="n">
        <v>46249</v>
      </c>
      <c r="B198" s="82" t="inlineStr">
        <is>
          <t>Pós-Projeto</t>
        </is>
      </c>
      <c r="C198" s="91" t="inlineStr">
        <is>
          <t>Tempo Médio — 🟢 Verde   (hh:mm)</t>
        </is>
      </c>
      <c r="D198" s="79" t="n">
        <v>0.1445833333333333</v>
      </c>
      <c r="E198" s="79" t="n">
        <v>0.1399884259259259</v>
      </c>
      <c r="F198" s="79" t="n">
        <v>0.1694907407407407</v>
      </c>
      <c r="G198" s="79" t="n">
        <v>0.1826273148148148</v>
      </c>
      <c r="H198" s="79" t="n">
        <v>0.1018402777777778</v>
      </c>
      <c r="I198" s="79" t="n">
        <v>0.1254398148148148</v>
      </c>
      <c r="J198" s="79" t="n">
        <v>0.05109953703703703</v>
      </c>
      <c r="K198" s="79" t="n">
        <v>0.1222222222222222</v>
      </c>
      <c r="L198" s="79" t="n">
        <v>0.1629282407407407</v>
      </c>
      <c r="M198" s="79" t="n">
        <v>0.1179050925925926</v>
      </c>
      <c r="N198" s="79" t="n">
        <v>0.1132638888888889</v>
      </c>
      <c r="O198" s="79" t="n">
        <v>0.04923611111111111</v>
      </c>
      <c r="P198" s="79" t="n">
        <v>0.06785879629629629</v>
      </c>
    </row>
    <row r="199" ht="15.75" customHeight="1" s="45">
      <c r="A199" s="57" t="n">
        <v>46250</v>
      </c>
      <c r="B199" s="81" t="inlineStr">
        <is>
          <t>Pós-Projeto</t>
        </is>
      </c>
      <c r="C199" s="59" t="inlineStr">
        <is>
          <t>Acolhim. + Atend. Urgência + Atend. UPA</t>
        </is>
      </c>
      <c r="D199" s="60">
        <f>SUM(D200:D202)</f>
        <v/>
      </c>
      <c r="E199" s="60">
        <f>SUM(E200:E202)</f>
        <v/>
      </c>
      <c r="F199" s="60">
        <f>SUM(F200:F202)</f>
        <v/>
      </c>
      <c r="G199" s="60">
        <f>SUM(G200:G202)</f>
        <v/>
      </c>
      <c r="H199" s="60">
        <f>SUM(H200:H202)</f>
        <v/>
      </c>
      <c r="I199" s="60">
        <f>SUM(I200:I202)</f>
        <v/>
      </c>
      <c r="J199" s="60">
        <f>SUM(J200:J202)</f>
        <v/>
      </c>
      <c r="K199" s="60">
        <f>SUM(K200:K202)</f>
        <v/>
      </c>
      <c r="L199" s="60">
        <f>SUM(L200:L202)</f>
        <v/>
      </c>
      <c r="M199" s="60">
        <f>SUM(M200:M202)</f>
        <v/>
      </c>
      <c r="N199" s="60">
        <f>SUM(N200:N202)</f>
        <v/>
      </c>
      <c r="O199" s="60">
        <f>SUM(O200:O202)</f>
        <v/>
      </c>
      <c r="P199" s="60">
        <f>SUM(P200:P202)</f>
        <v/>
      </c>
    </row>
    <row r="200" ht="15.75" customHeight="1" s="45">
      <c r="A200" s="61" t="n">
        <v>46250</v>
      </c>
      <c r="B200" s="82" t="inlineStr">
        <is>
          <t>Pós-Projeto</t>
        </is>
      </c>
      <c r="C200" s="83" t="inlineStr">
        <is>
          <t>Acolhimento c/ Classif. de Risco</t>
        </is>
      </c>
      <c r="D200" s="64" t="n">
        <v>157</v>
      </c>
      <c r="E200" s="64" t="n">
        <v>120</v>
      </c>
      <c r="F200" s="64" t="n">
        <v>120</v>
      </c>
      <c r="G200" s="64" t="n">
        <v>126</v>
      </c>
      <c r="H200" s="64" t="n">
        <v>107</v>
      </c>
      <c r="I200" s="64" t="n">
        <v>174</v>
      </c>
      <c r="J200" s="64" t="n">
        <v>103</v>
      </c>
      <c r="K200" s="64" t="n">
        <v>249</v>
      </c>
      <c r="L200" s="64" t="n">
        <v>100</v>
      </c>
      <c r="M200" s="64" t="n">
        <v>193</v>
      </c>
      <c r="N200" s="64" t="n">
        <v>169</v>
      </c>
      <c r="O200" s="64" t="n">
        <v>197</v>
      </c>
      <c r="P200" s="64" t="n">
        <v>234</v>
      </c>
    </row>
    <row r="201" ht="15.75" customHeight="1" s="45">
      <c r="A201" s="61" t="n">
        <v>46250</v>
      </c>
      <c r="B201" s="82" t="inlineStr">
        <is>
          <t>Pós-Projeto</t>
        </is>
      </c>
      <c r="C201" s="84" t="inlineStr">
        <is>
          <t>Atend. Urgência Obs. ≤ 24h</t>
        </is>
      </c>
      <c r="D201" s="66" t="n">
        <v>9</v>
      </c>
      <c r="E201" s="66" t="n">
        <v>25</v>
      </c>
      <c r="F201" s="66" t="n">
        <v>23</v>
      </c>
      <c r="G201" s="66" t="n">
        <v>27</v>
      </c>
      <c r="H201" s="66" t="n">
        <v>15</v>
      </c>
      <c r="I201" s="66" t="n">
        <v>19</v>
      </c>
      <c r="J201" s="66" t="n">
        <v>18</v>
      </c>
      <c r="K201" s="66" t="n">
        <v>34</v>
      </c>
      <c r="L201" s="66" t="n">
        <v>46</v>
      </c>
      <c r="M201" s="66" t="n">
        <v>35</v>
      </c>
      <c r="N201" s="66" t="n">
        <v>23</v>
      </c>
      <c r="O201" s="66" t="n">
        <v>17</v>
      </c>
      <c r="P201" s="66" t="n">
        <v>29</v>
      </c>
    </row>
    <row r="202" ht="15.75" customHeight="1" s="45">
      <c r="A202" s="61" t="n">
        <v>46250</v>
      </c>
      <c r="B202" s="82" t="inlineStr">
        <is>
          <t>Pós-Projeto</t>
        </is>
      </c>
      <c r="C202" s="83" t="inlineStr">
        <is>
          <t>Atend. Médico em UPA</t>
        </is>
      </c>
      <c r="D202" s="64" t="n">
        <v>71</v>
      </c>
      <c r="E202" s="64" t="n">
        <v>83</v>
      </c>
      <c r="F202" s="64" t="n">
        <v>90</v>
      </c>
      <c r="G202" s="64" t="n">
        <v>97</v>
      </c>
      <c r="H202" s="64" t="n">
        <v>51</v>
      </c>
      <c r="I202" s="64" t="n">
        <v>165</v>
      </c>
      <c r="J202" s="64" t="n">
        <v>101</v>
      </c>
      <c r="K202" s="64" t="n">
        <v>180</v>
      </c>
      <c r="L202" s="64" t="n">
        <v>80</v>
      </c>
      <c r="M202" s="64" t="n">
        <v>133</v>
      </c>
      <c r="N202" s="64" t="n">
        <v>114</v>
      </c>
      <c r="O202" s="64" t="n">
        <v>137</v>
      </c>
      <c r="P202" s="64" t="n">
        <v>142</v>
      </c>
    </row>
    <row r="203" ht="15.75" customHeight="1" s="45">
      <c r="A203" s="61" t="n">
        <v>46250</v>
      </c>
      <c r="B203" s="82" t="inlineStr">
        <is>
          <t>Pós-Projeto</t>
        </is>
      </c>
      <c r="C203" s="84" t="inlineStr">
        <is>
          <t>Exames Laboratoriais</t>
        </is>
      </c>
      <c r="D203" s="66" t="n">
        <v>383</v>
      </c>
      <c r="E203" s="66" t="n">
        <v>438</v>
      </c>
      <c r="F203" s="66" t="n">
        <v>374</v>
      </c>
      <c r="G203" s="66" t="n">
        <v>506</v>
      </c>
      <c r="H203" s="66" t="n">
        <v>251</v>
      </c>
      <c r="I203" s="66" t="n">
        <v>678</v>
      </c>
      <c r="J203" s="66" t="n">
        <v>269</v>
      </c>
      <c r="K203" s="66" t="n">
        <v>727</v>
      </c>
      <c r="L203" s="66" t="n">
        <v>458</v>
      </c>
      <c r="M203" s="66" t="n">
        <v>590</v>
      </c>
      <c r="N203" s="66" t="n">
        <v>524</v>
      </c>
      <c r="O203" s="66" t="n">
        <v>337</v>
      </c>
      <c r="P203" s="66" t="n">
        <v>378</v>
      </c>
    </row>
    <row r="204" ht="15.75" customHeight="1" s="45">
      <c r="A204" s="61" t="n">
        <v>46250</v>
      </c>
      <c r="B204" s="82" t="inlineStr">
        <is>
          <t>Pós-Projeto</t>
        </is>
      </c>
      <c r="C204" s="83" t="inlineStr">
        <is>
          <t>Radiografias</t>
        </is>
      </c>
      <c r="D204" s="64" t="n">
        <v>10</v>
      </c>
      <c r="E204" s="64" t="n">
        <v>20</v>
      </c>
      <c r="F204" s="64" t="n">
        <v>20</v>
      </c>
      <c r="G204" s="67" t="n">
        <v>0</v>
      </c>
      <c r="H204" s="67" t="n">
        <v>0</v>
      </c>
      <c r="I204" s="67" t="n">
        <v>0</v>
      </c>
      <c r="J204" s="64" t="n">
        <v>10</v>
      </c>
      <c r="K204" s="64" t="n">
        <v>44</v>
      </c>
      <c r="L204" s="64" t="n">
        <v>14</v>
      </c>
      <c r="M204" s="64" t="n">
        <v>39</v>
      </c>
      <c r="N204" s="64" t="n">
        <v>11</v>
      </c>
      <c r="O204" s="64" t="n">
        <v>32</v>
      </c>
      <c r="P204" s="64" t="n">
        <v>53</v>
      </c>
    </row>
    <row r="205" ht="15.75" customHeight="1" s="45">
      <c r="A205" s="61" t="n">
        <v>46250</v>
      </c>
      <c r="B205" s="82" t="inlineStr">
        <is>
          <t>Pós-Projeto</t>
        </is>
      </c>
      <c r="C205" s="84" t="inlineStr">
        <is>
          <t>Eletrocardiogramas</t>
        </is>
      </c>
      <c r="D205" s="67" t="n">
        <v>0</v>
      </c>
      <c r="E205" s="66" t="n">
        <v>2</v>
      </c>
      <c r="F205" s="67" t="n">
        <v>0</v>
      </c>
      <c r="G205" s="66" t="n">
        <v>2</v>
      </c>
      <c r="H205" s="67" t="n">
        <v>0</v>
      </c>
      <c r="I205" s="67" t="n">
        <v>0</v>
      </c>
      <c r="J205" s="67" t="n">
        <v>0</v>
      </c>
      <c r="K205" s="67" t="n">
        <v>0</v>
      </c>
      <c r="L205" s="67" t="n">
        <v>0</v>
      </c>
      <c r="M205" s="67" t="n">
        <v>0</v>
      </c>
      <c r="N205" s="66" t="n">
        <v>6</v>
      </c>
      <c r="O205" s="67" t="n">
        <v>0</v>
      </c>
      <c r="P205" s="67" t="n">
        <v>0</v>
      </c>
    </row>
    <row r="206" ht="15.75" customHeight="1" s="45">
      <c r="A206" s="61" t="n">
        <v>46250</v>
      </c>
      <c r="B206" s="82" t="inlineStr">
        <is>
          <t>Pós-Projeto</t>
        </is>
      </c>
      <c r="C206" s="85" t="inlineStr">
        <is>
          <t>GAEs Abertas</t>
        </is>
      </c>
      <c r="D206" s="69" t="n">
        <v>177</v>
      </c>
      <c r="E206" s="69" t="n">
        <v>124</v>
      </c>
      <c r="F206" s="69" t="n">
        <v>126</v>
      </c>
      <c r="G206" s="69" t="n">
        <v>128</v>
      </c>
      <c r="H206" s="69" t="n">
        <v>110</v>
      </c>
      <c r="I206" s="69" t="n">
        <v>177</v>
      </c>
      <c r="J206" s="69" t="n">
        <v>108</v>
      </c>
      <c r="K206" s="69" t="n">
        <v>277</v>
      </c>
      <c r="L206" s="69" t="n">
        <v>120</v>
      </c>
      <c r="M206" s="69" t="n">
        <v>192</v>
      </c>
      <c r="N206" s="69" t="n">
        <v>180</v>
      </c>
      <c r="O206" s="69" t="n">
        <v>205</v>
      </c>
      <c r="P206" s="69" t="n">
        <v>238</v>
      </c>
    </row>
    <row r="207" ht="15.75" customHeight="1" s="45">
      <c r="A207" s="61" t="n">
        <v>46250</v>
      </c>
      <c r="B207" s="82" t="inlineStr">
        <is>
          <t>Pós-Projeto</t>
        </is>
      </c>
      <c r="C207" s="85" t="inlineStr">
        <is>
          <t>GAEs Classificadas</t>
        </is>
      </c>
      <c r="D207" s="69" t="n">
        <v>155</v>
      </c>
      <c r="E207" s="69" t="n">
        <v>118</v>
      </c>
      <c r="F207" s="69" t="n">
        <v>120</v>
      </c>
      <c r="G207" s="69" t="n">
        <v>126</v>
      </c>
      <c r="H207" s="69" t="n">
        <v>107</v>
      </c>
      <c r="I207" s="69" t="n">
        <v>168</v>
      </c>
      <c r="J207" s="69" t="n">
        <v>104</v>
      </c>
      <c r="K207" s="69" t="n">
        <v>248</v>
      </c>
      <c r="L207" s="69" t="n">
        <v>102</v>
      </c>
      <c r="M207" s="69" t="n">
        <v>190</v>
      </c>
      <c r="N207" s="69" t="n">
        <v>172</v>
      </c>
      <c r="O207" s="69" t="n">
        <v>197</v>
      </c>
      <c r="P207" s="69" t="n">
        <v>231</v>
      </c>
    </row>
    <row r="208" ht="15.75" customHeight="1" s="45">
      <c r="A208" s="61" t="n">
        <v>46250</v>
      </c>
      <c r="B208" s="82" t="inlineStr">
        <is>
          <t>Pós-Projeto</t>
        </is>
      </c>
      <c r="C208" s="86" t="inlineStr">
        <is>
          <t>Percentual de GAEs abertas classificadas</t>
        </is>
      </c>
      <c r="D208" s="71">
        <f>IFERROR(D207/D206,"-")</f>
        <v/>
      </c>
      <c r="E208" s="71">
        <f>IFERROR(E207/E206,"-")</f>
        <v/>
      </c>
      <c r="F208" s="71">
        <f>IFERROR(F207/F206,"-")</f>
        <v/>
      </c>
      <c r="G208" s="71">
        <f>IFERROR(G207/G206,"-")</f>
        <v/>
      </c>
      <c r="H208" s="71">
        <f>IFERROR(H207/H206,"-")</f>
        <v/>
      </c>
      <c r="I208" s="71">
        <f>IFERROR(I207/I206,"-")</f>
        <v/>
      </c>
      <c r="J208" s="71">
        <f>IFERROR(J207/J206,"-")</f>
        <v/>
      </c>
      <c r="K208" s="71">
        <f>IFERROR(K207/K206,"-")</f>
        <v/>
      </c>
      <c r="L208" s="71">
        <f>IFERROR(L207/L206,"-")</f>
        <v/>
      </c>
      <c r="M208" s="71">
        <f>IFERROR(M207/M206,"-")</f>
        <v/>
      </c>
      <c r="N208" s="71">
        <f>IFERROR(N207/N206,"-")</f>
        <v/>
      </c>
      <c r="O208" s="71">
        <f>IFERROR(O207/O206,"-")</f>
        <v/>
      </c>
      <c r="P208" s="71">
        <f>IFERROR(P207/P206,"-")</f>
        <v/>
      </c>
    </row>
    <row r="209" ht="15.75" customHeight="1" s="45">
      <c r="A209" s="61" t="n">
        <v>46250</v>
      </c>
      <c r="B209" s="82" t="inlineStr">
        <is>
          <t>Pós-Projeto</t>
        </is>
      </c>
      <c r="C209" s="87" t="inlineStr">
        <is>
          <t>Tempo Médio — 🟡 Amarelo (hh:mm)</t>
        </is>
      </c>
      <c r="D209" s="73" t="n">
        <v>0.1248263888888889</v>
      </c>
      <c r="E209" s="73" t="n">
        <v>0.03975694444444444</v>
      </c>
      <c r="F209" s="73" t="n">
        <v>0.03460648148148148</v>
      </c>
      <c r="G209" s="73" t="n">
        <v>0.04965277777777777</v>
      </c>
      <c r="H209" s="73" t="n">
        <v>0.09605324074074074</v>
      </c>
      <c r="I209" s="73" t="n">
        <v>0.03837962962962963</v>
      </c>
      <c r="J209" s="73" t="n">
        <v>0.06226851851851852</v>
      </c>
      <c r="K209" s="73" t="n">
        <v>0.1447569444444445</v>
      </c>
      <c r="L209" s="73" t="n">
        <v>0.04243055555555555</v>
      </c>
      <c r="M209" s="73" t="n">
        <v>0.02260416666666667</v>
      </c>
      <c r="N209" s="73" t="n">
        <v>0.081875</v>
      </c>
      <c r="O209" s="73" t="n">
        <v>0.03479166666666667</v>
      </c>
      <c r="P209" s="73" t="n">
        <v>0.02349537037037037</v>
      </c>
    </row>
    <row r="210" ht="15.75" customHeight="1" s="45">
      <c r="A210" s="61" t="n">
        <v>46250</v>
      </c>
      <c r="B210" s="82" t="inlineStr">
        <is>
          <t>Pós-Projeto</t>
        </is>
      </c>
      <c r="C210" s="88" t="inlineStr">
        <is>
          <t>Tempo Médio — 🟠 Laranja (hh:mm)</t>
        </is>
      </c>
      <c r="D210" s="75" t="n">
        <v>0.02256944444444444</v>
      </c>
      <c r="E210" s="75" t="n">
        <v>0.005983796296296296</v>
      </c>
      <c r="F210" s="75" t="n">
        <v>0.01061342592592593</v>
      </c>
      <c r="G210" s="75" t="n">
        <v>0.009027777777777777</v>
      </c>
      <c r="H210" s="75" t="n">
        <v>0.007662037037037037</v>
      </c>
      <c r="I210" s="75" t="n">
        <v>0.006087962962962963</v>
      </c>
      <c r="J210" s="75" t="n">
        <v>0.006956018518518518</v>
      </c>
      <c r="K210" s="75" t="n">
        <v>0.01414351851851852</v>
      </c>
      <c r="L210" s="75" t="n">
        <v>0.007893518518518518</v>
      </c>
      <c r="M210" s="75" t="n">
        <v>0.01127314814814815</v>
      </c>
      <c r="N210" s="75" t="n">
        <v>0.01618055555555556</v>
      </c>
      <c r="O210" s="75" t="n">
        <v>0.01019675925925926</v>
      </c>
      <c r="P210" s="75" t="n">
        <v>0.008078703703703704</v>
      </c>
    </row>
    <row r="211" ht="15.75" customHeight="1" s="45">
      <c r="A211" s="76" t="n">
        <v>46250</v>
      </c>
      <c r="B211" s="82" t="inlineStr">
        <is>
          <t>Pós-Projeto</t>
        </is>
      </c>
      <c r="C211" s="91" t="inlineStr">
        <is>
          <t>Tempo Médio — 🟢 Verde   (hh:mm)</t>
        </is>
      </c>
      <c r="D211" s="79" t="n">
        <v>0.08517361111111112</v>
      </c>
      <c r="E211" s="79" t="n">
        <v>0.07118055555555555</v>
      </c>
      <c r="F211" s="79" t="n">
        <v>0.1134143518518518</v>
      </c>
      <c r="G211" s="79" t="n">
        <v>0.2372800925925926</v>
      </c>
      <c r="H211" s="79" t="n">
        <v>0.110625</v>
      </c>
      <c r="I211" s="79" t="n">
        <v>0.130787037037037</v>
      </c>
      <c r="J211" s="79" t="n">
        <v>0.1033912037037037</v>
      </c>
      <c r="K211" s="79" t="n">
        <v>0.125625</v>
      </c>
      <c r="L211" s="79" t="n">
        <v>0.1646180555555556</v>
      </c>
      <c r="M211" s="79" t="n">
        <v>0.08439814814814815</v>
      </c>
      <c r="N211" s="79" t="n">
        <v>0.1034490740740741</v>
      </c>
      <c r="O211" s="79" t="n">
        <v>0.08598379629629629</v>
      </c>
      <c r="P211" s="79" t="n">
        <v>0.04884259259259259</v>
      </c>
    </row>
    <row r="212" ht="15.75" customHeight="1" s="45">
      <c r="A212" s="57" t="n">
        <v>46251</v>
      </c>
      <c r="B212" s="81" t="inlineStr">
        <is>
          <t>Pós-Projeto</t>
        </is>
      </c>
      <c r="C212" s="59" t="inlineStr">
        <is>
          <t>Acolhim. + Atend. Urgência + Atend. UPA</t>
        </is>
      </c>
      <c r="D212" s="60">
        <f>SUM(D213:D215)</f>
        <v/>
      </c>
      <c r="E212" s="60">
        <f>SUM(E213:E215)</f>
        <v/>
      </c>
      <c r="F212" s="60">
        <f>SUM(F213:F215)</f>
        <v/>
      </c>
      <c r="G212" s="60">
        <f>SUM(G213:G215)</f>
        <v/>
      </c>
      <c r="H212" s="60">
        <f>SUM(H213:H215)</f>
        <v/>
      </c>
      <c r="I212" s="60">
        <f>SUM(I213:I215)</f>
        <v/>
      </c>
      <c r="J212" s="60">
        <f>SUM(J213:J215)</f>
        <v/>
      </c>
      <c r="K212" s="60">
        <f>SUM(K213:K215)</f>
        <v/>
      </c>
      <c r="L212" s="60">
        <f>SUM(L213:L215)</f>
        <v/>
      </c>
      <c r="M212" s="60">
        <f>SUM(M213:M215)</f>
        <v/>
      </c>
      <c r="N212" s="60">
        <f>SUM(N213:N215)</f>
        <v/>
      </c>
      <c r="O212" s="60">
        <f>SUM(O213:O215)</f>
        <v/>
      </c>
      <c r="P212" s="60">
        <f>SUM(P213:P215)</f>
        <v/>
      </c>
    </row>
    <row r="213" ht="15.75" customHeight="1" s="45">
      <c r="A213" s="61" t="n">
        <v>46251</v>
      </c>
      <c r="B213" s="82" t="inlineStr">
        <is>
          <t>Pós-Projeto</t>
        </is>
      </c>
      <c r="C213" s="83" t="inlineStr">
        <is>
          <t>Acolhimento c/ Classif. de Risco</t>
        </is>
      </c>
      <c r="D213" s="64" t="n">
        <v>198</v>
      </c>
      <c r="E213" s="64" t="n">
        <v>193</v>
      </c>
      <c r="F213" s="64" t="n">
        <v>192</v>
      </c>
      <c r="G213" s="64" t="n">
        <v>157</v>
      </c>
      <c r="H213" s="64" t="n">
        <v>171</v>
      </c>
      <c r="I213" s="64" t="n">
        <v>213</v>
      </c>
      <c r="J213" s="64" t="n">
        <v>139</v>
      </c>
      <c r="K213" s="64" t="n">
        <v>327</v>
      </c>
      <c r="L213" s="64" t="n">
        <v>156</v>
      </c>
      <c r="M213" s="64" t="n">
        <v>268</v>
      </c>
      <c r="N213" s="64" t="n">
        <v>254</v>
      </c>
      <c r="O213" s="64" t="n">
        <v>344</v>
      </c>
      <c r="P213" s="64" t="n">
        <v>302</v>
      </c>
    </row>
    <row r="214" ht="15.75" customHeight="1" s="45">
      <c r="A214" s="61" t="n">
        <v>46251</v>
      </c>
      <c r="B214" s="82" t="inlineStr">
        <is>
          <t>Pós-Projeto</t>
        </is>
      </c>
      <c r="C214" s="84" t="inlineStr">
        <is>
          <t>Atend. Urgência Obs. ≤ 24h</t>
        </is>
      </c>
      <c r="D214" s="66" t="n">
        <v>26</v>
      </c>
      <c r="E214" s="66" t="n">
        <v>13</v>
      </c>
      <c r="F214" s="66" t="n">
        <v>16</v>
      </c>
      <c r="G214" s="66" t="n">
        <v>36</v>
      </c>
      <c r="H214" s="66" t="n">
        <v>20</v>
      </c>
      <c r="I214" s="66" t="n">
        <v>15</v>
      </c>
      <c r="J214" s="66" t="n">
        <v>6</v>
      </c>
      <c r="K214" s="66" t="n">
        <v>40</v>
      </c>
      <c r="L214" s="66" t="n">
        <v>52</v>
      </c>
      <c r="M214" s="66" t="n">
        <v>69</v>
      </c>
      <c r="N214" s="66" t="n">
        <v>27</v>
      </c>
      <c r="O214" s="66" t="n">
        <v>33</v>
      </c>
      <c r="P214" s="66" t="n">
        <v>31</v>
      </c>
    </row>
    <row r="215" ht="15.75" customHeight="1" s="45">
      <c r="A215" s="61" t="n">
        <v>46251</v>
      </c>
      <c r="B215" s="82" t="inlineStr">
        <is>
          <t>Pós-Projeto</t>
        </is>
      </c>
      <c r="C215" s="83" t="inlineStr">
        <is>
          <t>Atend. Médico em UPA</t>
        </is>
      </c>
      <c r="D215" s="64" t="n">
        <v>176</v>
      </c>
      <c r="E215" s="64" t="n">
        <v>125</v>
      </c>
      <c r="F215" s="64" t="n">
        <v>153</v>
      </c>
      <c r="G215" s="64" t="n">
        <v>96</v>
      </c>
      <c r="H215" s="64" t="n">
        <v>106</v>
      </c>
      <c r="I215" s="64" t="n">
        <v>215</v>
      </c>
      <c r="J215" s="64" t="n">
        <v>93</v>
      </c>
      <c r="K215" s="64" t="n">
        <v>270</v>
      </c>
      <c r="L215" s="64" t="n">
        <v>106</v>
      </c>
      <c r="M215" s="64" t="n">
        <v>130</v>
      </c>
      <c r="N215" s="64" t="n">
        <v>194</v>
      </c>
      <c r="O215" s="64" t="n">
        <v>246</v>
      </c>
      <c r="P215" s="64" t="n">
        <v>171</v>
      </c>
    </row>
    <row r="216" ht="15.75" customHeight="1" s="45">
      <c r="A216" s="61" t="n">
        <v>46251</v>
      </c>
      <c r="B216" s="82" t="inlineStr">
        <is>
          <t>Pós-Projeto</t>
        </is>
      </c>
      <c r="C216" s="84" t="inlineStr">
        <is>
          <t>Exames Laboratoriais</t>
        </is>
      </c>
      <c r="D216" s="66" t="n">
        <v>439</v>
      </c>
      <c r="E216" s="66" t="n">
        <v>475</v>
      </c>
      <c r="F216" s="66" t="n">
        <v>424</v>
      </c>
      <c r="G216" s="66" t="n">
        <v>402</v>
      </c>
      <c r="H216" s="66" t="n">
        <v>434</v>
      </c>
      <c r="I216" s="66" t="n">
        <v>681</v>
      </c>
      <c r="J216" s="66" t="n">
        <v>296</v>
      </c>
      <c r="K216" s="66" t="n">
        <v>1021</v>
      </c>
      <c r="L216" s="66" t="n">
        <v>408</v>
      </c>
      <c r="M216" s="66" t="n">
        <v>672</v>
      </c>
      <c r="N216" s="66" t="n">
        <v>645</v>
      </c>
      <c r="O216" s="66" t="n">
        <v>576</v>
      </c>
      <c r="P216" s="66" t="n">
        <v>400</v>
      </c>
    </row>
    <row r="217" ht="15.75" customHeight="1" s="45">
      <c r="A217" s="61" t="n">
        <v>46251</v>
      </c>
      <c r="B217" s="82" t="inlineStr">
        <is>
          <t>Pós-Projeto</t>
        </is>
      </c>
      <c r="C217" s="83" t="inlineStr">
        <is>
          <t>Radiografias</t>
        </is>
      </c>
      <c r="D217" s="64" t="n">
        <v>7</v>
      </c>
      <c r="E217" s="64" t="n">
        <v>20</v>
      </c>
      <c r="F217" s="64" t="n">
        <v>15</v>
      </c>
      <c r="G217" s="67" t="n">
        <v>0</v>
      </c>
      <c r="H217" s="67" t="n">
        <v>0</v>
      </c>
      <c r="I217" s="67" t="n">
        <v>0</v>
      </c>
      <c r="J217" s="64" t="n">
        <v>18</v>
      </c>
      <c r="K217" s="64" t="n">
        <v>51</v>
      </c>
      <c r="L217" s="64" t="n">
        <v>26</v>
      </c>
      <c r="M217" s="64" t="n">
        <v>36</v>
      </c>
      <c r="N217" s="64" t="n">
        <v>32</v>
      </c>
      <c r="O217" s="64" t="n">
        <v>50</v>
      </c>
      <c r="P217" s="64" t="n">
        <v>39</v>
      </c>
    </row>
    <row r="218" ht="15.75" customHeight="1" s="45">
      <c r="A218" s="61" t="n">
        <v>46251</v>
      </c>
      <c r="B218" s="82" t="inlineStr">
        <is>
          <t>Pós-Projeto</t>
        </is>
      </c>
      <c r="C218" s="84" t="inlineStr">
        <is>
          <t>Eletrocardiogramas</t>
        </is>
      </c>
      <c r="D218" s="66" t="n">
        <v>10</v>
      </c>
      <c r="E218" s="66" t="n">
        <v>1</v>
      </c>
      <c r="F218" s="67" t="n">
        <v>0</v>
      </c>
      <c r="G218" s="66" t="n">
        <v>4</v>
      </c>
      <c r="H218" s="67" t="n">
        <v>0</v>
      </c>
      <c r="I218" s="66" t="n">
        <v>3</v>
      </c>
      <c r="J218" s="67" t="n">
        <v>0</v>
      </c>
      <c r="K218" s="66" t="n">
        <v>6</v>
      </c>
      <c r="L218" s="67" t="n">
        <v>0</v>
      </c>
      <c r="M218" s="67" t="n">
        <v>0</v>
      </c>
      <c r="N218" s="66" t="n">
        <v>12</v>
      </c>
      <c r="O218" s="67" t="n">
        <v>0</v>
      </c>
      <c r="P218" s="66" t="n">
        <v>5</v>
      </c>
    </row>
    <row r="219" ht="15.75" customHeight="1" s="45">
      <c r="A219" s="61" t="n">
        <v>46251</v>
      </c>
      <c r="B219" s="82" t="inlineStr">
        <is>
          <t>Pós-Projeto</t>
        </is>
      </c>
      <c r="C219" s="85" t="inlineStr">
        <is>
          <t>GAEs Abertas</t>
        </is>
      </c>
      <c r="D219" s="69" t="n">
        <v>252</v>
      </c>
      <c r="E219" s="69" t="n">
        <v>212</v>
      </c>
      <c r="F219" s="69" t="n">
        <v>193</v>
      </c>
      <c r="G219" s="69" t="n">
        <v>172</v>
      </c>
      <c r="H219" s="69" t="n">
        <v>187</v>
      </c>
      <c r="I219" s="69" t="n">
        <v>248</v>
      </c>
      <c r="J219" s="69" t="n">
        <v>145</v>
      </c>
      <c r="K219" s="69" t="n">
        <v>384</v>
      </c>
      <c r="L219" s="69" t="n">
        <v>166</v>
      </c>
      <c r="M219" s="69" t="n">
        <v>277</v>
      </c>
      <c r="N219" s="69" t="n">
        <v>263</v>
      </c>
      <c r="O219" s="69" t="n">
        <v>362</v>
      </c>
      <c r="P219" s="69" t="n">
        <v>310</v>
      </c>
    </row>
    <row r="220" ht="15.75" customHeight="1" s="45">
      <c r="A220" s="61" t="n">
        <v>46251</v>
      </c>
      <c r="B220" s="82" t="inlineStr">
        <is>
          <t>Pós-Projeto</t>
        </is>
      </c>
      <c r="C220" s="85" t="inlineStr">
        <is>
          <t>GAEs Classificadas</t>
        </is>
      </c>
      <c r="D220" s="69" t="n">
        <v>200</v>
      </c>
      <c r="E220" s="69" t="n">
        <v>195</v>
      </c>
      <c r="F220" s="69" t="n">
        <v>192</v>
      </c>
      <c r="G220" s="69" t="n">
        <v>157</v>
      </c>
      <c r="H220" s="69" t="n">
        <v>173</v>
      </c>
      <c r="I220" s="69" t="n">
        <v>215</v>
      </c>
      <c r="J220" s="69" t="n">
        <v>138</v>
      </c>
      <c r="K220" s="69" t="n">
        <v>328</v>
      </c>
      <c r="L220" s="69" t="n">
        <v>154</v>
      </c>
      <c r="M220" s="69" t="n">
        <v>265</v>
      </c>
      <c r="N220" s="69" t="n">
        <v>254</v>
      </c>
      <c r="O220" s="69" t="n">
        <v>344</v>
      </c>
      <c r="P220" s="69" t="n">
        <v>302</v>
      </c>
    </row>
    <row r="221" ht="15.75" customHeight="1" s="45">
      <c r="A221" s="61" t="n">
        <v>46251</v>
      </c>
      <c r="B221" s="82" t="inlineStr">
        <is>
          <t>Pós-Projeto</t>
        </is>
      </c>
      <c r="C221" s="86" t="inlineStr">
        <is>
          <t>Percentual de GAEs abertas classificadas</t>
        </is>
      </c>
      <c r="D221" s="71">
        <f>IFERROR(D220/D219,"-")</f>
        <v/>
      </c>
      <c r="E221" s="71">
        <f>IFERROR(E220/E219,"-")</f>
        <v/>
      </c>
      <c r="F221" s="71">
        <f>IFERROR(F220/F219,"-")</f>
        <v/>
      </c>
      <c r="G221" s="71">
        <f>IFERROR(G220/G219,"-")</f>
        <v/>
      </c>
      <c r="H221" s="71">
        <f>IFERROR(H220/H219,"-")</f>
        <v/>
      </c>
      <c r="I221" s="71">
        <f>IFERROR(I220/I219,"-")</f>
        <v/>
      </c>
      <c r="J221" s="71">
        <f>IFERROR(J220/J219,"-")</f>
        <v/>
      </c>
      <c r="K221" s="71">
        <f>IFERROR(K220/K219,"-")</f>
        <v/>
      </c>
      <c r="L221" s="71">
        <f>IFERROR(L220/L219,"-")</f>
        <v/>
      </c>
      <c r="M221" s="71">
        <f>IFERROR(M220/M219,"-")</f>
        <v/>
      </c>
      <c r="N221" s="71">
        <f>IFERROR(N220/N219,"-")</f>
        <v/>
      </c>
      <c r="O221" s="71">
        <f>IFERROR(O220/O219,"-")</f>
        <v/>
      </c>
      <c r="P221" s="71">
        <f>IFERROR(P220/P219,"-")</f>
        <v/>
      </c>
    </row>
    <row r="222" ht="15.75" customHeight="1" s="45">
      <c r="A222" s="61" t="n">
        <v>46251</v>
      </c>
      <c r="B222" s="82" t="inlineStr">
        <is>
          <t>Pós-Projeto</t>
        </is>
      </c>
      <c r="C222" s="87" t="inlineStr">
        <is>
          <t>Tempo Médio — 🟡 Amarelo (hh:mm)</t>
        </is>
      </c>
      <c r="D222" s="73" t="n">
        <v>0.07123842592592593</v>
      </c>
      <c r="E222" s="73" t="n">
        <v>0.05280092592592592</v>
      </c>
      <c r="F222" s="73" t="n">
        <v>0.03638888888888889</v>
      </c>
      <c r="G222" s="73" t="n">
        <v>0.06745370370370371</v>
      </c>
      <c r="H222" s="73" t="n">
        <v>0.04141203703703704</v>
      </c>
      <c r="I222" s="73" t="n">
        <v>0.02582175925925926</v>
      </c>
      <c r="J222" s="73" t="n">
        <v>0.06576388888888889</v>
      </c>
      <c r="K222" s="73" t="n">
        <v>0.06611111111111111</v>
      </c>
      <c r="L222" s="73" t="n">
        <v>0.1287152777777778</v>
      </c>
      <c r="M222" s="73" t="n">
        <v>0.03770833333333334</v>
      </c>
      <c r="N222" s="73" t="n">
        <v>0.0328587962962963</v>
      </c>
      <c r="O222" s="73" t="n">
        <v>0.04189814814814815</v>
      </c>
      <c r="P222" s="73" t="n">
        <v>0.05268518518518518</v>
      </c>
    </row>
    <row r="223" ht="15.75" customHeight="1" s="45">
      <c r="A223" s="61" t="n">
        <v>46251</v>
      </c>
      <c r="B223" s="82" t="inlineStr">
        <is>
          <t>Pós-Projeto</t>
        </is>
      </c>
      <c r="C223" s="88" t="inlineStr">
        <is>
          <t>Tempo Médio — 🟠 Laranja (hh:mm)</t>
        </is>
      </c>
      <c r="D223" s="75" t="n">
        <v>0.0115162037037037</v>
      </c>
      <c r="E223" s="75" t="n">
        <v>0.007488425925925926</v>
      </c>
      <c r="F223" s="75" t="n">
        <v>0.004328703703703704</v>
      </c>
      <c r="G223" s="75" t="n">
        <v>0.03371527777777777</v>
      </c>
      <c r="H223" s="75" t="n">
        <v>0.004768518518518518</v>
      </c>
      <c r="I223" s="75" t="n">
        <v>0.00449074074074074</v>
      </c>
      <c r="J223" s="75" t="n">
        <v>0.02631944444444444</v>
      </c>
      <c r="K223" s="75" t="n">
        <v>0.01046296296296296</v>
      </c>
      <c r="L223" s="75" t="n">
        <v>0.03489583333333333</v>
      </c>
      <c r="M223" s="75" t="n">
        <v>0.01321759259259259</v>
      </c>
      <c r="N223" s="75" t="n">
        <v>0.01049768518518518</v>
      </c>
      <c r="O223" s="75" t="n">
        <v>0.009525462962962963</v>
      </c>
      <c r="P223" s="75" t="n">
        <v>0.01045138888888889</v>
      </c>
    </row>
    <row r="224" ht="15.75" customHeight="1" s="45">
      <c r="A224" s="76" t="n">
        <v>46251</v>
      </c>
      <c r="B224" s="82" t="inlineStr">
        <is>
          <t>Pós-Projeto</t>
        </is>
      </c>
      <c r="C224" s="91" t="inlineStr">
        <is>
          <t>Tempo Médio — 🟢 Verde   (hh:mm)</t>
        </is>
      </c>
      <c r="D224" s="79" t="n">
        <v>0.08491898148148148</v>
      </c>
      <c r="E224" s="79" t="n">
        <v>0.1843402777777778</v>
      </c>
      <c r="F224" s="79" t="n">
        <v>0.07408564814814815</v>
      </c>
      <c r="G224" s="79" t="n">
        <v>0.1313541666666667</v>
      </c>
      <c r="H224" s="79" t="n">
        <v>0.08246527777777778</v>
      </c>
      <c r="I224" s="79" t="n">
        <v>0.08675925925925926</v>
      </c>
      <c r="J224" s="79" t="n">
        <v>0.1028240740740741</v>
      </c>
      <c r="K224" s="79" t="n">
        <v>0.09637731481481482</v>
      </c>
      <c r="L224" s="79" t="n">
        <v>0.1149421296296296</v>
      </c>
      <c r="M224" s="79" t="n">
        <v>0.07086805555555556</v>
      </c>
      <c r="N224" s="79" t="n">
        <v>0.05635416666666666</v>
      </c>
      <c r="O224" s="79" t="n">
        <v>0.0783449074074074</v>
      </c>
      <c r="P224" s="79" t="n">
        <v>0.06216435185185185</v>
      </c>
    </row>
    <row r="225" ht="15.75" customHeight="1" s="45">
      <c r="A225" s="57" t="n">
        <v>46252</v>
      </c>
      <c r="B225" s="81" t="inlineStr">
        <is>
          <t>Pós-Projeto</t>
        </is>
      </c>
      <c r="C225" s="59" t="inlineStr">
        <is>
          <t>Acolhim. + Atend. Urgência + Atend. UPA</t>
        </is>
      </c>
      <c r="D225" s="60">
        <f>SUM(D226:D228)</f>
        <v/>
      </c>
      <c r="E225" s="60">
        <f>SUM(E226:E228)</f>
        <v/>
      </c>
      <c r="F225" s="60">
        <f>SUM(F226:F228)</f>
        <v/>
      </c>
      <c r="G225" s="60">
        <f>SUM(G226:G228)</f>
        <v/>
      </c>
      <c r="H225" s="60">
        <f>SUM(H226:H228)</f>
        <v/>
      </c>
      <c r="I225" s="60">
        <f>SUM(I226:I228)</f>
        <v/>
      </c>
      <c r="J225" s="60">
        <f>SUM(J226:J228)</f>
        <v/>
      </c>
      <c r="K225" s="60">
        <f>SUM(K226:K228)</f>
        <v/>
      </c>
      <c r="L225" s="60">
        <f>SUM(L226:L228)</f>
        <v/>
      </c>
      <c r="M225" s="60">
        <f>SUM(M226:M228)</f>
        <v/>
      </c>
      <c r="N225" s="60">
        <f>SUM(N226:N228)</f>
        <v/>
      </c>
      <c r="O225" s="60">
        <f>SUM(O226:O228)</f>
        <v/>
      </c>
      <c r="P225" s="60">
        <f>SUM(P226:P228)</f>
        <v/>
      </c>
    </row>
    <row r="226" ht="15.75" customHeight="1" s="45">
      <c r="A226" s="61" t="n">
        <v>46252</v>
      </c>
      <c r="B226" s="82" t="inlineStr">
        <is>
          <t>Pós-Projeto</t>
        </is>
      </c>
      <c r="C226" s="83" t="inlineStr">
        <is>
          <t>Acolhimento c/ Classif. de Risco</t>
        </is>
      </c>
      <c r="D226" s="64" t="n">
        <v>250</v>
      </c>
      <c r="E226" s="64" t="n">
        <v>183</v>
      </c>
      <c r="F226" s="64" t="n">
        <v>178</v>
      </c>
      <c r="G226" s="64" t="n">
        <v>152</v>
      </c>
      <c r="H226" s="64" t="n">
        <v>133</v>
      </c>
      <c r="I226" s="64" t="n">
        <v>197</v>
      </c>
      <c r="J226" s="64" t="n">
        <v>164</v>
      </c>
      <c r="K226" s="64" t="n">
        <v>310</v>
      </c>
      <c r="L226" s="64" t="n">
        <v>147</v>
      </c>
      <c r="M226" s="64" t="n">
        <v>258</v>
      </c>
      <c r="N226" s="64" t="n">
        <v>235</v>
      </c>
      <c r="O226" s="64" t="n">
        <v>301</v>
      </c>
      <c r="P226" s="64" t="n">
        <v>284</v>
      </c>
    </row>
    <row r="227" ht="15.75" customHeight="1" s="45">
      <c r="A227" s="61" t="n">
        <v>46252</v>
      </c>
      <c r="B227" s="82" t="inlineStr">
        <is>
          <t>Pós-Projeto</t>
        </is>
      </c>
      <c r="C227" s="84" t="inlineStr">
        <is>
          <t>Atend. Urgência Obs. ≤ 24h</t>
        </is>
      </c>
      <c r="D227" s="66" t="n">
        <v>46</v>
      </c>
      <c r="E227" s="66" t="n">
        <v>15</v>
      </c>
      <c r="F227" s="66" t="n">
        <v>20</v>
      </c>
      <c r="G227" s="66" t="n">
        <v>26</v>
      </c>
      <c r="H227" s="66" t="n">
        <v>17</v>
      </c>
      <c r="I227" s="66" t="n">
        <v>45</v>
      </c>
      <c r="J227" s="66" t="n">
        <v>15</v>
      </c>
      <c r="K227" s="66" t="n">
        <v>41</v>
      </c>
      <c r="L227" s="66" t="n">
        <v>33</v>
      </c>
      <c r="M227" s="66" t="n">
        <v>70</v>
      </c>
      <c r="N227" s="66" t="n">
        <v>33</v>
      </c>
      <c r="O227" s="66" t="n">
        <v>7</v>
      </c>
      <c r="P227" s="66" t="n">
        <v>44</v>
      </c>
    </row>
    <row r="228" ht="15.75" customHeight="1" s="45">
      <c r="A228" s="61" t="n">
        <v>46252</v>
      </c>
      <c r="B228" s="82" t="inlineStr">
        <is>
          <t>Pós-Projeto</t>
        </is>
      </c>
      <c r="C228" s="83" t="inlineStr">
        <is>
          <t>Atend. Médico em UPA</t>
        </is>
      </c>
      <c r="D228" s="64" t="n">
        <v>193</v>
      </c>
      <c r="E228" s="64" t="n">
        <v>123</v>
      </c>
      <c r="F228" s="64" t="n">
        <v>117</v>
      </c>
      <c r="G228" s="64" t="n">
        <v>74</v>
      </c>
      <c r="H228" s="64" t="n">
        <v>91</v>
      </c>
      <c r="I228" s="64" t="n">
        <v>162</v>
      </c>
      <c r="J228" s="64" t="n">
        <v>115</v>
      </c>
      <c r="K228" s="64" t="n">
        <v>306</v>
      </c>
      <c r="L228" s="64" t="n">
        <v>118</v>
      </c>
      <c r="M228" s="64" t="n">
        <v>182</v>
      </c>
      <c r="N228" s="64" t="n">
        <v>173</v>
      </c>
      <c r="O228" s="64" t="n">
        <v>179</v>
      </c>
      <c r="P228" s="64" t="n">
        <v>175</v>
      </c>
    </row>
    <row r="229" ht="15.75" customHeight="1" s="45">
      <c r="A229" s="61" t="n">
        <v>46252</v>
      </c>
      <c r="B229" s="82" t="inlineStr">
        <is>
          <t>Pós-Projeto</t>
        </is>
      </c>
      <c r="C229" s="84" t="inlineStr">
        <is>
          <t>Exames Laboratoriais</t>
        </is>
      </c>
      <c r="D229" s="66" t="n">
        <v>737</v>
      </c>
      <c r="E229" s="66" t="n">
        <v>526</v>
      </c>
      <c r="F229" s="66" t="n">
        <v>609</v>
      </c>
      <c r="G229" s="66" t="n">
        <v>304</v>
      </c>
      <c r="H229" s="66" t="n">
        <v>284</v>
      </c>
      <c r="I229" s="66" t="n">
        <v>602</v>
      </c>
      <c r="J229" s="66" t="n">
        <v>427</v>
      </c>
      <c r="K229" s="66" t="n">
        <v>944</v>
      </c>
      <c r="L229" s="66" t="n">
        <v>497</v>
      </c>
      <c r="M229" s="66" t="n">
        <v>708</v>
      </c>
      <c r="N229" s="66" t="n">
        <v>648</v>
      </c>
      <c r="O229" s="66" t="n">
        <v>623</v>
      </c>
      <c r="P229" s="66" t="n">
        <v>508</v>
      </c>
    </row>
    <row r="230" ht="15.75" customHeight="1" s="45">
      <c r="A230" s="61" t="n">
        <v>46252</v>
      </c>
      <c r="B230" s="82" t="inlineStr">
        <is>
          <t>Pós-Projeto</t>
        </is>
      </c>
      <c r="C230" s="83" t="inlineStr">
        <is>
          <t>Radiografias</t>
        </is>
      </c>
      <c r="D230" s="64" t="n">
        <v>18</v>
      </c>
      <c r="E230" s="64" t="n">
        <v>26</v>
      </c>
      <c r="F230" s="64" t="n">
        <v>39</v>
      </c>
      <c r="G230" s="67" t="n">
        <v>0</v>
      </c>
      <c r="H230" s="64" t="n">
        <v>1</v>
      </c>
      <c r="I230" s="67" t="n">
        <v>0</v>
      </c>
      <c r="J230" s="64" t="n">
        <v>26</v>
      </c>
      <c r="K230" s="64" t="n">
        <v>57</v>
      </c>
      <c r="L230" s="64" t="n">
        <v>14</v>
      </c>
      <c r="M230" s="64" t="n">
        <v>49</v>
      </c>
      <c r="N230" s="64" t="n">
        <v>27</v>
      </c>
      <c r="O230" s="64" t="n">
        <v>51</v>
      </c>
      <c r="P230" s="64" t="n">
        <v>45</v>
      </c>
    </row>
    <row r="231" ht="15.75" customHeight="1" s="45">
      <c r="A231" s="61" t="n">
        <v>46252</v>
      </c>
      <c r="B231" s="82" t="inlineStr">
        <is>
          <t>Pós-Projeto</t>
        </is>
      </c>
      <c r="C231" s="84" t="inlineStr">
        <is>
          <t>Eletrocardiogramas</t>
        </is>
      </c>
      <c r="D231" s="66" t="n">
        <v>3</v>
      </c>
      <c r="E231" s="67" t="n">
        <v>0</v>
      </c>
      <c r="F231" s="67" t="n">
        <v>0</v>
      </c>
      <c r="G231" s="66" t="n">
        <v>5</v>
      </c>
      <c r="H231" s="67" t="n">
        <v>0</v>
      </c>
      <c r="I231" s="67" t="n">
        <v>0</v>
      </c>
      <c r="J231" s="67" t="n">
        <v>0</v>
      </c>
      <c r="K231" s="66" t="n">
        <v>1</v>
      </c>
      <c r="L231" s="67" t="n">
        <v>0</v>
      </c>
      <c r="M231" s="67" t="n">
        <v>0</v>
      </c>
      <c r="N231" s="66" t="n">
        <v>14</v>
      </c>
      <c r="O231" s="67" t="n">
        <v>0</v>
      </c>
      <c r="P231" s="66" t="n">
        <v>7</v>
      </c>
    </row>
    <row r="232" ht="15.75" customHeight="1" s="45">
      <c r="A232" s="61" t="n">
        <v>46252</v>
      </c>
      <c r="B232" s="82" t="inlineStr">
        <is>
          <t>Pós-Projeto</t>
        </is>
      </c>
      <c r="C232" s="85" t="inlineStr">
        <is>
          <t>GAEs Abertas</t>
        </is>
      </c>
      <c r="D232" s="69" t="n">
        <v>272</v>
      </c>
      <c r="E232" s="69" t="n">
        <v>188</v>
      </c>
      <c r="F232" s="69" t="n">
        <v>188</v>
      </c>
      <c r="G232" s="69" t="n">
        <v>160</v>
      </c>
      <c r="H232" s="69" t="n">
        <v>136</v>
      </c>
      <c r="I232" s="69" t="n">
        <v>212</v>
      </c>
      <c r="J232" s="69" t="n">
        <v>169</v>
      </c>
      <c r="K232" s="69" t="n">
        <v>361</v>
      </c>
      <c r="L232" s="69" t="n">
        <v>156</v>
      </c>
      <c r="M232" s="69" t="n">
        <v>263</v>
      </c>
      <c r="N232" s="69" t="n">
        <v>245</v>
      </c>
      <c r="O232" s="69" t="n">
        <v>307</v>
      </c>
      <c r="P232" s="69" t="n">
        <v>291</v>
      </c>
    </row>
    <row r="233" ht="15.75" customHeight="1" s="45">
      <c r="A233" s="61" t="n">
        <v>46252</v>
      </c>
      <c r="B233" s="82" t="inlineStr">
        <is>
          <t>Pós-Projeto</t>
        </is>
      </c>
      <c r="C233" s="85" t="inlineStr">
        <is>
          <t>GAEs Classificadas</t>
        </is>
      </c>
      <c r="D233" s="69" t="n">
        <v>254</v>
      </c>
      <c r="E233" s="69" t="n">
        <v>182</v>
      </c>
      <c r="F233" s="69" t="n">
        <v>179</v>
      </c>
      <c r="G233" s="69" t="n">
        <v>152</v>
      </c>
      <c r="H233" s="69" t="n">
        <v>132</v>
      </c>
      <c r="I233" s="69" t="n">
        <v>194</v>
      </c>
      <c r="J233" s="69" t="n">
        <v>164</v>
      </c>
      <c r="K233" s="69" t="n">
        <v>312</v>
      </c>
      <c r="L233" s="69" t="n">
        <v>149</v>
      </c>
      <c r="M233" s="69" t="n">
        <v>260</v>
      </c>
      <c r="N233" s="69" t="n">
        <v>233</v>
      </c>
      <c r="O233" s="69" t="n">
        <v>301</v>
      </c>
      <c r="P233" s="69" t="n">
        <v>285</v>
      </c>
    </row>
    <row r="234" ht="15.75" customHeight="1" s="45">
      <c r="A234" s="61" t="n">
        <v>46252</v>
      </c>
      <c r="B234" s="82" t="inlineStr">
        <is>
          <t>Pós-Projeto</t>
        </is>
      </c>
      <c r="C234" s="86" t="inlineStr">
        <is>
          <t>Percentual de GAEs abertas classificadas</t>
        </is>
      </c>
      <c r="D234" s="71">
        <f>IFERROR(D233/D232,"-")</f>
        <v/>
      </c>
      <c r="E234" s="71">
        <f>IFERROR(E233/E232,"-")</f>
        <v/>
      </c>
      <c r="F234" s="71">
        <f>IFERROR(F233/F232,"-")</f>
        <v/>
      </c>
      <c r="G234" s="71">
        <f>IFERROR(G233/G232,"-")</f>
        <v/>
      </c>
      <c r="H234" s="71">
        <f>IFERROR(H233/H232,"-")</f>
        <v/>
      </c>
      <c r="I234" s="71">
        <f>IFERROR(I233/I232,"-")</f>
        <v/>
      </c>
      <c r="J234" s="71">
        <f>IFERROR(J233/J232,"-")</f>
        <v/>
      </c>
      <c r="K234" s="71">
        <f>IFERROR(K233/K232,"-")</f>
        <v/>
      </c>
      <c r="L234" s="71">
        <f>IFERROR(L233/L232,"-")</f>
        <v/>
      </c>
      <c r="M234" s="71">
        <f>IFERROR(M233/M232,"-")</f>
        <v/>
      </c>
      <c r="N234" s="71">
        <f>IFERROR(N233/N232,"-")</f>
        <v/>
      </c>
      <c r="O234" s="71">
        <f>IFERROR(O233/O232,"-")</f>
        <v/>
      </c>
      <c r="P234" s="71">
        <f>IFERROR(P233/P232,"-")</f>
        <v/>
      </c>
    </row>
    <row r="235" ht="15.75" customHeight="1" s="45">
      <c r="A235" s="61" t="n">
        <v>46252</v>
      </c>
      <c r="B235" s="82" t="inlineStr">
        <is>
          <t>Pós-Projeto</t>
        </is>
      </c>
      <c r="C235" s="87" t="inlineStr">
        <is>
          <t>Tempo Médio — 🟡 Amarelo (hh:mm)</t>
        </is>
      </c>
      <c r="D235" s="73" t="n">
        <v>0.07471064814814815</v>
      </c>
      <c r="E235" s="73" t="n">
        <v>0.04040509259259259</v>
      </c>
      <c r="F235" s="73" t="n">
        <v>0.03518518518518519</v>
      </c>
      <c r="G235" s="73" t="n">
        <v>0.08271990740740741</v>
      </c>
      <c r="H235" s="73" t="n">
        <v>0.07334490740740741</v>
      </c>
      <c r="I235" s="73" t="n">
        <v>0.03653935185185185</v>
      </c>
      <c r="J235" s="73" t="n">
        <v>0.04579861111111111</v>
      </c>
      <c r="K235" s="73" t="n">
        <v>0.09927083333333334</v>
      </c>
      <c r="L235" s="73" t="n">
        <v>0.08393518518518518</v>
      </c>
      <c r="M235" s="73" t="n">
        <v>0.0394675925925926</v>
      </c>
      <c r="N235" s="73" t="n">
        <v>0.05136574074074074</v>
      </c>
      <c r="O235" s="73" t="n">
        <v>0.03679398148148148</v>
      </c>
      <c r="P235" s="73" t="n">
        <v>0.07255787037037037</v>
      </c>
    </row>
    <row r="236" ht="15.75" customHeight="1" s="45">
      <c r="A236" s="61" t="n">
        <v>46252</v>
      </c>
      <c r="B236" s="82" t="inlineStr">
        <is>
          <t>Pós-Projeto</t>
        </is>
      </c>
      <c r="C236" s="88" t="inlineStr">
        <is>
          <t>Tempo Médio — 🟠 Laranja (hh:mm)</t>
        </is>
      </c>
      <c r="D236" s="75" t="n">
        <v>0.01337962962962963</v>
      </c>
      <c r="E236" s="75" t="n">
        <v>0.00849537037037037</v>
      </c>
      <c r="F236" s="75" t="n">
        <v>0.004675925925925926</v>
      </c>
      <c r="G236" s="75" t="n">
        <v>0.006342592592592592</v>
      </c>
      <c r="H236" s="75" t="n">
        <v>0.005578703703703704</v>
      </c>
      <c r="I236" s="75" t="n">
        <v>0.00619212962962963</v>
      </c>
      <c r="J236" s="75" t="n">
        <v>0.01043981481481481</v>
      </c>
      <c r="K236" s="75" t="n">
        <v>0.0115162037037037</v>
      </c>
      <c r="L236" s="75" t="n">
        <v>0.01770833333333333</v>
      </c>
      <c r="M236" s="75" t="n">
        <v>0.005509259259259259</v>
      </c>
      <c r="N236" s="75" t="n">
        <v>0.01053240740740741</v>
      </c>
      <c r="O236" s="75" t="n">
        <v>0.008877314814814815</v>
      </c>
      <c r="P236" s="75" t="n">
        <v>0.00974537037037037</v>
      </c>
    </row>
    <row r="237" ht="15.75" customHeight="1" s="45">
      <c r="A237" s="76" t="n">
        <v>46252</v>
      </c>
      <c r="B237" s="82" t="inlineStr">
        <is>
          <t>Pós-Projeto</t>
        </is>
      </c>
      <c r="C237" s="91" t="inlineStr">
        <is>
          <t>Tempo Médio — 🟢 Verde   (hh:mm)</t>
        </is>
      </c>
      <c r="D237" s="79" t="n">
        <v>0.05612268518518519</v>
      </c>
      <c r="E237" s="79" t="n">
        <v>0.1376041666666667</v>
      </c>
      <c r="F237" s="79" t="n">
        <v>0.07932870370370371</v>
      </c>
      <c r="G237" s="79" t="n">
        <v>0.1230092592592593</v>
      </c>
      <c r="H237" s="79" t="n">
        <v>0.1229050925925926</v>
      </c>
      <c r="I237" s="79" t="n">
        <v>0.1111111111111111</v>
      </c>
      <c r="J237" s="79" t="n">
        <v>0.07548611111111111</v>
      </c>
      <c r="K237" s="79" t="n">
        <v>0.1161226851851852</v>
      </c>
      <c r="L237" s="79" t="n">
        <v>0.127025462962963</v>
      </c>
      <c r="M237" s="79" t="n">
        <v>0.08917824074074074</v>
      </c>
      <c r="N237" s="79" t="n">
        <v>0.1513078703703704</v>
      </c>
      <c r="O237" s="79" t="n">
        <v>0.09552083333333333</v>
      </c>
      <c r="P237" s="79" t="n">
        <v>0.06258101851851852</v>
      </c>
    </row>
    <row r="238" ht="15.75" customHeight="1" s="45">
      <c r="A238" s="57" t="n">
        <v>46253</v>
      </c>
      <c r="B238" s="81" t="inlineStr">
        <is>
          <t>Pós-Projeto</t>
        </is>
      </c>
      <c r="C238" s="59" t="inlineStr">
        <is>
          <t>Acolhim. + Atend. Urgência + Atend. UPA</t>
        </is>
      </c>
      <c r="D238" s="60">
        <f>SUM(D239:D241)</f>
        <v/>
      </c>
      <c r="E238" s="60">
        <f>SUM(E239:E241)</f>
        <v/>
      </c>
      <c r="F238" s="60">
        <f>SUM(F239:F241)</f>
        <v/>
      </c>
      <c r="G238" s="60">
        <f>SUM(G239:G241)</f>
        <v/>
      </c>
      <c r="H238" s="60">
        <f>SUM(H239:H241)</f>
        <v/>
      </c>
      <c r="I238" s="60">
        <f>SUM(I239:I241)</f>
        <v/>
      </c>
      <c r="J238" s="60">
        <f>SUM(J239:J241)</f>
        <v/>
      </c>
      <c r="K238" s="60">
        <f>SUM(K239:K241)</f>
        <v/>
      </c>
      <c r="L238" s="60">
        <f>SUM(L239:L241)</f>
        <v/>
      </c>
      <c r="M238" s="60">
        <f>SUM(M239:M241)</f>
        <v/>
      </c>
      <c r="N238" s="60">
        <f>SUM(N239:N241)</f>
        <v/>
      </c>
      <c r="O238" s="60">
        <f>SUM(O239:O241)</f>
        <v/>
      </c>
      <c r="P238" s="60">
        <f>SUM(P239:P241)</f>
        <v/>
      </c>
    </row>
    <row r="239" ht="15.75" customHeight="1" s="45">
      <c r="A239" s="61" t="n">
        <v>46253</v>
      </c>
      <c r="B239" s="82" t="inlineStr">
        <is>
          <t>Pós-Projeto</t>
        </is>
      </c>
      <c r="C239" s="83" t="inlineStr">
        <is>
          <t>Acolhimento c/ Classif. de Risco</t>
        </is>
      </c>
      <c r="D239" s="64" t="n">
        <v>254</v>
      </c>
      <c r="E239" s="64" t="n">
        <v>163</v>
      </c>
      <c r="F239" s="64" t="n">
        <v>161</v>
      </c>
      <c r="G239" s="64" t="n">
        <v>161</v>
      </c>
      <c r="H239" s="64" t="n">
        <v>167</v>
      </c>
      <c r="I239" s="64" t="n">
        <v>200</v>
      </c>
      <c r="J239" s="64" t="n">
        <v>119</v>
      </c>
      <c r="K239" s="64" t="n">
        <v>300</v>
      </c>
      <c r="L239" s="64" t="n">
        <v>139</v>
      </c>
      <c r="M239" s="64" t="n">
        <v>256</v>
      </c>
      <c r="N239" s="64" t="n">
        <v>201</v>
      </c>
      <c r="O239" s="64" t="n">
        <v>299</v>
      </c>
      <c r="P239" s="64" t="n">
        <v>256</v>
      </c>
    </row>
    <row r="240" ht="15.75" customHeight="1" s="45">
      <c r="A240" s="61" t="n">
        <v>46253</v>
      </c>
      <c r="B240" s="82" t="inlineStr">
        <is>
          <t>Pós-Projeto</t>
        </is>
      </c>
      <c r="C240" s="84" t="inlineStr">
        <is>
          <t>Atend. Urgência Obs. ≤ 24h</t>
        </is>
      </c>
      <c r="D240" s="66" t="n">
        <v>34</v>
      </c>
      <c r="E240" s="66" t="n">
        <v>18</v>
      </c>
      <c r="F240" s="66" t="n">
        <v>32</v>
      </c>
      <c r="G240" s="66" t="n">
        <v>29</v>
      </c>
      <c r="H240" s="66" t="n">
        <v>10</v>
      </c>
      <c r="I240" s="66" t="n">
        <v>19</v>
      </c>
      <c r="J240" s="66" t="n">
        <v>1</v>
      </c>
      <c r="K240" s="66" t="n">
        <v>41</v>
      </c>
      <c r="L240" s="66" t="n">
        <v>49</v>
      </c>
      <c r="M240" s="66" t="n">
        <v>23</v>
      </c>
      <c r="N240" s="66" t="n">
        <v>37</v>
      </c>
      <c r="O240" s="66" t="n">
        <v>19</v>
      </c>
      <c r="P240" s="66" t="n">
        <v>19</v>
      </c>
    </row>
    <row r="241" ht="15.75" customHeight="1" s="45">
      <c r="A241" s="61" t="n">
        <v>46253</v>
      </c>
      <c r="B241" s="82" t="inlineStr">
        <is>
          <t>Pós-Projeto</t>
        </is>
      </c>
      <c r="C241" s="83" t="inlineStr">
        <is>
          <t>Atend. Médico em UPA</t>
        </is>
      </c>
      <c r="D241" s="64" t="n">
        <v>193</v>
      </c>
      <c r="E241" s="64" t="n">
        <v>90</v>
      </c>
      <c r="F241" s="64" t="n">
        <v>127</v>
      </c>
      <c r="G241" s="64" t="n">
        <v>134</v>
      </c>
      <c r="H241" s="64" t="n">
        <v>116</v>
      </c>
      <c r="I241" s="64" t="n">
        <v>193</v>
      </c>
      <c r="J241" s="64" t="n">
        <v>87</v>
      </c>
      <c r="K241" s="64" t="n">
        <v>235</v>
      </c>
      <c r="L241" s="64" t="n">
        <v>123</v>
      </c>
      <c r="M241" s="64" t="n">
        <v>177</v>
      </c>
      <c r="N241" s="64" t="n">
        <v>158</v>
      </c>
      <c r="O241" s="64" t="n">
        <v>250</v>
      </c>
      <c r="P241" s="64" t="n">
        <v>169</v>
      </c>
    </row>
    <row r="242" ht="15.75" customHeight="1" s="45">
      <c r="A242" s="61" t="n">
        <v>46253</v>
      </c>
      <c r="B242" s="82" t="inlineStr">
        <is>
          <t>Pós-Projeto</t>
        </is>
      </c>
      <c r="C242" s="84" t="inlineStr">
        <is>
          <t>Exames Laboratoriais</t>
        </is>
      </c>
      <c r="D242" s="66" t="n">
        <v>519</v>
      </c>
      <c r="E242" s="66" t="n">
        <v>350</v>
      </c>
      <c r="F242" s="66" t="n">
        <v>633</v>
      </c>
      <c r="G242" s="66" t="n">
        <v>183</v>
      </c>
      <c r="H242" s="66" t="n">
        <v>321</v>
      </c>
      <c r="I242" s="66" t="n">
        <v>810</v>
      </c>
      <c r="J242" s="66" t="n">
        <v>311</v>
      </c>
      <c r="K242" s="66" t="n">
        <v>937</v>
      </c>
      <c r="L242" s="66" t="n">
        <v>509</v>
      </c>
      <c r="M242" s="66" t="n">
        <v>597</v>
      </c>
      <c r="N242" s="66" t="n">
        <v>614</v>
      </c>
      <c r="O242" s="66" t="n">
        <v>524</v>
      </c>
      <c r="P242" s="66" t="n">
        <v>243</v>
      </c>
    </row>
    <row r="243" ht="15.75" customHeight="1" s="45">
      <c r="A243" s="61" t="n">
        <v>46253</v>
      </c>
      <c r="B243" s="82" t="inlineStr">
        <is>
          <t>Pós-Projeto</t>
        </is>
      </c>
      <c r="C243" s="83" t="inlineStr">
        <is>
          <t>Radiografias</t>
        </is>
      </c>
      <c r="D243" s="64" t="n">
        <v>17</v>
      </c>
      <c r="E243" s="64" t="n">
        <v>24</v>
      </c>
      <c r="F243" s="64" t="n">
        <v>19</v>
      </c>
      <c r="G243" s="67" t="n">
        <v>0</v>
      </c>
      <c r="H243" s="64" t="n">
        <v>8</v>
      </c>
      <c r="I243" s="64" t="n">
        <v>9</v>
      </c>
      <c r="J243" s="64" t="n">
        <v>9</v>
      </c>
      <c r="K243" s="64" t="n">
        <v>52</v>
      </c>
      <c r="L243" s="64" t="n">
        <v>24</v>
      </c>
      <c r="M243" s="64" t="n">
        <v>33</v>
      </c>
      <c r="N243" s="64" t="n">
        <v>33</v>
      </c>
      <c r="O243" s="64" t="n">
        <v>44</v>
      </c>
      <c r="P243" s="64" t="n">
        <v>21</v>
      </c>
    </row>
    <row r="244" ht="15.75" customHeight="1" s="45">
      <c r="A244" s="61" t="n">
        <v>46253</v>
      </c>
      <c r="B244" s="82" t="inlineStr">
        <is>
          <t>Pós-Projeto</t>
        </is>
      </c>
      <c r="C244" s="84" t="inlineStr">
        <is>
          <t>Eletrocardiogramas</t>
        </is>
      </c>
      <c r="D244" s="66" t="n">
        <v>12</v>
      </c>
      <c r="E244" s="67" t="n">
        <v>0</v>
      </c>
      <c r="F244" s="67" t="n">
        <v>0</v>
      </c>
      <c r="G244" s="66" t="n">
        <v>1</v>
      </c>
      <c r="H244" s="67" t="n">
        <v>0</v>
      </c>
      <c r="I244" s="67" t="n">
        <v>0</v>
      </c>
      <c r="J244" s="67" t="n">
        <v>0</v>
      </c>
      <c r="K244" s="67" t="n">
        <v>0</v>
      </c>
      <c r="L244" s="67" t="n">
        <v>0</v>
      </c>
      <c r="M244" s="67" t="n">
        <v>0</v>
      </c>
      <c r="N244" s="66" t="n">
        <v>18</v>
      </c>
      <c r="O244" s="67" t="n">
        <v>0</v>
      </c>
      <c r="P244" s="66" t="n">
        <v>4</v>
      </c>
    </row>
    <row r="245" ht="15.75" customHeight="1" s="45">
      <c r="A245" s="61" t="n">
        <v>46253</v>
      </c>
      <c r="B245" s="82" t="inlineStr">
        <is>
          <t>Pós-Projeto</t>
        </is>
      </c>
      <c r="C245" s="85" t="inlineStr">
        <is>
          <t>GAEs Abertas</t>
        </is>
      </c>
      <c r="D245" s="69" t="n">
        <v>264</v>
      </c>
      <c r="E245" s="69" t="n">
        <v>165</v>
      </c>
      <c r="F245" s="69" t="n">
        <v>164</v>
      </c>
      <c r="G245" s="69" t="n">
        <v>166</v>
      </c>
      <c r="H245" s="69" t="n">
        <v>169</v>
      </c>
      <c r="I245" s="69" t="n">
        <v>217</v>
      </c>
      <c r="J245" s="69" t="n">
        <v>125</v>
      </c>
      <c r="K245" s="69" t="n">
        <v>319</v>
      </c>
      <c r="L245" s="69" t="n">
        <v>147</v>
      </c>
      <c r="M245" s="69" t="n">
        <v>269</v>
      </c>
      <c r="N245" s="69" t="n">
        <v>212</v>
      </c>
      <c r="O245" s="69" t="n">
        <v>309</v>
      </c>
      <c r="P245" s="69" t="n">
        <v>265</v>
      </c>
    </row>
    <row r="246" ht="15.75" customHeight="1" s="45">
      <c r="A246" s="61" t="n">
        <v>46253</v>
      </c>
      <c r="B246" s="82" t="inlineStr">
        <is>
          <t>Pós-Projeto</t>
        </is>
      </c>
      <c r="C246" s="85" t="inlineStr">
        <is>
          <t>GAEs Classificadas</t>
        </is>
      </c>
      <c r="D246" s="69" t="n">
        <v>249</v>
      </c>
      <c r="E246" s="69" t="n">
        <v>162</v>
      </c>
      <c r="F246" s="69" t="n">
        <v>160</v>
      </c>
      <c r="G246" s="69" t="n">
        <v>162</v>
      </c>
      <c r="H246" s="69" t="n">
        <v>167</v>
      </c>
      <c r="I246" s="69" t="n">
        <v>200</v>
      </c>
      <c r="J246" s="69" t="n">
        <v>119</v>
      </c>
      <c r="K246" s="69" t="n">
        <v>299</v>
      </c>
      <c r="L246" s="69" t="n">
        <v>137</v>
      </c>
      <c r="M246" s="69" t="n">
        <v>254</v>
      </c>
      <c r="N246" s="69" t="n">
        <v>201</v>
      </c>
      <c r="O246" s="69" t="n">
        <v>301</v>
      </c>
      <c r="P246" s="69" t="n">
        <v>261</v>
      </c>
    </row>
    <row r="247" ht="15.75" customHeight="1" s="45">
      <c r="A247" s="61" t="n">
        <v>46253</v>
      </c>
      <c r="B247" s="82" t="inlineStr">
        <is>
          <t>Pós-Projeto</t>
        </is>
      </c>
      <c r="C247" s="86" t="inlineStr">
        <is>
          <t>Percentual de GAEs abertas classificadas</t>
        </is>
      </c>
      <c r="D247" s="71">
        <f>IFERROR(D246/D245,"-")</f>
        <v/>
      </c>
      <c r="E247" s="71">
        <f>IFERROR(E246/E245,"-")</f>
        <v/>
      </c>
      <c r="F247" s="71">
        <f>IFERROR(F246/F245,"-")</f>
        <v/>
      </c>
      <c r="G247" s="71">
        <f>IFERROR(G246/G245,"-")</f>
        <v/>
      </c>
      <c r="H247" s="71">
        <f>IFERROR(H246/H245,"-")</f>
        <v/>
      </c>
      <c r="I247" s="71">
        <f>IFERROR(I246/I245,"-")</f>
        <v/>
      </c>
      <c r="J247" s="71">
        <f>IFERROR(J246/J245,"-")</f>
        <v/>
      </c>
      <c r="K247" s="71">
        <f>IFERROR(K246/K245,"-")</f>
        <v/>
      </c>
      <c r="L247" s="71">
        <f>IFERROR(L246/L245,"-")</f>
        <v/>
      </c>
      <c r="M247" s="71">
        <f>IFERROR(M246/M245,"-")</f>
        <v/>
      </c>
      <c r="N247" s="71">
        <f>IFERROR(N246/N245,"-")</f>
        <v/>
      </c>
      <c r="O247" s="71">
        <f>IFERROR(O246/O245,"-")</f>
        <v/>
      </c>
      <c r="P247" s="71">
        <f>IFERROR(P246/P245,"-")</f>
        <v/>
      </c>
    </row>
    <row r="248" ht="15.75" customHeight="1" s="45">
      <c r="A248" s="61" t="n">
        <v>46253</v>
      </c>
      <c r="B248" s="82" t="inlineStr">
        <is>
          <t>Pós-Projeto</t>
        </is>
      </c>
      <c r="C248" s="87" t="inlineStr">
        <is>
          <t>Tempo Médio — 🟡 Amarelo (hh:mm)</t>
        </is>
      </c>
      <c r="D248" s="73" t="n">
        <v>0.07006944444444445</v>
      </c>
      <c r="E248" s="73" t="n">
        <v>0.03203703703703704</v>
      </c>
      <c r="F248" s="73" t="n">
        <v>0.07050925925925926</v>
      </c>
      <c r="G248" s="73" t="n">
        <v>0.0202662037037037</v>
      </c>
      <c r="H248" s="73" t="n">
        <v>0.04319444444444445</v>
      </c>
      <c r="I248" s="73" t="n">
        <v>0.08587962962962963</v>
      </c>
      <c r="J248" s="73" t="n">
        <v>0.07497685185185185</v>
      </c>
      <c r="K248" s="73" t="n">
        <v>0.07452546296296296</v>
      </c>
      <c r="L248" s="73" t="n">
        <v>0.07731481481481481</v>
      </c>
      <c r="M248" s="73" t="n">
        <v>0.04541666666666667</v>
      </c>
      <c r="N248" s="73" t="n">
        <v>0.1099189814814815</v>
      </c>
      <c r="O248" s="73" t="n">
        <v>0.06193287037037037</v>
      </c>
      <c r="P248" s="73" t="n">
        <v>0.07023148148148148</v>
      </c>
    </row>
    <row r="249" ht="15.75" customHeight="1" s="45">
      <c r="A249" s="61" t="n">
        <v>46253</v>
      </c>
      <c r="B249" s="82" t="inlineStr">
        <is>
          <t>Pós-Projeto</t>
        </is>
      </c>
      <c r="C249" s="88" t="inlineStr">
        <is>
          <t>Tempo Médio — 🟠 Laranja (hh:mm)</t>
        </is>
      </c>
      <c r="D249" s="75" t="n">
        <v>0.007800925925925926</v>
      </c>
      <c r="E249" s="75" t="n">
        <v>0.006608796296296297</v>
      </c>
      <c r="F249" s="75" t="n">
        <v>0.006076388888888889</v>
      </c>
      <c r="G249" s="75" t="n">
        <v>0.004918981481481482</v>
      </c>
      <c r="H249" s="75" t="n">
        <v>0.009039351851851852</v>
      </c>
      <c r="I249" s="75" t="n">
        <v>0.009444444444444445</v>
      </c>
      <c r="J249" s="75" t="n">
        <v>0.01524305555555555</v>
      </c>
      <c r="K249" s="75" t="n">
        <v>0.01215277777777778</v>
      </c>
      <c r="L249" s="75" t="n">
        <v>0.01497685185185185</v>
      </c>
      <c r="M249" s="75" t="n">
        <v>0.01060185185185185</v>
      </c>
      <c r="N249" s="75" t="n">
        <v>0.02085648148148148</v>
      </c>
      <c r="O249" s="75" t="n">
        <v>0.01310185185185185</v>
      </c>
      <c r="P249" s="75" t="n">
        <v>0.01174768518518519</v>
      </c>
    </row>
    <row r="250" ht="15.75" customHeight="1" s="45">
      <c r="A250" s="76" t="n">
        <v>46253</v>
      </c>
      <c r="B250" s="82" t="inlineStr">
        <is>
          <t>Pós-Projeto</t>
        </is>
      </c>
      <c r="C250" s="91" t="inlineStr">
        <is>
          <t>Tempo Médio — 🟢 Verde   (hh:mm)</t>
        </is>
      </c>
      <c r="D250" s="79" t="n">
        <v>0.1030439814814815</v>
      </c>
      <c r="E250" s="79" t="n">
        <v>0.2034722222222222</v>
      </c>
      <c r="F250" s="79" t="n">
        <v>0.05815972222222222</v>
      </c>
      <c r="G250" s="79" t="n">
        <v>0.05251157407407407</v>
      </c>
      <c r="H250" s="79" t="n">
        <v>0.1065046296296296</v>
      </c>
      <c r="I250" s="79" t="n">
        <v>0.1447106481481482</v>
      </c>
      <c r="J250" s="79" t="n">
        <v>0.07395833333333333</v>
      </c>
      <c r="K250" s="79" t="n">
        <v>0.06162037037037037</v>
      </c>
      <c r="L250" s="79" t="n">
        <v>0.07030092592592592</v>
      </c>
      <c r="M250" s="79" t="n">
        <v>0.08155092592592593</v>
      </c>
      <c r="N250" s="79" t="n">
        <v>0.1103819444444444</v>
      </c>
      <c r="O250" s="79" t="n">
        <v>0.1099537037037037</v>
      </c>
      <c r="P250" s="79" t="n">
        <v>0.06325231481481482</v>
      </c>
    </row>
    <row r="251" ht="15.75" customHeight="1" s="45">
      <c r="A251" s="57" t="n">
        <v>46254</v>
      </c>
      <c r="B251" s="81" t="inlineStr">
        <is>
          <t>Pós-Projeto</t>
        </is>
      </c>
      <c r="C251" s="59" t="inlineStr">
        <is>
          <t>Acolhim. + Atend. Urgência + Atend. UPA</t>
        </is>
      </c>
      <c r="D251" s="60">
        <f>SUM(D252:D254)</f>
        <v/>
      </c>
      <c r="E251" s="60">
        <f>SUM(E252:E254)</f>
        <v/>
      </c>
      <c r="F251" s="60">
        <f>SUM(F252:F254)</f>
        <v/>
      </c>
      <c r="G251" s="60">
        <f>SUM(G252:G254)</f>
        <v/>
      </c>
      <c r="H251" s="60">
        <f>SUM(H252:H254)</f>
        <v/>
      </c>
      <c r="I251" s="60">
        <f>SUM(I252:I254)</f>
        <v/>
      </c>
      <c r="J251" s="60">
        <f>SUM(J252:J254)</f>
        <v/>
      </c>
      <c r="K251" s="60">
        <f>SUM(K252:K254)</f>
        <v/>
      </c>
      <c r="L251" s="60">
        <f>SUM(L252:L254)</f>
        <v/>
      </c>
      <c r="M251" s="60">
        <f>SUM(M252:M254)</f>
        <v/>
      </c>
      <c r="N251" s="60">
        <f>SUM(N252:N254)</f>
        <v/>
      </c>
      <c r="O251" s="60">
        <f>SUM(O252:O254)</f>
        <v/>
      </c>
      <c r="P251" s="60">
        <f>SUM(P252:P254)</f>
        <v/>
      </c>
    </row>
    <row r="252" ht="15.75" customHeight="1" s="45">
      <c r="A252" s="61" t="n">
        <v>46254</v>
      </c>
      <c r="B252" s="82" t="inlineStr">
        <is>
          <t>Pós-Projeto</t>
        </is>
      </c>
      <c r="C252" s="83" t="inlineStr">
        <is>
          <t>Acolhimento c/ Classif. de Risco</t>
        </is>
      </c>
      <c r="D252" s="64" t="n">
        <v>236</v>
      </c>
      <c r="E252" s="64" t="n">
        <v>157</v>
      </c>
      <c r="F252" s="64" t="n">
        <v>158</v>
      </c>
      <c r="G252" s="64" t="n">
        <v>163</v>
      </c>
      <c r="H252" s="64" t="n">
        <v>157</v>
      </c>
      <c r="I252" s="64" t="n">
        <v>205</v>
      </c>
      <c r="J252" s="64" t="n">
        <v>125</v>
      </c>
      <c r="K252" s="64" t="n">
        <v>258</v>
      </c>
      <c r="L252" s="64" t="n">
        <v>140</v>
      </c>
      <c r="M252" s="64" t="n">
        <v>258</v>
      </c>
      <c r="N252" s="64" t="n">
        <v>207</v>
      </c>
      <c r="O252" s="64" t="n">
        <v>301</v>
      </c>
      <c r="P252" s="64" t="n">
        <v>258</v>
      </c>
    </row>
    <row r="253" ht="15.75" customHeight="1" s="45">
      <c r="A253" s="61" t="n">
        <v>46254</v>
      </c>
      <c r="B253" s="82" t="inlineStr">
        <is>
          <t>Pós-Projeto</t>
        </is>
      </c>
      <c r="C253" s="84" t="inlineStr">
        <is>
          <t>Atend. Urgência Obs. ≤ 24h</t>
        </is>
      </c>
      <c r="D253" s="66" t="n">
        <v>41</v>
      </c>
      <c r="E253" s="66" t="n">
        <v>17</v>
      </c>
      <c r="F253" s="66" t="n">
        <v>29</v>
      </c>
      <c r="G253" s="66" t="n">
        <v>27</v>
      </c>
      <c r="H253" s="66" t="n">
        <v>13</v>
      </c>
      <c r="I253" s="66" t="n">
        <v>17</v>
      </c>
      <c r="J253" s="66" t="n">
        <v>6</v>
      </c>
      <c r="K253" s="66" t="n">
        <v>60</v>
      </c>
      <c r="L253" s="66" t="n">
        <v>53</v>
      </c>
      <c r="M253" s="66" t="n">
        <v>57</v>
      </c>
      <c r="N253" s="66" t="n">
        <v>36</v>
      </c>
      <c r="O253" s="66" t="n">
        <v>9</v>
      </c>
      <c r="P253" s="66" t="n">
        <v>12</v>
      </c>
    </row>
    <row r="254" ht="15.75" customHeight="1" s="45">
      <c r="A254" s="61" t="n">
        <v>46254</v>
      </c>
      <c r="B254" s="82" t="inlineStr">
        <is>
          <t>Pós-Projeto</t>
        </is>
      </c>
      <c r="C254" s="83" t="inlineStr">
        <is>
          <t>Atend. Médico em UPA</t>
        </is>
      </c>
      <c r="D254" s="64" t="n">
        <v>175</v>
      </c>
      <c r="E254" s="64" t="n">
        <v>81</v>
      </c>
      <c r="F254" s="64" t="n">
        <v>114</v>
      </c>
      <c r="G254" s="64" t="n">
        <v>145</v>
      </c>
      <c r="H254" s="64" t="n">
        <v>120</v>
      </c>
      <c r="I254" s="64" t="n">
        <v>191</v>
      </c>
      <c r="J254" s="64" t="n">
        <v>96</v>
      </c>
      <c r="K254" s="64" t="n">
        <v>233</v>
      </c>
      <c r="L254" s="64" t="n">
        <v>119</v>
      </c>
      <c r="M254" s="64" t="n">
        <v>161</v>
      </c>
      <c r="N254" s="64" t="n">
        <v>182</v>
      </c>
      <c r="O254" s="64" t="n">
        <v>235</v>
      </c>
      <c r="P254" s="64" t="n">
        <v>162</v>
      </c>
    </row>
    <row r="255" ht="15.75" customHeight="1" s="45">
      <c r="A255" s="61" t="n">
        <v>46254</v>
      </c>
      <c r="B255" s="82" t="inlineStr">
        <is>
          <t>Pós-Projeto</t>
        </is>
      </c>
      <c r="C255" s="84" t="inlineStr">
        <is>
          <t>Exames Laboratoriais</t>
        </is>
      </c>
      <c r="D255" s="66" t="n">
        <v>682</v>
      </c>
      <c r="E255" s="66" t="n">
        <v>351</v>
      </c>
      <c r="F255" s="66" t="n">
        <v>556</v>
      </c>
      <c r="G255" s="66" t="n">
        <v>262</v>
      </c>
      <c r="H255" s="66" t="n">
        <v>491</v>
      </c>
      <c r="I255" s="66" t="n">
        <v>614</v>
      </c>
      <c r="J255" s="66" t="n">
        <v>344</v>
      </c>
      <c r="K255" s="66" t="n">
        <v>680</v>
      </c>
      <c r="L255" s="66" t="n">
        <v>484</v>
      </c>
      <c r="M255" s="66" t="n">
        <v>653</v>
      </c>
      <c r="N255" s="66" t="n">
        <v>588</v>
      </c>
      <c r="O255" s="66" t="n">
        <v>359</v>
      </c>
      <c r="P255" s="66" t="n">
        <v>385</v>
      </c>
    </row>
    <row r="256" ht="15.75" customHeight="1" s="45">
      <c r="A256" s="61" t="n">
        <v>46254</v>
      </c>
      <c r="B256" s="82" t="inlineStr">
        <is>
          <t>Pós-Projeto</t>
        </is>
      </c>
      <c r="C256" s="83" t="inlineStr">
        <is>
          <t>Radiografias</t>
        </is>
      </c>
      <c r="D256" s="64" t="n">
        <v>24</v>
      </c>
      <c r="E256" s="64" t="n">
        <v>20</v>
      </c>
      <c r="F256" s="64" t="n">
        <v>21</v>
      </c>
      <c r="G256" s="67" t="n">
        <v>0</v>
      </c>
      <c r="H256" s="64" t="n">
        <v>13</v>
      </c>
      <c r="I256" s="64" t="n">
        <v>24</v>
      </c>
      <c r="J256" s="64" t="n">
        <v>17</v>
      </c>
      <c r="K256" s="64" t="n">
        <v>29</v>
      </c>
      <c r="L256" s="64" t="n">
        <v>14</v>
      </c>
      <c r="M256" s="64" t="n">
        <v>40</v>
      </c>
      <c r="N256" s="64" t="n">
        <v>37</v>
      </c>
      <c r="O256" s="64" t="n">
        <v>28</v>
      </c>
      <c r="P256" s="64" t="n">
        <v>32</v>
      </c>
    </row>
    <row r="257" ht="15.75" customHeight="1" s="45">
      <c r="A257" s="61" t="n">
        <v>46254</v>
      </c>
      <c r="B257" s="82" t="inlineStr">
        <is>
          <t>Pós-Projeto</t>
        </is>
      </c>
      <c r="C257" s="84" t="inlineStr">
        <is>
          <t>Eletrocardiogramas</t>
        </is>
      </c>
      <c r="D257" s="66" t="n">
        <v>10</v>
      </c>
      <c r="E257" s="66" t="n">
        <v>1</v>
      </c>
      <c r="F257" s="67" t="n">
        <v>0</v>
      </c>
      <c r="G257" s="67" t="n">
        <v>0</v>
      </c>
      <c r="H257" s="67" t="n">
        <v>0</v>
      </c>
      <c r="I257" s="67" t="n">
        <v>0</v>
      </c>
      <c r="J257" s="67" t="n">
        <v>0</v>
      </c>
      <c r="K257" s="66" t="n">
        <v>5</v>
      </c>
      <c r="L257" s="67" t="n">
        <v>0</v>
      </c>
      <c r="M257" s="67" t="n">
        <v>0</v>
      </c>
      <c r="N257" s="66" t="n">
        <v>6</v>
      </c>
      <c r="O257" s="66" t="n">
        <v>4</v>
      </c>
      <c r="P257" s="66" t="n">
        <v>3</v>
      </c>
    </row>
    <row r="258" ht="15.75" customHeight="1" s="45">
      <c r="A258" s="61" t="n">
        <v>46254</v>
      </c>
      <c r="B258" s="82" t="inlineStr">
        <is>
          <t>Pós-Projeto</t>
        </is>
      </c>
      <c r="C258" s="85" t="inlineStr">
        <is>
          <t>GAEs Abertas</t>
        </is>
      </c>
      <c r="D258" s="69" t="n">
        <v>246</v>
      </c>
      <c r="E258" s="69" t="n">
        <v>159</v>
      </c>
      <c r="F258" s="69" t="n">
        <v>162</v>
      </c>
      <c r="G258" s="69" t="n">
        <v>164</v>
      </c>
      <c r="H258" s="69" t="n">
        <v>164</v>
      </c>
      <c r="I258" s="69" t="n">
        <v>232</v>
      </c>
      <c r="J258" s="69" t="n">
        <v>128</v>
      </c>
      <c r="K258" s="69" t="n">
        <v>287</v>
      </c>
      <c r="L258" s="69" t="n">
        <v>150</v>
      </c>
      <c r="M258" s="69" t="n">
        <v>270</v>
      </c>
      <c r="N258" s="69" t="n">
        <v>220</v>
      </c>
      <c r="O258" s="69" t="n">
        <v>315</v>
      </c>
      <c r="P258" s="69" t="n">
        <v>257</v>
      </c>
    </row>
    <row r="259" ht="15.75" customHeight="1" s="45">
      <c r="A259" s="61" t="n">
        <v>46254</v>
      </c>
      <c r="B259" s="82" t="inlineStr">
        <is>
          <t>Pós-Projeto</t>
        </is>
      </c>
      <c r="C259" s="85" t="inlineStr">
        <is>
          <t>GAEs Classificadas</t>
        </is>
      </c>
      <c r="D259" s="69" t="n">
        <v>239</v>
      </c>
      <c r="E259" s="69" t="n">
        <v>160</v>
      </c>
      <c r="F259" s="69" t="n">
        <v>159</v>
      </c>
      <c r="G259" s="69" t="n">
        <v>162</v>
      </c>
      <c r="H259" s="69" t="n">
        <v>156</v>
      </c>
      <c r="I259" s="69" t="n">
        <v>205</v>
      </c>
      <c r="J259" s="69" t="n">
        <v>126</v>
      </c>
      <c r="K259" s="69" t="n">
        <v>257</v>
      </c>
      <c r="L259" s="69" t="n">
        <v>142</v>
      </c>
      <c r="M259" s="69" t="n">
        <v>259</v>
      </c>
      <c r="N259" s="69" t="n">
        <v>206</v>
      </c>
      <c r="O259" s="69" t="n">
        <v>299</v>
      </c>
      <c r="P259" s="69" t="n">
        <v>253</v>
      </c>
    </row>
    <row r="260" ht="15.75" customHeight="1" s="45">
      <c r="A260" s="61" t="n">
        <v>46254</v>
      </c>
      <c r="B260" s="82" t="inlineStr">
        <is>
          <t>Pós-Projeto</t>
        </is>
      </c>
      <c r="C260" s="86" t="inlineStr">
        <is>
          <t>Percentual de GAEs abertas classificadas</t>
        </is>
      </c>
      <c r="D260" s="71">
        <f>IFERROR(D259/D258,"-")</f>
        <v/>
      </c>
      <c r="E260" s="71">
        <f>IFERROR(E259/E258,"-")</f>
        <v/>
      </c>
      <c r="F260" s="71">
        <f>IFERROR(F259/F258,"-")</f>
        <v/>
      </c>
      <c r="G260" s="71">
        <f>IFERROR(G259/G258,"-")</f>
        <v/>
      </c>
      <c r="H260" s="71">
        <f>IFERROR(H259/H258,"-")</f>
        <v/>
      </c>
      <c r="I260" s="71">
        <f>IFERROR(I259/I258,"-")</f>
        <v/>
      </c>
      <c r="J260" s="71">
        <f>IFERROR(J259/J258,"-")</f>
        <v/>
      </c>
      <c r="K260" s="71">
        <f>IFERROR(K259/K258,"-")</f>
        <v/>
      </c>
      <c r="L260" s="71">
        <f>IFERROR(L259/L258,"-")</f>
        <v/>
      </c>
      <c r="M260" s="71">
        <f>IFERROR(M259/M258,"-")</f>
        <v/>
      </c>
      <c r="N260" s="71">
        <f>IFERROR(N259/N258,"-")</f>
        <v/>
      </c>
      <c r="O260" s="71">
        <f>IFERROR(O259/O258,"-")</f>
        <v/>
      </c>
      <c r="P260" s="71">
        <f>IFERROR(P259/P258,"-")</f>
        <v/>
      </c>
    </row>
    <row r="261" ht="15.75" customHeight="1" s="45">
      <c r="A261" s="61" t="n">
        <v>46254</v>
      </c>
      <c r="B261" s="82" t="inlineStr">
        <is>
          <t>Pós-Projeto</t>
        </is>
      </c>
      <c r="C261" s="87" t="inlineStr">
        <is>
          <t>Tempo Médio — 🟡 Amarelo (hh:mm)</t>
        </is>
      </c>
      <c r="D261" s="73" t="n">
        <v>0.1025347222222222</v>
      </c>
      <c r="E261" s="73" t="n">
        <v>0.03998842592592593</v>
      </c>
      <c r="F261" s="73" t="n">
        <v>0.05761574074074074</v>
      </c>
      <c r="G261" s="73" t="n">
        <v>0.01424768518518518</v>
      </c>
      <c r="H261" s="73" t="n">
        <v>0.05012731481481481</v>
      </c>
      <c r="I261" s="73" t="n">
        <v>0.04226851851851852</v>
      </c>
      <c r="J261" s="73" t="n">
        <v>0.05988425925925926</v>
      </c>
      <c r="K261" s="73" t="n">
        <v>0.05539351851851852</v>
      </c>
      <c r="L261" s="73" t="n">
        <v>0.05607638888888889</v>
      </c>
      <c r="M261" s="73" t="n">
        <v>0.03826388888888889</v>
      </c>
      <c r="N261" s="73" t="n">
        <v>0.09425925925925926</v>
      </c>
      <c r="O261" s="73" t="n">
        <v>0.06122685185185185</v>
      </c>
      <c r="P261" s="73" t="n">
        <v>0.06950231481481481</v>
      </c>
    </row>
    <row r="262" ht="15.75" customHeight="1" s="45">
      <c r="A262" s="61" t="n">
        <v>46254</v>
      </c>
      <c r="B262" s="82" t="inlineStr">
        <is>
          <t>Pós-Projeto</t>
        </is>
      </c>
      <c r="C262" s="88" t="inlineStr">
        <is>
          <t>Tempo Médio — 🟠 Laranja (hh:mm)</t>
        </is>
      </c>
      <c r="D262" s="75" t="n">
        <v>0.006550925925925926</v>
      </c>
      <c r="E262" s="75" t="n">
        <v>0.006886574074074074</v>
      </c>
      <c r="F262" s="75" t="n">
        <v>0.004027777777777778</v>
      </c>
      <c r="G262" s="75" t="n">
        <v>0.006840277777777778</v>
      </c>
      <c r="H262" s="75" t="n">
        <v>0.006493055555555556</v>
      </c>
      <c r="I262" s="75" t="n">
        <v>0.003715277777777778</v>
      </c>
      <c r="J262" s="75" t="n">
        <v>0.01375</v>
      </c>
      <c r="K262" s="75" t="n">
        <v>0.01428240740740741</v>
      </c>
      <c r="L262" s="75" t="n">
        <v>0.006759259259259259</v>
      </c>
      <c r="M262" s="75" t="n">
        <v>0.01002314814814815</v>
      </c>
      <c r="N262" s="75" t="n">
        <v>0.01140046296296296</v>
      </c>
      <c r="O262" s="75" t="n">
        <v>0.01895833333333333</v>
      </c>
      <c r="P262" s="75" t="n">
        <v>0.01222222222222222</v>
      </c>
    </row>
    <row r="263" ht="15.75" customHeight="1" s="45">
      <c r="A263" s="76" t="n">
        <v>46254</v>
      </c>
      <c r="B263" s="82" t="inlineStr">
        <is>
          <t>Pós-Projeto</t>
        </is>
      </c>
      <c r="C263" s="91" t="inlineStr">
        <is>
          <t>Tempo Médio — 🟢 Verde   (hh:mm)</t>
        </is>
      </c>
      <c r="D263" s="79" t="n">
        <v>0.08290509259259259</v>
      </c>
      <c r="E263" s="79" t="n">
        <v>0.0990162037037037</v>
      </c>
      <c r="F263" s="79" t="n">
        <v>0.09140046296296296</v>
      </c>
      <c r="G263" s="79" t="n">
        <v>0.06201388888888889</v>
      </c>
      <c r="H263" s="79" t="n">
        <v>0.07353009259259259</v>
      </c>
      <c r="I263" s="79" t="n">
        <v>0.1166782407407407</v>
      </c>
      <c r="J263" s="79" t="n">
        <v>0.0599537037037037</v>
      </c>
      <c r="K263" s="79" t="n">
        <v>0.06674768518518519</v>
      </c>
      <c r="L263" s="79" t="n">
        <v>0.09481481481481481</v>
      </c>
      <c r="M263" s="79" t="n">
        <v>0.1240046296296296</v>
      </c>
      <c r="N263" s="79" t="n">
        <v>0.09891203703703703</v>
      </c>
      <c r="O263" s="79" t="n">
        <v>0.102650462962963</v>
      </c>
      <c r="P263" s="79" t="n">
        <v>0.06081018518518518</v>
      </c>
    </row>
    <row r="264" ht="15.75" customHeight="1" s="45">
      <c r="A264" s="57" t="n">
        <v>46255</v>
      </c>
      <c r="B264" s="81" t="inlineStr">
        <is>
          <t>Pós-Projeto</t>
        </is>
      </c>
      <c r="C264" s="59" t="inlineStr">
        <is>
          <t>Acolhim. + Atend. Urgência + Atend. UPA</t>
        </is>
      </c>
      <c r="D264" s="60">
        <f>SUM(D265:D267)</f>
        <v/>
      </c>
      <c r="E264" s="60">
        <f>SUM(E265:E267)</f>
        <v/>
      </c>
      <c r="F264" s="60">
        <f>SUM(F265:F267)</f>
        <v/>
      </c>
      <c r="G264" s="60">
        <f>SUM(G265:G267)</f>
        <v/>
      </c>
      <c r="H264" s="60">
        <f>SUM(H265:H267)</f>
        <v/>
      </c>
      <c r="I264" s="60">
        <f>SUM(I265:I267)</f>
        <v/>
      </c>
      <c r="J264" s="60">
        <f>SUM(J265:J267)</f>
        <v/>
      </c>
      <c r="K264" s="60">
        <f>SUM(K265:K267)</f>
        <v/>
      </c>
      <c r="L264" s="60">
        <f>SUM(L265:L267)</f>
        <v/>
      </c>
      <c r="M264" s="60">
        <f>SUM(M265:M267)</f>
        <v/>
      </c>
      <c r="N264" s="60">
        <f>SUM(N265:N267)</f>
        <v/>
      </c>
      <c r="O264" s="60">
        <f>SUM(O265:O267)</f>
        <v/>
      </c>
      <c r="P264" s="60">
        <f>SUM(P265:P267)</f>
        <v/>
      </c>
    </row>
    <row r="265" ht="15.75" customHeight="1" s="45">
      <c r="A265" s="61" t="n">
        <v>46255</v>
      </c>
      <c r="B265" s="82" t="inlineStr">
        <is>
          <t>Pós-Projeto</t>
        </is>
      </c>
      <c r="C265" s="83" t="inlineStr">
        <is>
          <t>Acolhimento c/ Classif. de Risco</t>
        </is>
      </c>
      <c r="D265" s="64" t="n">
        <v>211</v>
      </c>
      <c r="E265" s="64" t="n">
        <v>153</v>
      </c>
      <c r="F265" s="64" t="n">
        <v>175</v>
      </c>
      <c r="G265" s="64" t="n">
        <v>138</v>
      </c>
      <c r="H265" s="64" t="n">
        <v>143</v>
      </c>
      <c r="I265" s="64" t="n">
        <v>180</v>
      </c>
      <c r="J265" s="64" t="n">
        <v>124</v>
      </c>
      <c r="K265" s="64" t="n">
        <v>245</v>
      </c>
      <c r="L265" s="64" t="n">
        <v>131</v>
      </c>
      <c r="M265" s="64" t="n">
        <v>229</v>
      </c>
      <c r="N265" s="64" t="n">
        <v>207</v>
      </c>
      <c r="O265" s="64" t="n">
        <v>282</v>
      </c>
      <c r="P265" s="64" t="n">
        <v>239</v>
      </c>
    </row>
    <row r="266" ht="15.75" customHeight="1" s="45">
      <c r="A266" s="61" t="n">
        <v>46255</v>
      </c>
      <c r="B266" s="82" t="inlineStr">
        <is>
          <t>Pós-Projeto</t>
        </is>
      </c>
      <c r="C266" s="84" t="inlineStr">
        <is>
          <t>Atend. Urgência Obs. ≤ 24h</t>
        </is>
      </c>
      <c r="D266" s="66" t="n">
        <v>18</v>
      </c>
      <c r="E266" s="66" t="n">
        <v>15</v>
      </c>
      <c r="F266" s="66" t="n">
        <v>22</v>
      </c>
      <c r="G266" s="66" t="n">
        <v>23</v>
      </c>
      <c r="H266" s="66" t="n">
        <v>15</v>
      </c>
      <c r="I266" s="66" t="n">
        <v>22</v>
      </c>
      <c r="J266" s="66" t="n">
        <v>8</v>
      </c>
      <c r="K266" s="66" t="n">
        <v>39</v>
      </c>
      <c r="L266" s="66" t="n">
        <v>37</v>
      </c>
      <c r="M266" s="66" t="n">
        <v>22</v>
      </c>
      <c r="N266" s="66" t="n">
        <v>14</v>
      </c>
      <c r="O266" s="66" t="n">
        <v>14</v>
      </c>
      <c r="P266" s="66" t="n">
        <v>42</v>
      </c>
    </row>
    <row r="267" ht="15.75" customHeight="1" s="45">
      <c r="A267" s="61" t="n">
        <v>46255</v>
      </c>
      <c r="B267" s="82" t="inlineStr">
        <is>
          <t>Pós-Projeto</t>
        </is>
      </c>
      <c r="C267" s="83" t="inlineStr">
        <is>
          <t>Atend. Médico em UPA</t>
        </is>
      </c>
      <c r="D267" s="64" t="n">
        <v>172</v>
      </c>
      <c r="E267" s="64" t="n">
        <v>69</v>
      </c>
      <c r="F267" s="64" t="n">
        <v>123</v>
      </c>
      <c r="G267" s="64" t="n">
        <v>92</v>
      </c>
      <c r="H267" s="64" t="n">
        <v>103</v>
      </c>
      <c r="I267" s="64" t="n">
        <v>150</v>
      </c>
      <c r="J267" s="64" t="n">
        <v>76</v>
      </c>
      <c r="K267" s="64" t="n">
        <v>196</v>
      </c>
      <c r="L267" s="64" t="n">
        <v>107</v>
      </c>
      <c r="M267" s="64" t="n">
        <v>142</v>
      </c>
      <c r="N267" s="64" t="n">
        <v>163</v>
      </c>
      <c r="O267" s="64" t="n">
        <v>146</v>
      </c>
      <c r="P267" s="64" t="n">
        <v>141</v>
      </c>
    </row>
    <row r="268" ht="15.75" customHeight="1" s="45">
      <c r="A268" s="61" t="n">
        <v>46255</v>
      </c>
      <c r="B268" s="82" t="inlineStr">
        <is>
          <t>Pós-Projeto</t>
        </is>
      </c>
      <c r="C268" s="84" t="inlineStr">
        <is>
          <t>Exames Laboratoriais</t>
        </is>
      </c>
      <c r="D268" s="66" t="n">
        <v>638</v>
      </c>
      <c r="E268" s="66" t="n">
        <v>333</v>
      </c>
      <c r="F268" s="66" t="n">
        <v>381</v>
      </c>
      <c r="G268" s="66" t="n">
        <v>57</v>
      </c>
      <c r="H268" s="66" t="n">
        <v>443</v>
      </c>
      <c r="I268" s="66" t="n">
        <v>451</v>
      </c>
      <c r="J268" s="66" t="n">
        <v>331</v>
      </c>
      <c r="K268" s="66" t="n">
        <v>915</v>
      </c>
      <c r="L268" s="66" t="n">
        <v>511</v>
      </c>
      <c r="M268" s="66" t="n">
        <v>501</v>
      </c>
      <c r="N268" s="66" t="n">
        <v>618</v>
      </c>
      <c r="O268" s="66" t="n">
        <v>480</v>
      </c>
      <c r="P268" s="66" t="n">
        <v>241</v>
      </c>
    </row>
    <row r="269" ht="15.75" customHeight="1" s="45">
      <c r="A269" s="61" t="n">
        <v>46255</v>
      </c>
      <c r="B269" s="82" t="inlineStr">
        <is>
          <t>Pós-Projeto</t>
        </is>
      </c>
      <c r="C269" s="83" t="inlineStr">
        <is>
          <t>Radiografias</t>
        </is>
      </c>
      <c r="D269" s="64" t="n">
        <v>23</v>
      </c>
      <c r="E269" s="64" t="n">
        <v>14</v>
      </c>
      <c r="F269" s="64" t="n">
        <v>29</v>
      </c>
      <c r="G269" s="67" t="n">
        <v>0</v>
      </c>
      <c r="H269" s="64" t="n">
        <v>14</v>
      </c>
      <c r="I269" s="64" t="n">
        <v>21</v>
      </c>
      <c r="J269" s="64" t="n">
        <v>16</v>
      </c>
      <c r="K269" s="64" t="n">
        <v>39</v>
      </c>
      <c r="L269" s="64" t="n">
        <v>17</v>
      </c>
      <c r="M269" s="64" t="n">
        <v>32</v>
      </c>
      <c r="N269" s="64" t="n">
        <v>33</v>
      </c>
      <c r="O269" s="64" t="n">
        <v>29</v>
      </c>
      <c r="P269" s="64" t="n">
        <v>26</v>
      </c>
    </row>
    <row r="270" ht="15.75" customHeight="1" s="45">
      <c r="A270" s="61" t="n">
        <v>46255</v>
      </c>
      <c r="B270" s="82" t="inlineStr">
        <is>
          <t>Pós-Projeto</t>
        </is>
      </c>
      <c r="C270" s="84" t="inlineStr">
        <is>
          <t>Eletrocardiogramas</t>
        </is>
      </c>
      <c r="D270" s="66" t="n">
        <v>21</v>
      </c>
      <c r="E270" s="66" t="n">
        <v>12</v>
      </c>
      <c r="F270" s="67" t="n">
        <v>0</v>
      </c>
      <c r="G270" s="66" t="n">
        <v>13</v>
      </c>
      <c r="H270" s="67" t="n">
        <v>0</v>
      </c>
      <c r="I270" s="67" t="n">
        <v>0</v>
      </c>
      <c r="J270" s="66" t="n">
        <v>6</v>
      </c>
      <c r="K270" s="66" t="n">
        <v>1</v>
      </c>
      <c r="L270" s="67" t="n">
        <v>0</v>
      </c>
      <c r="M270" s="66" t="n">
        <v>18</v>
      </c>
      <c r="N270" s="66" t="n">
        <v>6</v>
      </c>
      <c r="O270" s="67" t="n">
        <v>0</v>
      </c>
      <c r="P270" s="66" t="n">
        <v>1</v>
      </c>
    </row>
    <row r="271" ht="15.75" customHeight="1" s="45">
      <c r="A271" s="61" t="n">
        <v>46255</v>
      </c>
      <c r="B271" s="82" t="inlineStr">
        <is>
          <t>Pós-Projeto</t>
        </is>
      </c>
      <c r="C271" s="85" t="inlineStr">
        <is>
          <t>GAEs Abertas</t>
        </is>
      </c>
      <c r="D271" s="69" t="n">
        <v>222</v>
      </c>
      <c r="E271" s="69" t="n">
        <v>167</v>
      </c>
      <c r="F271" s="69" t="n">
        <v>180</v>
      </c>
      <c r="G271" s="69" t="n">
        <v>144</v>
      </c>
      <c r="H271" s="69" t="n">
        <v>148</v>
      </c>
      <c r="I271" s="69" t="n">
        <v>187</v>
      </c>
      <c r="J271" s="69" t="n">
        <v>125</v>
      </c>
      <c r="K271" s="69" t="n">
        <v>282</v>
      </c>
      <c r="L271" s="69" t="n">
        <v>137</v>
      </c>
      <c r="M271" s="69" t="n">
        <v>238</v>
      </c>
      <c r="N271" s="69" t="n">
        <v>212</v>
      </c>
      <c r="O271" s="69" t="n">
        <v>290</v>
      </c>
      <c r="P271" s="69" t="n">
        <v>244</v>
      </c>
    </row>
    <row r="272" ht="15.75" customHeight="1" s="45">
      <c r="A272" s="61" t="n">
        <v>46255</v>
      </c>
      <c r="B272" s="82" t="inlineStr">
        <is>
          <t>Pós-Projeto</t>
        </is>
      </c>
      <c r="C272" s="85" t="inlineStr">
        <is>
          <t>GAEs Classificadas</t>
        </is>
      </c>
      <c r="D272" s="69" t="n">
        <v>208</v>
      </c>
      <c r="E272" s="69" t="n">
        <v>150</v>
      </c>
      <c r="F272" s="69" t="n">
        <v>174</v>
      </c>
      <c r="G272" s="69" t="n">
        <v>138</v>
      </c>
      <c r="H272" s="69" t="n">
        <v>144</v>
      </c>
      <c r="I272" s="69" t="n">
        <v>181</v>
      </c>
      <c r="J272" s="69" t="n">
        <v>123</v>
      </c>
      <c r="K272" s="69" t="n">
        <v>243</v>
      </c>
      <c r="L272" s="69" t="n">
        <v>130</v>
      </c>
      <c r="M272" s="69" t="n">
        <v>229</v>
      </c>
      <c r="N272" s="69" t="n">
        <v>208</v>
      </c>
      <c r="O272" s="69" t="n">
        <v>283</v>
      </c>
      <c r="P272" s="69" t="n">
        <v>238</v>
      </c>
    </row>
    <row r="273" ht="15.75" customHeight="1" s="45">
      <c r="A273" s="61" t="n">
        <v>46255</v>
      </c>
      <c r="B273" s="82" t="inlineStr">
        <is>
          <t>Pós-Projeto</t>
        </is>
      </c>
      <c r="C273" s="86" t="inlineStr">
        <is>
          <t>Percentual de GAEs abertas classificadas</t>
        </is>
      </c>
      <c r="D273" s="71">
        <f>IFERROR(D272/D271,"-")</f>
        <v/>
      </c>
      <c r="E273" s="71">
        <f>IFERROR(E272/E271,"-")</f>
        <v/>
      </c>
      <c r="F273" s="71">
        <f>IFERROR(F272/F271,"-")</f>
        <v/>
      </c>
      <c r="G273" s="71">
        <f>IFERROR(G272/G271,"-")</f>
        <v/>
      </c>
      <c r="H273" s="71">
        <f>IFERROR(H272/H271,"-")</f>
        <v/>
      </c>
      <c r="I273" s="71">
        <f>IFERROR(I272/I271,"-")</f>
        <v/>
      </c>
      <c r="J273" s="71">
        <f>IFERROR(J272/J271,"-")</f>
        <v/>
      </c>
      <c r="K273" s="71">
        <f>IFERROR(K272/K271,"-")</f>
        <v/>
      </c>
      <c r="L273" s="71">
        <f>IFERROR(L272/L271,"-")</f>
        <v/>
      </c>
      <c r="M273" s="71">
        <f>IFERROR(M272/M271,"-")</f>
        <v/>
      </c>
      <c r="N273" s="71">
        <f>IFERROR(N272/N271,"-")</f>
        <v/>
      </c>
      <c r="O273" s="71">
        <f>IFERROR(O272/O271,"-")</f>
        <v/>
      </c>
      <c r="P273" s="71">
        <f>IFERROR(P272/P271,"-")</f>
        <v/>
      </c>
    </row>
    <row r="274" ht="15.75" customHeight="1" s="45">
      <c r="A274" s="61" t="n">
        <v>46255</v>
      </c>
      <c r="B274" s="82" t="inlineStr">
        <is>
          <t>Pós-Projeto</t>
        </is>
      </c>
      <c r="C274" s="87" t="inlineStr">
        <is>
          <t>Tempo Médio — 🟡 Amarelo (hh:mm)</t>
        </is>
      </c>
      <c r="D274" s="73" t="n">
        <v>0.04608796296296296</v>
      </c>
      <c r="E274" s="73" t="n">
        <v>0.1666666666666667</v>
      </c>
      <c r="F274" s="73" t="n">
        <v>0.0228125</v>
      </c>
      <c r="G274" s="73" t="n">
        <v>0.009525462962962963</v>
      </c>
      <c r="H274" s="73" t="n">
        <v>0.05084490740740741</v>
      </c>
      <c r="I274" s="73" t="n">
        <v>0.02594907407407408</v>
      </c>
      <c r="J274" s="73" t="n">
        <v>0.06319444444444444</v>
      </c>
      <c r="K274" s="73" t="n">
        <v>0.1037037037037037</v>
      </c>
      <c r="L274" s="73" t="n">
        <v>0.01916666666666667</v>
      </c>
      <c r="M274" s="73" t="n">
        <v>0.03787037037037037</v>
      </c>
      <c r="N274" s="73" t="n">
        <v>0.08501157407407407</v>
      </c>
      <c r="O274" s="73" t="n">
        <v>0.05604166666666666</v>
      </c>
      <c r="P274" s="73" t="n">
        <v>0.0559837962962963</v>
      </c>
    </row>
    <row r="275" ht="15.75" customHeight="1" s="45">
      <c r="A275" s="61" t="n">
        <v>46255</v>
      </c>
      <c r="B275" s="82" t="inlineStr">
        <is>
          <t>Pós-Projeto</t>
        </is>
      </c>
      <c r="C275" s="88" t="inlineStr">
        <is>
          <t>Tempo Médio — 🟠 Laranja (hh:mm)</t>
        </is>
      </c>
      <c r="D275" s="75" t="n">
        <v>0.008553240740740741</v>
      </c>
      <c r="E275" s="75" t="n">
        <v>0.007418981481481481</v>
      </c>
      <c r="F275" s="75" t="n">
        <v>0.005810185185185186</v>
      </c>
      <c r="G275" s="75" t="n">
        <v>0.003796296296296296</v>
      </c>
      <c r="H275" s="75" t="n">
        <v>0.005520833333333333</v>
      </c>
      <c r="I275" s="75" t="n">
        <v>0.003275462962962963</v>
      </c>
      <c r="J275" s="75" t="n">
        <v>0.01061342592592593</v>
      </c>
      <c r="K275" s="75" t="n">
        <v>0.02929398148148148</v>
      </c>
      <c r="L275" s="75" t="n">
        <v>0.005196759259259259</v>
      </c>
      <c r="M275" s="75" t="n">
        <v>0.009282407407407408</v>
      </c>
      <c r="N275" s="75" t="n">
        <v>0.01690972222222222</v>
      </c>
      <c r="O275" s="75" t="n">
        <v>0.008541666666666666</v>
      </c>
      <c r="P275" s="75" t="n">
        <v>0.01103009259259259</v>
      </c>
    </row>
    <row r="276" ht="15.75" customHeight="1" s="45">
      <c r="A276" s="76" t="n">
        <v>46255</v>
      </c>
      <c r="B276" s="82" t="inlineStr">
        <is>
          <t>Pós-Projeto</t>
        </is>
      </c>
      <c r="C276" s="91" t="inlineStr">
        <is>
          <t>Tempo Médio — 🟢 Verde   (hh:mm)</t>
        </is>
      </c>
      <c r="D276" s="79" t="n">
        <v>0.06505787037037038</v>
      </c>
      <c r="E276" s="79" t="n">
        <v>0.2069444444444444</v>
      </c>
      <c r="F276" s="79" t="n">
        <v>0.08459490740740741</v>
      </c>
      <c r="G276" s="79" t="n">
        <v>0.05861111111111111</v>
      </c>
      <c r="H276" s="79" t="n">
        <v>0.1171875</v>
      </c>
      <c r="I276" s="79" t="n">
        <v>0.1175925925925926</v>
      </c>
      <c r="J276" s="79" t="n">
        <v>0.07994212962962963</v>
      </c>
      <c r="K276" s="79" t="n">
        <v>0.07981481481481481</v>
      </c>
      <c r="L276" s="79" t="n">
        <v>0.1656828703703704</v>
      </c>
      <c r="M276" s="79" t="n">
        <v>0.05641203703703704</v>
      </c>
      <c r="N276" s="79" t="n">
        <v>0.08725694444444444</v>
      </c>
      <c r="O276" s="79" t="n">
        <v>0.08260416666666667</v>
      </c>
      <c r="P276" s="79" t="n">
        <v>0.07431712962962964</v>
      </c>
    </row>
    <row r="277" ht="15.75" customHeight="1" s="45">
      <c r="A277" s="57" t="n">
        <v>46256</v>
      </c>
      <c r="B277" s="81" t="inlineStr">
        <is>
          <t>Pós-Projeto</t>
        </is>
      </c>
      <c r="C277" s="59" t="inlineStr">
        <is>
          <t>Acolhim. + Atend. Urgência + Atend. UPA</t>
        </is>
      </c>
      <c r="D277" s="60">
        <f>SUM(D278:D280)</f>
        <v/>
      </c>
      <c r="E277" s="60">
        <f>SUM(E278:E280)</f>
        <v/>
      </c>
      <c r="F277" s="60">
        <f>SUM(F278:F280)</f>
        <v/>
      </c>
      <c r="G277" s="60">
        <f>SUM(G278:G280)</f>
        <v/>
      </c>
      <c r="H277" s="60">
        <f>SUM(H278:H280)</f>
        <v/>
      </c>
      <c r="I277" s="60">
        <f>SUM(I278:I280)</f>
        <v/>
      </c>
      <c r="J277" s="60">
        <f>SUM(J278:J280)</f>
        <v/>
      </c>
      <c r="K277" s="60">
        <f>SUM(K278:K280)</f>
        <v/>
      </c>
      <c r="L277" s="60">
        <f>SUM(L278:L280)</f>
        <v/>
      </c>
      <c r="M277" s="60">
        <f>SUM(M278:M280)</f>
        <v/>
      </c>
      <c r="N277" s="60">
        <f>SUM(N278:N280)</f>
        <v/>
      </c>
      <c r="O277" s="60">
        <f>SUM(O278:O280)</f>
        <v/>
      </c>
      <c r="P277" s="60">
        <f>SUM(P278:P280)</f>
        <v/>
      </c>
    </row>
    <row r="278" ht="15.75" customHeight="1" s="45">
      <c r="A278" s="61" t="n">
        <v>46256</v>
      </c>
      <c r="B278" s="82" t="inlineStr">
        <is>
          <t>Pós-Projeto</t>
        </is>
      </c>
      <c r="C278" s="83" t="inlineStr">
        <is>
          <t>Acolhimento c/ Classif. de Risco</t>
        </is>
      </c>
      <c r="D278" s="66" t="n">
        <v>210</v>
      </c>
      <c r="E278" s="66" t="n">
        <v>115</v>
      </c>
      <c r="F278" s="66" t="n">
        <v>137</v>
      </c>
      <c r="G278" s="66" t="n">
        <v>123</v>
      </c>
      <c r="H278" s="66" t="n">
        <v>137</v>
      </c>
      <c r="I278" s="66" t="n">
        <v>177</v>
      </c>
      <c r="J278" s="66" t="n">
        <v>97</v>
      </c>
      <c r="K278" s="66" t="n">
        <v>257</v>
      </c>
      <c r="L278" s="66" t="n">
        <v>131</v>
      </c>
      <c r="M278" s="66" t="n">
        <v>226</v>
      </c>
      <c r="N278" s="66" t="n">
        <v>172</v>
      </c>
      <c r="O278" s="66" t="n">
        <v>223</v>
      </c>
      <c r="P278" s="66" t="n">
        <v>202</v>
      </c>
    </row>
    <row r="279" ht="15.75" customHeight="1" s="45">
      <c r="A279" s="61" t="n">
        <v>46256</v>
      </c>
      <c r="B279" s="82" t="inlineStr">
        <is>
          <t>Pós-Projeto</t>
        </is>
      </c>
      <c r="C279" s="84" t="inlineStr">
        <is>
          <t>Atend. Urgência Obs. ≤ 24h</t>
        </is>
      </c>
      <c r="D279" s="64" t="n">
        <v>19</v>
      </c>
      <c r="E279" s="64" t="n">
        <v>24</v>
      </c>
      <c r="F279" s="64" t="n">
        <v>22</v>
      </c>
      <c r="G279" s="64" t="n">
        <v>32</v>
      </c>
      <c r="H279" s="64" t="n">
        <v>16</v>
      </c>
      <c r="I279" s="64" t="n">
        <v>28</v>
      </c>
      <c r="J279" s="64" t="n">
        <v>9</v>
      </c>
      <c r="K279" s="64" t="n">
        <v>43</v>
      </c>
      <c r="L279" s="64" t="n">
        <v>32</v>
      </c>
      <c r="M279" s="64" t="n">
        <v>27</v>
      </c>
      <c r="N279" s="64" t="n">
        <v>45</v>
      </c>
      <c r="O279" s="64" t="n">
        <v>10</v>
      </c>
      <c r="P279" s="64" t="n">
        <v>18</v>
      </c>
    </row>
    <row r="280" ht="15.75" customHeight="1" s="45">
      <c r="A280" s="61" t="n">
        <v>46256</v>
      </c>
      <c r="B280" s="82" t="inlineStr">
        <is>
          <t>Pós-Projeto</t>
        </is>
      </c>
      <c r="C280" s="83" t="inlineStr">
        <is>
          <t>Atend. Médico em UPA</t>
        </is>
      </c>
      <c r="D280" s="66" t="n">
        <v>117</v>
      </c>
      <c r="E280" s="66" t="n">
        <v>73</v>
      </c>
      <c r="F280" s="66" t="n">
        <v>75</v>
      </c>
      <c r="G280" s="66" t="n">
        <v>103</v>
      </c>
      <c r="H280" s="66" t="n">
        <v>98</v>
      </c>
      <c r="I280" s="66" t="n">
        <v>152</v>
      </c>
      <c r="J280" s="66" t="n">
        <v>56</v>
      </c>
      <c r="K280" s="66" t="n">
        <v>157</v>
      </c>
      <c r="L280" s="66" t="n">
        <v>103</v>
      </c>
      <c r="M280" s="66" t="n">
        <v>166</v>
      </c>
      <c r="N280" s="66" t="n">
        <v>129</v>
      </c>
      <c r="O280" s="66" t="n">
        <v>158</v>
      </c>
      <c r="P280" s="66" t="n">
        <v>142</v>
      </c>
    </row>
    <row r="281" ht="15.75" customHeight="1" s="45">
      <c r="A281" s="61" t="n">
        <v>46256</v>
      </c>
      <c r="B281" s="82" t="inlineStr">
        <is>
          <t>Pós-Projeto</t>
        </is>
      </c>
      <c r="C281" s="84" t="inlineStr">
        <is>
          <t>Exames Laboratoriais</t>
        </is>
      </c>
      <c r="D281" s="64" t="n">
        <v>295</v>
      </c>
      <c r="E281" s="64" t="n">
        <v>264</v>
      </c>
      <c r="F281" s="64" t="n">
        <v>528</v>
      </c>
      <c r="G281" s="64" t="n">
        <v>354</v>
      </c>
      <c r="H281" s="64" t="n">
        <v>312</v>
      </c>
      <c r="I281" s="64" t="n">
        <v>486</v>
      </c>
      <c r="J281" s="64" t="n">
        <v>244</v>
      </c>
      <c r="K281" s="64" t="n">
        <v>653</v>
      </c>
      <c r="L281" s="64" t="n">
        <v>452</v>
      </c>
      <c r="M281" s="64" t="n">
        <v>567</v>
      </c>
      <c r="N281" s="64" t="n">
        <v>711</v>
      </c>
      <c r="O281" s="64" t="n">
        <v>365</v>
      </c>
      <c r="P281" s="64" t="n">
        <v>194</v>
      </c>
    </row>
    <row r="282" ht="15.75" customHeight="1" s="45">
      <c r="A282" s="61" t="n">
        <v>46256</v>
      </c>
      <c r="B282" s="82" t="inlineStr">
        <is>
          <t>Pós-Projeto</t>
        </is>
      </c>
      <c r="C282" s="83" t="inlineStr">
        <is>
          <t>Radiografias</t>
        </is>
      </c>
      <c r="D282" s="66" t="n">
        <v>14</v>
      </c>
      <c r="E282" s="66" t="n">
        <v>24</v>
      </c>
      <c r="F282" s="66" t="n">
        <v>12</v>
      </c>
      <c r="G282" s="67" t="n">
        <v>0</v>
      </c>
      <c r="H282" s="66" t="n">
        <v>9</v>
      </c>
      <c r="I282" s="66" t="n">
        <v>29</v>
      </c>
      <c r="J282" s="66" t="n">
        <v>5</v>
      </c>
      <c r="K282" s="66" t="n">
        <v>34</v>
      </c>
      <c r="L282" s="66" t="n">
        <v>16</v>
      </c>
      <c r="M282" s="66" t="n">
        <v>34</v>
      </c>
      <c r="N282" s="66" t="n">
        <v>22</v>
      </c>
      <c r="O282" s="66" t="n">
        <v>47</v>
      </c>
      <c r="P282" s="66" t="n">
        <v>11</v>
      </c>
    </row>
    <row r="283" ht="15.75" customHeight="1" s="45">
      <c r="A283" s="61" t="n">
        <v>46256</v>
      </c>
      <c r="B283" s="82" t="inlineStr">
        <is>
          <t>Pós-Projeto</t>
        </is>
      </c>
      <c r="C283" s="84" t="inlineStr">
        <is>
          <t>Eletrocardiogramas</t>
        </is>
      </c>
      <c r="D283" s="64" t="n">
        <v>9</v>
      </c>
      <c r="E283" s="64" t="n">
        <v>6</v>
      </c>
      <c r="F283" s="67" t="n">
        <v>0</v>
      </c>
      <c r="G283" s="64" t="n">
        <v>1</v>
      </c>
      <c r="H283" s="67" t="n">
        <v>0</v>
      </c>
      <c r="I283" s="67" t="n">
        <v>0</v>
      </c>
      <c r="J283" s="64" t="n">
        <v>2</v>
      </c>
      <c r="K283" s="67" t="n">
        <v>0</v>
      </c>
      <c r="L283" s="67" t="n">
        <v>0</v>
      </c>
      <c r="M283" s="64" t="n">
        <v>12</v>
      </c>
      <c r="N283" s="64" t="n">
        <v>8</v>
      </c>
      <c r="O283" s="67" t="n">
        <v>0</v>
      </c>
      <c r="P283" s="64" t="n">
        <v>2</v>
      </c>
    </row>
    <row r="284" ht="15.75" customHeight="1" s="45">
      <c r="A284" s="61" t="n">
        <v>46256</v>
      </c>
      <c r="B284" s="82" t="inlineStr">
        <is>
          <t>Pós-Projeto</t>
        </is>
      </c>
      <c r="C284" s="85" t="inlineStr">
        <is>
          <t>GAEs Abertas</t>
        </is>
      </c>
      <c r="D284" s="69" t="n">
        <v>217</v>
      </c>
      <c r="E284" s="69" t="n">
        <v>121</v>
      </c>
      <c r="F284" s="69" t="n">
        <v>151</v>
      </c>
      <c r="G284" s="69" t="n">
        <v>126</v>
      </c>
      <c r="H284" s="69" t="n">
        <v>143</v>
      </c>
      <c r="I284" s="69" t="n">
        <v>180</v>
      </c>
      <c r="J284" s="69" t="n">
        <v>102</v>
      </c>
      <c r="K284" s="69" t="n">
        <v>277</v>
      </c>
      <c r="L284" s="69" t="n">
        <v>137</v>
      </c>
      <c r="M284" s="69" t="n">
        <v>236</v>
      </c>
      <c r="N284" s="69" t="n">
        <v>180</v>
      </c>
      <c r="O284" s="69" t="n">
        <v>227</v>
      </c>
      <c r="P284" s="69" t="n">
        <v>208</v>
      </c>
    </row>
    <row r="285" ht="15.75" customHeight="1" s="45">
      <c r="A285" s="61" t="n">
        <v>46256</v>
      </c>
      <c r="B285" s="82" t="inlineStr">
        <is>
          <t>Pós-Projeto</t>
        </is>
      </c>
      <c r="C285" s="85" t="inlineStr">
        <is>
          <t>GAEs Classificadas</t>
        </is>
      </c>
      <c r="D285" s="69" t="n">
        <v>209</v>
      </c>
      <c r="E285" s="69" t="n">
        <v>116</v>
      </c>
      <c r="F285" s="69" t="n">
        <v>142</v>
      </c>
      <c r="G285" s="69" t="n">
        <v>124</v>
      </c>
      <c r="H285" s="69" t="n">
        <v>138</v>
      </c>
      <c r="I285" s="69" t="n">
        <v>176</v>
      </c>
      <c r="J285" s="69" t="n">
        <v>97</v>
      </c>
      <c r="K285" s="69" t="n">
        <v>259</v>
      </c>
      <c r="L285" s="69" t="n">
        <v>131</v>
      </c>
      <c r="M285" s="69" t="n">
        <v>229</v>
      </c>
      <c r="N285" s="69" t="n">
        <v>171</v>
      </c>
      <c r="O285" s="69" t="n">
        <v>225</v>
      </c>
      <c r="P285" s="69" t="n">
        <v>202</v>
      </c>
    </row>
    <row r="286" ht="15.75" customHeight="1" s="45">
      <c r="A286" s="61" t="n">
        <v>46256</v>
      </c>
      <c r="B286" s="82" t="inlineStr">
        <is>
          <t>Pós-Projeto</t>
        </is>
      </c>
      <c r="C286" s="86" t="inlineStr">
        <is>
          <t>Percentual de GAEs abertas classificadas</t>
        </is>
      </c>
      <c r="D286" s="71">
        <f>IFERROR(D285/D284,"-")</f>
        <v/>
      </c>
      <c r="E286" s="71">
        <f>IFERROR(E285/E284,"-")</f>
        <v/>
      </c>
      <c r="F286" s="71">
        <f>IFERROR(F285/F284,"-")</f>
        <v/>
      </c>
      <c r="G286" s="71">
        <f>IFERROR(G285/G284,"-")</f>
        <v/>
      </c>
      <c r="H286" s="71">
        <f>IFERROR(H285/H284,"-")</f>
        <v/>
      </c>
      <c r="I286" s="71">
        <f>IFERROR(I285/I284,"-")</f>
        <v/>
      </c>
      <c r="J286" s="71">
        <f>IFERROR(J285/J284,"-")</f>
        <v/>
      </c>
      <c r="K286" s="71">
        <f>IFERROR(K285/K284,"-")</f>
        <v/>
      </c>
      <c r="L286" s="71">
        <f>IFERROR(L285/L284,"-")</f>
        <v/>
      </c>
      <c r="M286" s="71">
        <f>IFERROR(M285/M284,"-")</f>
        <v/>
      </c>
      <c r="N286" s="71">
        <f>IFERROR(N285/N284,"-")</f>
        <v/>
      </c>
      <c r="O286" s="71">
        <f>IFERROR(O285/O284,"-")</f>
        <v/>
      </c>
      <c r="P286" s="71">
        <f>IFERROR(P285/P284,"-")</f>
        <v/>
      </c>
    </row>
    <row r="287" ht="15.75" customHeight="1" s="45">
      <c r="A287" s="61" t="n">
        <v>46256</v>
      </c>
      <c r="B287" s="82" t="inlineStr">
        <is>
          <t>Pós-Projeto</t>
        </is>
      </c>
      <c r="C287" s="87" t="inlineStr">
        <is>
          <t>Tempo Médio — 🟡 Amarelo (hh:mm)</t>
        </is>
      </c>
      <c r="D287" s="73" t="n">
        <v>0.1076851851851852</v>
      </c>
      <c r="E287" s="73" t="n">
        <v>0.07415509259259259</v>
      </c>
      <c r="F287" s="73" t="n">
        <v>0.04726851851851852</v>
      </c>
      <c r="G287" s="73" t="n">
        <v>0.06206018518518518</v>
      </c>
      <c r="H287" s="73" t="n">
        <v>0.02756944444444445</v>
      </c>
      <c r="I287" s="73" t="n">
        <v>0.02155092592592592</v>
      </c>
      <c r="J287" s="73" t="n">
        <v>0.07155092592592592</v>
      </c>
      <c r="K287" s="73" t="n">
        <v>0.0418287037037037</v>
      </c>
      <c r="L287" s="73" t="n">
        <v>0.05048611111111111</v>
      </c>
      <c r="M287" s="73" t="n">
        <v>0.01993055555555556</v>
      </c>
      <c r="N287" s="73" t="n">
        <v>0.06239583333333333</v>
      </c>
      <c r="O287" s="73" t="n">
        <v>0.02077546296296296</v>
      </c>
      <c r="P287" s="73" t="n">
        <v>0.04188657407407408</v>
      </c>
    </row>
    <row r="288" ht="15.75" customHeight="1" s="45">
      <c r="A288" s="61" t="n">
        <v>46256</v>
      </c>
      <c r="B288" s="82" t="inlineStr">
        <is>
          <t>Pós-Projeto</t>
        </is>
      </c>
      <c r="C288" s="88" t="inlineStr">
        <is>
          <t>Tempo Médio — 🟠 Laranja (hh:mm)</t>
        </is>
      </c>
      <c r="D288" s="75" t="n">
        <v>0.02119212962962963</v>
      </c>
      <c r="E288" s="75" t="n">
        <v>0.009791666666666667</v>
      </c>
      <c r="F288" s="75" t="n">
        <v>0.009305555555555555</v>
      </c>
      <c r="G288" s="75" t="n">
        <v>0.003032407407407407</v>
      </c>
      <c r="H288" s="75" t="n">
        <v>0.008923611111111111</v>
      </c>
      <c r="I288" s="75" t="n">
        <v>0.004988425925925926</v>
      </c>
      <c r="J288" s="75" t="n">
        <v>0.0196412037037037</v>
      </c>
      <c r="K288" s="75" t="n">
        <v>0.01521990740740741</v>
      </c>
      <c r="L288" s="75" t="n">
        <v>0.006226851851851851</v>
      </c>
      <c r="M288" s="75" t="n">
        <v>0.006550925925925926</v>
      </c>
      <c r="N288" s="75" t="n">
        <v>0.006898148148148148</v>
      </c>
      <c r="O288" s="75" t="n">
        <v>0.007939814814814814</v>
      </c>
      <c r="P288" s="75" t="n">
        <v>0.00849537037037037</v>
      </c>
    </row>
    <row r="289" ht="15.75" customHeight="1" s="45">
      <c r="A289" s="76" t="n">
        <v>46256</v>
      </c>
      <c r="B289" s="82" t="inlineStr">
        <is>
          <t>Pós-Projeto</t>
        </is>
      </c>
      <c r="C289" s="91" t="inlineStr">
        <is>
          <t>Tempo Médio — 🟢 Verde   (hh:mm)</t>
        </is>
      </c>
      <c r="D289" s="79" t="n">
        <v>0.1086111111111111</v>
      </c>
      <c r="E289" s="79" t="n">
        <v>0.2647106481481482</v>
      </c>
      <c r="F289" s="79" t="n">
        <v>0.1596759259259259</v>
      </c>
      <c r="G289" s="79" t="n">
        <v>0.1764467592592593</v>
      </c>
      <c r="H289" s="79" t="n">
        <v>0.06763888888888889</v>
      </c>
      <c r="I289" s="79" t="n">
        <v>0.08773148148148148</v>
      </c>
      <c r="J289" s="79" t="n">
        <v>0.1356481481481482</v>
      </c>
      <c r="K289" s="79" t="n">
        <v>0.03842592592592593</v>
      </c>
      <c r="L289" s="79" t="n">
        <v>0.1422453703703704</v>
      </c>
      <c r="M289" s="79" t="n">
        <v>0.06082175925925926</v>
      </c>
      <c r="N289" s="79" t="n">
        <v>0.1160416666666667</v>
      </c>
      <c r="O289" s="79" t="n">
        <v>0.05105324074074074</v>
      </c>
      <c r="P289" s="79" t="n">
        <v>0.09508101851851852</v>
      </c>
    </row>
    <row r="290" ht="15.75" customHeight="1" s="45">
      <c r="A290" s="57" t="n">
        <v>46257</v>
      </c>
      <c r="B290" s="81" t="inlineStr">
        <is>
          <t>Pós-Projeto</t>
        </is>
      </c>
      <c r="C290" s="59" t="inlineStr">
        <is>
          <t>Acolhim. + Atend. Urgência + Atend. UPA</t>
        </is>
      </c>
      <c r="D290" s="60">
        <f>SUM(D291:D293)</f>
        <v/>
      </c>
      <c r="E290" s="60">
        <f>SUM(E291:E293)</f>
        <v/>
      </c>
      <c r="F290" s="60">
        <f>SUM(F291:F293)</f>
        <v/>
      </c>
      <c r="G290" s="60">
        <f>SUM(G291:G293)</f>
        <v/>
      </c>
      <c r="H290" s="60">
        <f>SUM(H291:H293)</f>
        <v/>
      </c>
      <c r="I290" s="60">
        <f>SUM(I291:I293)</f>
        <v/>
      </c>
      <c r="J290" s="60">
        <f>SUM(J291:J293)</f>
        <v/>
      </c>
      <c r="K290" s="60">
        <f>SUM(K291:K293)</f>
        <v/>
      </c>
      <c r="L290" s="60">
        <f>SUM(L291:L293)</f>
        <v/>
      </c>
      <c r="M290" s="60">
        <f>SUM(M291:M293)</f>
        <v/>
      </c>
      <c r="N290" s="60">
        <f>SUM(N291:N293)</f>
        <v/>
      </c>
      <c r="O290" s="60">
        <f>SUM(O291:O293)</f>
        <v/>
      </c>
      <c r="P290" s="60">
        <f>SUM(P291:P293)</f>
        <v/>
      </c>
    </row>
    <row r="291" ht="15.75" customHeight="1" s="45">
      <c r="A291" s="61" t="n">
        <v>46257</v>
      </c>
      <c r="B291" s="82" t="inlineStr">
        <is>
          <t>Pós-Projeto</t>
        </is>
      </c>
      <c r="C291" s="83" t="inlineStr">
        <is>
          <t>Acolhimento c/ Classif. de Risco</t>
        </is>
      </c>
      <c r="D291" s="64" t="n">
        <v>187</v>
      </c>
      <c r="E291" s="64" t="n">
        <v>128</v>
      </c>
      <c r="F291" s="64" t="n">
        <v>123</v>
      </c>
      <c r="G291" s="64" t="n">
        <v>131</v>
      </c>
      <c r="H291" s="64" t="n">
        <v>132</v>
      </c>
      <c r="I291" s="64" t="n">
        <v>162</v>
      </c>
      <c r="J291" s="64" t="n">
        <v>102</v>
      </c>
      <c r="K291" s="64" t="n">
        <v>243</v>
      </c>
      <c r="L291" s="64" t="n">
        <v>126</v>
      </c>
      <c r="M291" s="64" t="n">
        <v>180</v>
      </c>
      <c r="N291" s="64" t="n">
        <v>166</v>
      </c>
      <c r="O291" s="64" t="n">
        <v>235</v>
      </c>
      <c r="P291" s="64" t="n">
        <v>215</v>
      </c>
    </row>
    <row r="292" ht="15.75" customHeight="1" s="45">
      <c r="A292" s="61" t="n">
        <v>46257</v>
      </c>
      <c r="B292" s="82" t="inlineStr">
        <is>
          <t>Pós-Projeto</t>
        </is>
      </c>
      <c r="C292" s="84" t="inlineStr">
        <is>
          <t>Atend. Urgência Obs. ≤ 24h</t>
        </is>
      </c>
      <c r="D292" s="66" t="n">
        <v>36</v>
      </c>
      <c r="E292" s="66" t="n">
        <v>19</v>
      </c>
      <c r="F292" s="66" t="n">
        <v>23</v>
      </c>
      <c r="G292" s="66" t="n">
        <v>26</v>
      </c>
      <c r="H292" s="66" t="n">
        <v>14</v>
      </c>
      <c r="I292" s="66" t="n">
        <v>33</v>
      </c>
      <c r="J292" s="66" t="n">
        <v>12</v>
      </c>
      <c r="K292" s="66" t="n">
        <v>38</v>
      </c>
      <c r="L292" s="66" t="n">
        <v>37</v>
      </c>
      <c r="M292" s="66" t="n">
        <v>20</v>
      </c>
      <c r="N292" s="66" t="n">
        <v>24</v>
      </c>
      <c r="O292" s="66" t="n">
        <v>10</v>
      </c>
      <c r="P292" s="66" t="n">
        <v>5</v>
      </c>
    </row>
    <row r="293" ht="15.75" customHeight="1" s="45">
      <c r="A293" s="61" t="n">
        <v>46257</v>
      </c>
      <c r="B293" s="82" t="inlineStr">
        <is>
          <t>Pós-Projeto</t>
        </is>
      </c>
      <c r="C293" s="83" t="inlineStr">
        <is>
          <t>Atend. Médico em UPA</t>
        </is>
      </c>
      <c r="D293" s="64" t="n">
        <v>110</v>
      </c>
      <c r="E293" s="64" t="n">
        <v>87</v>
      </c>
      <c r="F293" s="64" t="n">
        <v>93</v>
      </c>
      <c r="G293" s="64" t="n">
        <v>77</v>
      </c>
      <c r="H293" s="64" t="n">
        <v>97</v>
      </c>
      <c r="I293" s="64" t="n">
        <v>97</v>
      </c>
      <c r="J293" s="64" t="n">
        <v>83</v>
      </c>
      <c r="K293" s="64" t="n">
        <v>143</v>
      </c>
      <c r="L293" s="64" t="n">
        <v>78</v>
      </c>
      <c r="M293" s="64" t="n">
        <v>105</v>
      </c>
      <c r="N293" s="64" t="n">
        <v>128</v>
      </c>
      <c r="O293" s="64" t="n">
        <v>169</v>
      </c>
      <c r="P293" s="64" t="n">
        <v>133</v>
      </c>
    </row>
    <row r="294" ht="15.75" customHeight="1" s="45">
      <c r="A294" s="61" t="n">
        <v>46257</v>
      </c>
      <c r="B294" s="82" t="inlineStr">
        <is>
          <t>Pós-Projeto</t>
        </is>
      </c>
      <c r="C294" s="84" t="inlineStr">
        <is>
          <t>Exames Laboratoriais</t>
        </is>
      </c>
      <c r="D294" s="66" t="n">
        <v>789</v>
      </c>
      <c r="E294" s="66" t="n">
        <v>398</v>
      </c>
      <c r="F294" s="66" t="n">
        <v>412</v>
      </c>
      <c r="G294" s="66" t="n">
        <v>132</v>
      </c>
      <c r="H294" s="66" t="n">
        <v>419</v>
      </c>
      <c r="I294" s="66" t="n">
        <v>707</v>
      </c>
      <c r="J294" s="66" t="n">
        <v>284</v>
      </c>
      <c r="K294" s="66" t="n">
        <v>622</v>
      </c>
      <c r="L294" s="66" t="n">
        <v>536</v>
      </c>
      <c r="M294" s="66" t="n">
        <v>456</v>
      </c>
      <c r="N294" s="66" t="n">
        <v>385</v>
      </c>
      <c r="O294" s="66" t="n">
        <v>369</v>
      </c>
      <c r="P294" s="66" t="n">
        <v>357</v>
      </c>
    </row>
    <row r="295" ht="15.75" customHeight="1" s="45">
      <c r="A295" s="61" t="n">
        <v>46257</v>
      </c>
      <c r="B295" s="82" t="inlineStr">
        <is>
          <t>Pós-Projeto</t>
        </is>
      </c>
      <c r="C295" s="83" t="inlineStr">
        <is>
          <t>Radiografias</t>
        </is>
      </c>
      <c r="D295" s="64" t="n">
        <v>20</v>
      </c>
      <c r="E295" s="64" t="n">
        <v>17</v>
      </c>
      <c r="F295" s="64" t="n">
        <v>13</v>
      </c>
      <c r="G295" s="67" t="n">
        <v>0</v>
      </c>
      <c r="H295" s="64" t="n">
        <v>13</v>
      </c>
      <c r="I295" s="64" t="n">
        <v>17</v>
      </c>
      <c r="J295" s="64" t="n">
        <v>16</v>
      </c>
      <c r="K295" s="64" t="n">
        <v>26</v>
      </c>
      <c r="L295" s="64" t="n">
        <v>3</v>
      </c>
      <c r="M295" s="64" t="n">
        <v>26</v>
      </c>
      <c r="N295" s="64" t="n">
        <v>21</v>
      </c>
      <c r="O295" s="64" t="n">
        <v>34</v>
      </c>
      <c r="P295" s="67" t="n">
        <v>0</v>
      </c>
    </row>
    <row r="296" ht="15.75" customHeight="1" s="45">
      <c r="A296" s="61" t="n">
        <v>46257</v>
      </c>
      <c r="B296" s="82" t="inlineStr">
        <is>
          <t>Pós-Projeto</t>
        </is>
      </c>
      <c r="C296" s="84" t="inlineStr">
        <is>
          <t>Eletrocardiogramas</t>
        </is>
      </c>
      <c r="D296" s="66" t="n">
        <v>17</v>
      </c>
      <c r="E296" s="66" t="n">
        <v>6</v>
      </c>
      <c r="F296" s="67" t="n">
        <v>0</v>
      </c>
      <c r="G296" s="66" t="n">
        <v>4</v>
      </c>
      <c r="H296" s="67" t="n">
        <v>0</v>
      </c>
      <c r="I296" s="66" t="n">
        <v>1</v>
      </c>
      <c r="J296" s="66" t="n">
        <v>4</v>
      </c>
      <c r="K296" s="66" t="n">
        <v>4</v>
      </c>
      <c r="L296" s="67" t="n">
        <v>0</v>
      </c>
      <c r="M296" s="66" t="n">
        <v>8</v>
      </c>
      <c r="N296" s="66" t="n">
        <v>5</v>
      </c>
      <c r="O296" s="67" t="n">
        <v>0</v>
      </c>
      <c r="P296" s="66" t="n">
        <v>2</v>
      </c>
    </row>
    <row r="297" ht="15.75" customHeight="1" s="45">
      <c r="A297" s="61" t="n">
        <v>46257</v>
      </c>
      <c r="B297" s="82" t="inlineStr">
        <is>
          <t>Pós-Projeto</t>
        </is>
      </c>
      <c r="C297" s="85" t="inlineStr">
        <is>
          <t>GAEs Abertas</t>
        </is>
      </c>
      <c r="D297" s="69" t="n">
        <v>195</v>
      </c>
      <c r="E297" s="69" t="n">
        <v>133</v>
      </c>
      <c r="F297" s="69" t="n">
        <v>121</v>
      </c>
      <c r="G297" s="69" t="n">
        <v>133</v>
      </c>
      <c r="H297" s="69" t="n">
        <v>133</v>
      </c>
      <c r="I297" s="69" t="n">
        <v>176</v>
      </c>
      <c r="J297" s="69" t="n">
        <v>107</v>
      </c>
      <c r="K297" s="69" t="n">
        <v>271</v>
      </c>
      <c r="L297" s="69" t="n">
        <v>133</v>
      </c>
      <c r="M297" s="69" t="n">
        <v>184</v>
      </c>
      <c r="N297" s="69" t="n">
        <v>171</v>
      </c>
      <c r="O297" s="69" t="n">
        <v>241</v>
      </c>
      <c r="P297" s="69" t="n">
        <v>223</v>
      </c>
    </row>
    <row r="298" ht="15.75" customHeight="1" s="45">
      <c r="A298" s="61" t="n">
        <v>46257</v>
      </c>
      <c r="B298" s="82" t="inlineStr">
        <is>
          <t>Pós-Projeto</t>
        </is>
      </c>
      <c r="C298" s="85" t="inlineStr">
        <is>
          <t>GAEs Classificadas</t>
        </is>
      </c>
      <c r="D298" s="69" t="n">
        <v>187</v>
      </c>
      <c r="E298" s="69" t="n">
        <v>127</v>
      </c>
      <c r="F298" s="69" t="n">
        <v>118</v>
      </c>
      <c r="G298" s="69" t="n">
        <v>130</v>
      </c>
      <c r="H298" s="69" t="n">
        <v>130</v>
      </c>
      <c r="I298" s="69" t="n">
        <v>167</v>
      </c>
      <c r="J298" s="69" t="n">
        <v>102</v>
      </c>
      <c r="K298" s="69" t="n">
        <v>242</v>
      </c>
      <c r="L298" s="69" t="n">
        <v>127</v>
      </c>
      <c r="M298" s="69" t="n">
        <v>175</v>
      </c>
      <c r="N298" s="69" t="n">
        <v>167</v>
      </c>
      <c r="O298" s="69" t="n">
        <v>231</v>
      </c>
      <c r="P298" s="69" t="n">
        <v>216</v>
      </c>
    </row>
    <row r="299" ht="15.75" customHeight="1" s="45">
      <c r="A299" s="61" t="n">
        <v>46257</v>
      </c>
      <c r="B299" s="82" t="inlineStr">
        <is>
          <t>Pós-Projeto</t>
        </is>
      </c>
      <c r="C299" s="86" t="inlineStr">
        <is>
          <t>Percentual de GAEs abertas classificadas</t>
        </is>
      </c>
      <c r="D299" s="71">
        <f>IFERROR(D298/D297,"-")</f>
        <v/>
      </c>
      <c r="E299" s="71">
        <f>IFERROR(E298/E297,"-")</f>
        <v/>
      </c>
      <c r="F299" s="71">
        <f>IFERROR(F298/F297,"-")</f>
        <v/>
      </c>
      <c r="G299" s="71">
        <f>IFERROR(G298/G297,"-")</f>
        <v/>
      </c>
      <c r="H299" s="71">
        <f>IFERROR(H298/H297,"-")</f>
        <v/>
      </c>
      <c r="I299" s="71">
        <f>IFERROR(I298/I297,"-")</f>
        <v/>
      </c>
      <c r="J299" s="71">
        <f>IFERROR(J298/J297,"-")</f>
        <v/>
      </c>
      <c r="K299" s="71">
        <f>IFERROR(K298/K297,"-")</f>
        <v/>
      </c>
      <c r="L299" s="71">
        <f>IFERROR(L298/L297,"-")</f>
        <v/>
      </c>
      <c r="M299" s="71">
        <f>IFERROR(M298/M297,"-")</f>
        <v/>
      </c>
      <c r="N299" s="71">
        <f>IFERROR(N298/N297,"-")</f>
        <v/>
      </c>
      <c r="O299" s="71">
        <f>IFERROR(O298/O297,"-")</f>
        <v/>
      </c>
      <c r="P299" s="71">
        <f>IFERROR(P298/P297,"-")</f>
        <v/>
      </c>
    </row>
    <row r="300" ht="15.75" customHeight="1" s="45">
      <c r="A300" s="61" t="n">
        <v>46257</v>
      </c>
      <c r="B300" s="82" t="inlineStr">
        <is>
          <t>Pós-Projeto</t>
        </is>
      </c>
      <c r="C300" s="87" t="inlineStr">
        <is>
          <t>Tempo Médio — 🟡 Amarelo (hh:mm)</t>
        </is>
      </c>
      <c r="D300" s="73" t="n">
        <v>0.06087962962962963</v>
      </c>
      <c r="E300" s="73" t="n">
        <v>0.03342592592592593</v>
      </c>
      <c r="F300" s="73" t="n">
        <v>0.03984953703703704</v>
      </c>
      <c r="G300" s="73" t="n">
        <v>0.03621527777777778</v>
      </c>
      <c r="H300" s="73" t="n">
        <v>0.03506944444444444</v>
      </c>
      <c r="I300" s="73" t="n">
        <v>0.02896990740740741</v>
      </c>
      <c r="J300" s="73" t="n">
        <v>0.04546296296296296</v>
      </c>
      <c r="K300" s="73" t="n">
        <v>0.05856481481481481</v>
      </c>
      <c r="L300" s="73" t="n">
        <v>0.1215393518518519</v>
      </c>
      <c r="M300" s="73" t="n">
        <v>0.04096064814814815</v>
      </c>
      <c r="N300" s="73" t="n">
        <v>0.09211805555555555</v>
      </c>
      <c r="O300" s="73" t="n">
        <v>0.03993055555555555</v>
      </c>
      <c r="P300" s="73" t="n">
        <v>0.01341435185185185</v>
      </c>
    </row>
    <row r="301" ht="15.75" customHeight="1" s="45">
      <c r="A301" s="61" t="n">
        <v>46257</v>
      </c>
      <c r="B301" s="82" t="inlineStr">
        <is>
          <t>Pós-Projeto</t>
        </is>
      </c>
      <c r="C301" s="88" t="inlineStr">
        <is>
          <t>Tempo Médio — 🟠 Laranja (hh:mm)</t>
        </is>
      </c>
      <c r="D301" s="75" t="n">
        <v>0.01170138888888889</v>
      </c>
      <c r="E301" s="75" t="n">
        <v>0.006319444444444444</v>
      </c>
      <c r="F301" s="75" t="n">
        <v>0.003263888888888889</v>
      </c>
      <c r="G301" s="75" t="n">
        <v>0.004189814814814815</v>
      </c>
      <c r="H301" s="75" t="n">
        <v>0.006793981481481482</v>
      </c>
      <c r="I301" s="75" t="n">
        <v>0.005069444444444444</v>
      </c>
      <c r="J301" s="75" t="n">
        <v>0.008067129629629629</v>
      </c>
      <c r="K301" s="75" t="n">
        <v>0.01771990740740741</v>
      </c>
      <c r="L301" s="75" t="n">
        <v>0.0169212962962963</v>
      </c>
      <c r="M301" s="75" t="n">
        <v>0.008576388888888889</v>
      </c>
      <c r="N301" s="75" t="n">
        <v>0.01880787037037037</v>
      </c>
      <c r="O301" s="75" t="n">
        <v>0.008090277777777778</v>
      </c>
      <c r="P301" s="75" t="n">
        <v>0.004756944444444445</v>
      </c>
    </row>
    <row r="302" ht="15.75" customHeight="1" s="45">
      <c r="A302" s="76" t="n">
        <v>46257</v>
      </c>
      <c r="B302" s="82" t="inlineStr">
        <is>
          <t>Pós-Projeto</t>
        </is>
      </c>
      <c r="C302" s="91" t="inlineStr">
        <is>
          <t>Tempo Médio — 🟢 Verde   (hh:mm)</t>
        </is>
      </c>
      <c r="D302" s="79" t="n">
        <v>0.129837962962963</v>
      </c>
      <c r="E302" s="79" t="n">
        <v>0.07233796296296297</v>
      </c>
      <c r="F302" s="79" t="n">
        <v>0.07241898148148149</v>
      </c>
      <c r="G302" s="79" t="n">
        <v>0.148125</v>
      </c>
      <c r="H302" s="79" t="n">
        <v>0.1438425925925926</v>
      </c>
      <c r="I302" s="79" t="n">
        <v>0.1469328703703704</v>
      </c>
      <c r="J302" s="79" t="n">
        <v>0.07733796296296297</v>
      </c>
      <c r="K302" s="79" t="n">
        <v>0.09041666666666667</v>
      </c>
      <c r="L302" s="79" t="n">
        <v>0.2054513888888889</v>
      </c>
      <c r="M302" s="79" t="n">
        <v>0.05782407407407408</v>
      </c>
      <c r="N302" s="79" t="n">
        <v>0.1172685185185185</v>
      </c>
      <c r="O302" s="79" t="n">
        <v>0.08055555555555556</v>
      </c>
      <c r="P302" s="79" t="n">
        <v>0.02590277777777778</v>
      </c>
    </row>
    <row r="303" ht="15.75" customHeight="1" s="45">
      <c r="A303" s="57" t="n">
        <v>46258</v>
      </c>
      <c r="B303" s="81" t="inlineStr">
        <is>
          <t>Pós-Projeto</t>
        </is>
      </c>
      <c r="C303" s="59" t="inlineStr">
        <is>
          <t>Acolhim. + Atend. Urgência + Atend. UPA</t>
        </is>
      </c>
      <c r="D303" s="60">
        <f>SUM(D304:D306)</f>
        <v/>
      </c>
      <c r="E303" s="60">
        <f>SUM(E304:E306)</f>
        <v/>
      </c>
      <c r="F303" s="60">
        <f>SUM(F304:F306)</f>
        <v/>
      </c>
      <c r="G303" s="60">
        <f>SUM(G304:G306)</f>
        <v/>
      </c>
      <c r="H303" s="60">
        <f>SUM(H304:H306)</f>
        <v/>
      </c>
      <c r="I303" s="60">
        <f>SUM(I304:I306)</f>
        <v/>
      </c>
      <c r="J303" s="60">
        <f>SUM(J304:J306)</f>
        <v/>
      </c>
      <c r="K303" s="60">
        <f>SUM(K304:K306)</f>
        <v/>
      </c>
      <c r="L303" s="60">
        <f>SUM(L304:L306)</f>
        <v/>
      </c>
      <c r="M303" s="60">
        <f>SUM(M304:M306)</f>
        <v/>
      </c>
      <c r="N303" s="60">
        <f>SUM(N304:N306)</f>
        <v/>
      </c>
      <c r="O303" s="60">
        <f>SUM(O304:O306)</f>
        <v/>
      </c>
      <c r="P303" s="60">
        <f>SUM(P304:P306)</f>
        <v/>
      </c>
    </row>
    <row r="304" ht="15.75" customHeight="1" s="45">
      <c r="A304" s="61" t="n">
        <v>46258</v>
      </c>
      <c r="B304" s="82" t="inlineStr">
        <is>
          <t>Pós-Projeto</t>
        </is>
      </c>
      <c r="C304" s="83" t="inlineStr">
        <is>
          <t>Acolhimento c/ Classif. de Risco</t>
        </is>
      </c>
      <c r="D304" s="66" t="n">
        <v>251</v>
      </c>
      <c r="E304" s="66" t="n">
        <v>166</v>
      </c>
      <c r="F304" s="66" t="n">
        <v>174</v>
      </c>
      <c r="G304" s="66" t="n">
        <v>170</v>
      </c>
      <c r="H304" s="66" t="n">
        <v>181</v>
      </c>
      <c r="I304" s="66" t="n">
        <v>201</v>
      </c>
      <c r="J304" s="66" t="n">
        <v>147</v>
      </c>
      <c r="K304" s="66" t="n">
        <v>313</v>
      </c>
      <c r="L304" s="66" t="n">
        <v>165</v>
      </c>
      <c r="M304" s="66" t="n">
        <v>220</v>
      </c>
      <c r="N304" s="66" t="n">
        <v>231</v>
      </c>
      <c r="O304" s="66" t="n">
        <v>337</v>
      </c>
      <c r="P304" s="66" t="n">
        <v>298</v>
      </c>
    </row>
    <row r="305" ht="15.75" customHeight="1" s="45">
      <c r="A305" s="61" t="n">
        <v>46258</v>
      </c>
      <c r="B305" s="82" t="inlineStr">
        <is>
          <t>Pós-Projeto</t>
        </is>
      </c>
      <c r="C305" s="84" t="inlineStr">
        <is>
          <t>Atend. Urgência Obs. ≤ 24h</t>
        </is>
      </c>
      <c r="D305" s="64" t="n">
        <v>43</v>
      </c>
      <c r="E305" s="64" t="n">
        <v>1</v>
      </c>
      <c r="F305" s="64" t="n">
        <v>20</v>
      </c>
      <c r="G305" s="64" t="n">
        <v>35</v>
      </c>
      <c r="H305" s="64" t="n">
        <v>16</v>
      </c>
      <c r="I305" s="64" t="n">
        <v>15</v>
      </c>
      <c r="J305" s="64" t="n">
        <v>2</v>
      </c>
      <c r="K305" s="64" t="n">
        <v>43</v>
      </c>
      <c r="L305" s="64" t="n">
        <v>44</v>
      </c>
      <c r="M305" s="64" t="n">
        <v>25</v>
      </c>
      <c r="N305" s="64" t="n">
        <v>34</v>
      </c>
      <c r="O305" s="64" t="n">
        <v>33</v>
      </c>
      <c r="P305" s="64" t="n">
        <v>25</v>
      </c>
    </row>
    <row r="306" ht="15.75" customHeight="1" s="45">
      <c r="A306" s="61" t="n">
        <v>46258</v>
      </c>
      <c r="B306" s="82" t="inlineStr">
        <is>
          <t>Pós-Projeto</t>
        </is>
      </c>
      <c r="C306" s="83" t="inlineStr">
        <is>
          <t>Atend. Médico em UPA</t>
        </is>
      </c>
      <c r="D306" s="66" t="n">
        <v>160</v>
      </c>
      <c r="E306" s="66" t="n">
        <v>102</v>
      </c>
      <c r="F306" s="66" t="n">
        <v>116</v>
      </c>
      <c r="G306" s="66" t="n">
        <v>147</v>
      </c>
      <c r="H306" s="66" t="n">
        <v>120</v>
      </c>
      <c r="I306" s="66" t="n">
        <v>143</v>
      </c>
      <c r="J306" s="66" t="n">
        <v>97</v>
      </c>
      <c r="K306" s="66" t="n">
        <v>270</v>
      </c>
      <c r="L306" s="66" t="n">
        <v>128</v>
      </c>
      <c r="M306" s="66" t="n">
        <v>109</v>
      </c>
      <c r="N306" s="66" t="n">
        <v>169</v>
      </c>
      <c r="O306" s="66" t="n">
        <v>261</v>
      </c>
      <c r="P306" s="66" t="n">
        <v>168</v>
      </c>
    </row>
    <row r="307" ht="15.75" customHeight="1" s="45">
      <c r="A307" s="61" t="n">
        <v>46258</v>
      </c>
      <c r="B307" s="82" t="inlineStr">
        <is>
          <t>Pós-Projeto</t>
        </is>
      </c>
      <c r="C307" s="84" t="inlineStr">
        <is>
          <t>Exames Laboratoriais</t>
        </is>
      </c>
      <c r="D307" s="64" t="n">
        <v>705</v>
      </c>
      <c r="E307" s="64" t="n">
        <v>341</v>
      </c>
      <c r="F307" s="64" t="n">
        <v>624</v>
      </c>
      <c r="G307" s="64" t="n">
        <v>357</v>
      </c>
      <c r="H307" s="64" t="n">
        <v>507</v>
      </c>
      <c r="I307" s="64" t="n">
        <v>807</v>
      </c>
      <c r="J307" s="64" t="n">
        <v>374</v>
      </c>
      <c r="K307" s="64" t="n">
        <v>932</v>
      </c>
      <c r="L307" s="64" t="n">
        <v>303</v>
      </c>
      <c r="M307" s="64" t="n">
        <v>607</v>
      </c>
      <c r="N307" s="64" t="n">
        <v>551</v>
      </c>
      <c r="O307" s="64" t="n">
        <v>435</v>
      </c>
      <c r="P307" s="64" t="n">
        <v>708</v>
      </c>
    </row>
    <row r="308" ht="15.75" customHeight="1" s="45">
      <c r="A308" s="61" t="n">
        <v>46258</v>
      </c>
      <c r="B308" s="82" t="inlineStr">
        <is>
          <t>Pós-Projeto</t>
        </is>
      </c>
      <c r="C308" s="83" t="inlineStr">
        <is>
          <t>Radiografias</t>
        </is>
      </c>
      <c r="D308" s="66" t="n">
        <v>32</v>
      </c>
      <c r="E308" s="66" t="n">
        <v>9</v>
      </c>
      <c r="F308" s="66" t="n">
        <v>18</v>
      </c>
      <c r="G308" s="67" t="n">
        <v>0</v>
      </c>
      <c r="H308" s="66" t="n">
        <v>21</v>
      </c>
      <c r="I308" s="66" t="n">
        <v>28</v>
      </c>
      <c r="J308" s="66" t="n">
        <v>17</v>
      </c>
      <c r="K308" s="66" t="n">
        <v>38</v>
      </c>
      <c r="L308" s="66" t="n">
        <v>24</v>
      </c>
      <c r="M308" s="66" t="n">
        <v>22</v>
      </c>
      <c r="N308" s="66" t="n">
        <v>24</v>
      </c>
      <c r="O308" s="66" t="n">
        <v>50</v>
      </c>
      <c r="P308" s="66" t="n">
        <v>34</v>
      </c>
    </row>
    <row r="309" ht="15.75" customHeight="1" s="45">
      <c r="A309" s="61" t="n">
        <v>46258</v>
      </c>
      <c r="B309" s="82" t="inlineStr">
        <is>
          <t>Pós-Projeto</t>
        </is>
      </c>
      <c r="C309" s="84" t="inlineStr">
        <is>
          <t>Eletrocardiogramas</t>
        </is>
      </c>
      <c r="D309" s="64" t="n">
        <v>19</v>
      </c>
      <c r="E309" s="67" t="n">
        <v>0</v>
      </c>
      <c r="F309" s="67" t="n">
        <v>0</v>
      </c>
      <c r="G309" s="67" t="n">
        <v>0</v>
      </c>
      <c r="H309" s="67" t="n">
        <v>0</v>
      </c>
      <c r="I309" s="67" t="n">
        <v>0</v>
      </c>
      <c r="J309" s="67" t="n">
        <v>0</v>
      </c>
      <c r="K309" s="64" t="n">
        <v>4</v>
      </c>
      <c r="L309" s="67" t="n">
        <v>0</v>
      </c>
      <c r="M309" s="64" t="n">
        <v>2</v>
      </c>
      <c r="N309" s="64" t="n">
        <v>14</v>
      </c>
      <c r="O309" s="67" t="n">
        <v>0</v>
      </c>
      <c r="P309" s="64" t="n">
        <v>3</v>
      </c>
    </row>
    <row r="310" ht="15.75" customHeight="1" s="45">
      <c r="A310" s="61" t="n">
        <v>46258</v>
      </c>
      <c r="B310" s="82" t="inlineStr">
        <is>
          <t>Pós-Projeto</t>
        </is>
      </c>
      <c r="C310" s="85" t="inlineStr">
        <is>
          <t>GAEs Abertas</t>
        </is>
      </c>
      <c r="D310" s="69" t="n">
        <v>272</v>
      </c>
      <c r="E310" s="69" t="n">
        <v>172</v>
      </c>
      <c r="F310" s="69" t="n">
        <v>186</v>
      </c>
      <c r="G310" s="69" t="n">
        <v>179</v>
      </c>
      <c r="H310" s="69" t="n">
        <v>190</v>
      </c>
      <c r="I310" s="69" t="n">
        <v>220</v>
      </c>
      <c r="J310" s="69" t="n">
        <v>149</v>
      </c>
      <c r="K310" s="69" t="n">
        <v>380</v>
      </c>
      <c r="L310" s="69" t="n">
        <v>176</v>
      </c>
      <c r="M310" s="69" t="n">
        <v>232</v>
      </c>
      <c r="N310" s="69" t="n">
        <v>243</v>
      </c>
      <c r="O310" s="69" t="n">
        <v>347</v>
      </c>
      <c r="P310" s="69" t="n">
        <v>305</v>
      </c>
    </row>
    <row r="311" ht="15.75" customHeight="1" s="45">
      <c r="A311" s="61" t="n">
        <v>46258</v>
      </c>
      <c r="B311" s="82" t="inlineStr">
        <is>
          <t>Pós-Projeto</t>
        </is>
      </c>
      <c r="C311" s="85" t="inlineStr">
        <is>
          <t>GAEs Classificadas</t>
        </is>
      </c>
      <c r="D311" s="69" t="n">
        <v>251</v>
      </c>
      <c r="E311" s="69" t="n">
        <v>166</v>
      </c>
      <c r="F311" s="69" t="n">
        <v>174</v>
      </c>
      <c r="G311" s="69" t="n">
        <v>171</v>
      </c>
      <c r="H311" s="69" t="n">
        <v>182</v>
      </c>
      <c r="I311" s="69" t="n">
        <v>197</v>
      </c>
      <c r="J311" s="69" t="n">
        <v>147</v>
      </c>
      <c r="K311" s="69" t="n">
        <v>316</v>
      </c>
      <c r="L311" s="69" t="n">
        <v>164</v>
      </c>
      <c r="M311" s="69" t="n">
        <v>217</v>
      </c>
      <c r="N311" s="69" t="n">
        <v>232</v>
      </c>
      <c r="O311" s="69" t="n">
        <v>337</v>
      </c>
      <c r="P311" s="69" t="n">
        <v>298</v>
      </c>
    </row>
    <row r="312" ht="15.75" customHeight="1" s="45">
      <c r="A312" s="61" t="n">
        <v>46258</v>
      </c>
      <c r="B312" s="82" t="inlineStr">
        <is>
          <t>Pós-Projeto</t>
        </is>
      </c>
      <c r="C312" s="86" t="inlineStr">
        <is>
          <t>Percentual de GAEs abertas classificadas</t>
        </is>
      </c>
      <c r="D312" s="71">
        <f>IFERROR(D311/D310,"-")</f>
        <v/>
      </c>
      <c r="E312" s="71">
        <f>IFERROR(E311/E310,"-")</f>
        <v/>
      </c>
      <c r="F312" s="71">
        <f>IFERROR(F311/F310,"-")</f>
        <v/>
      </c>
      <c r="G312" s="71">
        <f>IFERROR(G311/G310,"-")</f>
        <v/>
      </c>
      <c r="H312" s="71">
        <f>IFERROR(H311/H310,"-")</f>
        <v/>
      </c>
      <c r="I312" s="71">
        <f>IFERROR(I311/I310,"-")</f>
        <v/>
      </c>
      <c r="J312" s="71">
        <f>IFERROR(J311/J310,"-")</f>
        <v/>
      </c>
      <c r="K312" s="71">
        <f>IFERROR(K311/K310,"-")</f>
        <v/>
      </c>
      <c r="L312" s="71">
        <f>IFERROR(L311/L310,"-")</f>
        <v/>
      </c>
      <c r="M312" s="71">
        <f>IFERROR(M311/M310,"-")</f>
        <v/>
      </c>
      <c r="N312" s="71">
        <f>IFERROR(N311/N310,"-")</f>
        <v/>
      </c>
      <c r="O312" s="71">
        <f>IFERROR(O311/O310,"-")</f>
        <v/>
      </c>
      <c r="P312" s="71">
        <f>IFERROR(P311/P310,"-")</f>
        <v/>
      </c>
    </row>
    <row r="313" ht="15.75" customHeight="1" s="45">
      <c r="A313" s="61" t="n">
        <v>46258</v>
      </c>
      <c r="B313" s="82" t="inlineStr">
        <is>
          <t>Pós-Projeto</t>
        </is>
      </c>
      <c r="C313" s="87" t="inlineStr">
        <is>
          <t>Tempo Médio — 🟡 Amarelo (hh:mm)</t>
        </is>
      </c>
      <c r="D313" s="73" t="n">
        <v>0.08138888888888889</v>
      </c>
      <c r="E313" s="73" t="n">
        <v>0.03011574074074074</v>
      </c>
      <c r="F313" s="73" t="n">
        <v>0.04378472222222222</v>
      </c>
      <c r="G313" s="73" t="n">
        <v>0.03255787037037037</v>
      </c>
      <c r="H313" s="73" t="n">
        <v>0.06537037037037037</v>
      </c>
      <c r="I313" s="73" t="n">
        <v>0.07114583333333334</v>
      </c>
      <c r="J313" s="73" t="n">
        <v>0.07467592592592592</v>
      </c>
      <c r="K313" s="73" t="n">
        <v>0.0636111111111111</v>
      </c>
      <c r="L313" s="73" t="n">
        <v>0.1105787037037037</v>
      </c>
      <c r="M313" s="73" t="n">
        <v>0.07024305555555556</v>
      </c>
      <c r="N313" s="73" t="n">
        <v>0.05341435185185185</v>
      </c>
      <c r="O313" s="73" t="n">
        <v>0.03822916666666667</v>
      </c>
      <c r="P313" s="73" t="n">
        <v>0.05284722222222222</v>
      </c>
    </row>
    <row r="314" ht="15.75" customHeight="1" s="45">
      <c r="A314" s="61" t="n">
        <v>46258</v>
      </c>
      <c r="B314" s="82" t="inlineStr">
        <is>
          <t>Pós-Projeto</t>
        </is>
      </c>
      <c r="C314" s="88" t="inlineStr">
        <is>
          <t>Tempo Médio — 🟠 Laranja (hh:mm)</t>
        </is>
      </c>
      <c r="D314" s="75" t="n">
        <v>0.01702546296296296</v>
      </c>
      <c r="E314" s="75" t="n">
        <v>0.008888888888888889</v>
      </c>
      <c r="F314" s="75" t="n">
        <v>0.004814814814814815</v>
      </c>
      <c r="G314" s="75" t="n">
        <v>0.00400462962962963</v>
      </c>
      <c r="H314" s="75" t="n">
        <v>0.007199074074074074</v>
      </c>
      <c r="I314" s="75" t="n">
        <v>0.005208333333333333</v>
      </c>
      <c r="J314" s="75" t="n">
        <v>0.01226851851851852</v>
      </c>
      <c r="K314" s="75" t="n">
        <v>0.02265046296296296</v>
      </c>
      <c r="L314" s="75" t="n">
        <v>0.01796296296296296</v>
      </c>
      <c r="M314" s="75" t="n">
        <v>0.0128587962962963</v>
      </c>
      <c r="N314" s="75" t="n">
        <v>0.009409722222222222</v>
      </c>
      <c r="O314" s="75" t="n">
        <v>0.00982638888888889</v>
      </c>
      <c r="P314" s="75" t="n">
        <v>0.008553240740740741</v>
      </c>
    </row>
    <row r="315" ht="15.75" customHeight="1" s="45">
      <c r="A315" s="76" t="n">
        <v>46258</v>
      </c>
      <c r="B315" s="82" t="inlineStr">
        <is>
          <t>Pós-Projeto</t>
        </is>
      </c>
      <c r="C315" s="91" t="inlineStr">
        <is>
          <t>Tempo Médio — 🟢 Verde   (hh:mm)</t>
        </is>
      </c>
      <c r="D315" s="79" t="n">
        <v>0.07331018518518519</v>
      </c>
      <c r="E315" s="79" t="n">
        <v>0.09767361111111111</v>
      </c>
      <c r="F315" s="79" t="n">
        <v>0.1673148148148148</v>
      </c>
      <c r="G315" s="79" t="n">
        <v>0.07232638888888888</v>
      </c>
      <c r="H315" s="79" t="n">
        <v>0.1241087962962963</v>
      </c>
      <c r="I315" s="79" t="n">
        <v>0.135625</v>
      </c>
      <c r="J315" s="79" t="n">
        <v>0.08763888888888889</v>
      </c>
      <c r="K315" s="79" t="n">
        <v>0.07030092592592592</v>
      </c>
      <c r="L315" s="79" t="n">
        <v>0.1039583333333333</v>
      </c>
      <c r="M315" s="79" t="n">
        <v>0.1005555555555556</v>
      </c>
      <c r="N315" s="79" t="n">
        <v>0.05842592592592592</v>
      </c>
      <c r="O315" s="79" t="n">
        <v>0.07394675925925925</v>
      </c>
      <c r="P315" s="79" t="n">
        <v>0.06467592592592593</v>
      </c>
    </row>
    <row r="316" ht="15.75" customHeight="1" s="45">
      <c r="A316" s="57" t="n">
        <v>46259</v>
      </c>
      <c r="B316" s="81" t="inlineStr">
        <is>
          <t>Pós-Projeto</t>
        </is>
      </c>
      <c r="C316" s="59" t="inlineStr">
        <is>
          <t>Acolhim. + Atend. Urgência + Atend. UPA</t>
        </is>
      </c>
      <c r="D316" s="60">
        <f>SUM(D317:D319)</f>
        <v/>
      </c>
      <c r="E316" s="60">
        <f>SUM(E317:E319)</f>
        <v/>
      </c>
      <c r="F316" s="60">
        <f>SUM(F317:F319)</f>
        <v/>
      </c>
      <c r="G316" s="60">
        <f>SUM(G317:G319)</f>
        <v/>
      </c>
      <c r="H316" s="60">
        <f>SUM(H317:H319)</f>
        <v/>
      </c>
      <c r="I316" s="60">
        <f>SUM(I317:I319)</f>
        <v/>
      </c>
      <c r="J316" s="60">
        <f>SUM(J317:J319)</f>
        <v/>
      </c>
      <c r="K316" s="60">
        <f>SUM(K317:K319)</f>
        <v/>
      </c>
      <c r="L316" s="60">
        <f>SUM(L317:L319)</f>
        <v/>
      </c>
      <c r="M316" s="60">
        <f>SUM(M317:M319)</f>
        <v/>
      </c>
      <c r="N316" s="60">
        <f>SUM(N317:N319)</f>
        <v/>
      </c>
      <c r="O316" s="60">
        <f>SUM(O317:O319)</f>
        <v/>
      </c>
      <c r="P316" s="60">
        <f>SUM(P317:P319)</f>
        <v/>
      </c>
    </row>
    <row r="317" ht="15.75" customHeight="1" s="45">
      <c r="A317" s="61" t="n">
        <v>46259</v>
      </c>
      <c r="B317" s="82" t="inlineStr">
        <is>
          <t>Pós-Projeto</t>
        </is>
      </c>
      <c r="C317" s="83" t="inlineStr">
        <is>
          <t>Acolhimento c/ Classif. de Risco</t>
        </is>
      </c>
      <c r="D317" s="64" t="n">
        <v>233</v>
      </c>
      <c r="E317" s="64" t="n">
        <v>185</v>
      </c>
      <c r="F317" s="64" t="n">
        <v>174</v>
      </c>
      <c r="G317" s="64" t="n">
        <v>157</v>
      </c>
      <c r="H317" s="64" t="n">
        <v>172</v>
      </c>
      <c r="I317" s="64" t="n">
        <v>216</v>
      </c>
      <c r="J317" s="64" t="n">
        <v>157</v>
      </c>
      <c r="K317" s="64" t="n">
        <v>307</v>
      </c>
      <c r="L317" s="64" t="n">
        <v>150</v>
      </c>
      <c r="M317" s="64" t="n">
        <v>256</v>
      </c>
      <c r="N317" s="64" t="n">
        <v>217</v>
      </c>
      <c r="O317" s="64" t="n">
        <v>318</v>
      </c>
      <c r="P317" s="64" t="n">
        <v>302</v>
      </c>
    </row>
    <row r="318" ht="15.75" customHeight="1" s="45">
      <c r="A318" s="61" t="n">
        <v>46259</v>
      </c>
      <c r="B318" s="82" t="inlineStr">
        <is>
          <t>Pós-Projeto</t>
        </is>
      </c>
      <c r="C318" s="84" t="inlineStr">
        <is>
          <t>Atend. Urgência Obs. ≤ 24h</t>
        </is>
      </c>
      <c r="D318" s="66" t="n">
        <v>40</v>
      </c>
      <c r="E318" s="66" t="n">
        <v>19</v>
      </c>
      <c r="F318" s="66" t="n">
        <v>21</v>
      </c>
      <c r="G318" s="66" t="n">
        <v>30</v>
      </c>
      <c r="H318" s="66" t="n">
        <v>14</v>
      </c>
      <c r="I318" s="66" t="n">
        <v>17</v>
      </c>
      <c r="J318" s="66" t="n">
        <v>8</v>
      </c>
      <c r="K318" s="66" t="n">
        <v>39</v>
      </c>
      <c r="L318" s="66" t="n">
        <v>43</v>
      </c>
      <c r="M318" s="66" t="n">
        <v>73</v>
      </c>
      <c r="N318" s="66" t="n">
        <v>44</v>
      </c>
      <c r="O318" s="66" t="n">
        <v>9</v>
      </c>
      <c r="P318" s="66" t="n">
        <v>35</v>
      </c>
    </row>
    <row r="319" ht="15.75" customHeight="1" s="45">
      <c r="A319" s="61" t="n">
        <v>46259</v>
      </c>
      <c r="B319" s="82" t="inlineStr">
        <is>
          <t>Pós-Projeto</t>
        </is>
      </c>
      <c r="C319" s="83" t="inlineStr">
        <is>
          <t>Atend. Médico em UPA</t>
        </is>
      </c>
      <c r="D319" s="64" t="n">
        <v>170</v>
      </c>
      <c r="E319" s="64" t="n">
        <v>134</v>
      </c>
      <c r="F319" s="64" t="n">
        <v>131</v>
      </c>
      <c r="G319" s="64" t="n">
        <v>92</v>
      </c>
      <c r="H319" s="64" t="n">
        <v>119</v>
      </c>
      <c r="I319" s="64" t="n">
        <v>148</v>
      </c>
      <c r="J319" s="64" t="n">
        <v>147</v>
      </c>
      <c r="K319" s="64" t="n">
        <v>236</v>
      </c>
      <c r="L319" s="64" t="n">
        <v>120</v>
      </c>
      <c r="M319" s="64" t="n">
        <v>192</v>
      </c>
      <c r="N319" s="64" t="n">
        <v>160</v>
      </c>
      <c r="O319" s="64" t="n">
        <v>193</v>
      </c>
      <c r="P319" s="64" t="n">
        <v>187</v>
      </c>
    </row>
    <row r="320" ht="15.75" customHeight="1" s="45">
      <c r="A320" s="61" t="n">
        <v>46259</v>
      </c>
      <c r="B320" s="82" t="inlineStr">
        <is>
          <t>Pós-Projeto</t>
        </is>
      </c>
      <c r="C320" s="84" t="inlineStr">
        <is>
          <t>Exames Laboratoriais</t>
        </is>
      </c>
      <c r="D320" s="66" t="n">
        <v>480</v>
      </c>
      <c r="E320" s="66" t="n">
        <v>490</v>
      </c>
      <c r="F320" s="66" t="n">
        <v>516</v>
      </c>
      <c r="G320" s="66" t="n">
        <v>145</v>
      </c>
      <c r="H320" s="66" t="n">
        <v>317</v>
      </c>
      <c r="I320" s="66" t="n">
        <v>602</v>
      </c>
      <c r="J320" s="66" t="n">
        <v>456</v>
      </c>
      <c r="K320" s="66" t="n">
        <v>860</v>
      </c>
      <c r="L320" s="66" t="n">
        <v>575</v>
      </c>
      <c r="M320" s="66" t="n">
        <v>455</v>
      </c>
      <c r="N320" s="66" t="n">
        <v>630</v>
      </c>
      <c r="O320" s="66" t="n">
        <v>409</v>
      </c>
      <c r="P320" s="66" t="n">
        <v>276</v>
      </c>
    </row>
    <row r="321" ht="15.75" customHeight="1" s="45">
      <c r="A321" s="61" t="n">
        <v>46259</v>
      </c>
      <c r="B321" s="82" t="inlineStr">
        <is>
          <t>Pós-Projeto</t>
        </is>
      </c>
      <c r="C321" s="83" t="inlineStr">
        <is>
          <t>Radiografias</t>
        </is>
      </c>
      <c r="D321" s="64" t="n">
        <v>4</v>
      </c>
      <c r="E321" s="64" t="n">
        <v>18</v>
      </c>
      <c r="F321" s="64" t="n">
        <v>32</v>
      </c>
      <c r="G321" s="67" t="n">
        <v>0</v>
      </c>
      <c r="H321" s="64" t="n">
        <v>26</v>
      </c>
      <c r="I321" s="64" t="n">
        <v>16</v>
      </c>
      <c r="J321" s="64" t="n">
        <v>31</v>
      </c>
      <c r="K321" s="64" t="n">
        <v>48</v>
      </c>
      <c r="L321" s="64" t="n">
        <v>19</v>
      </c>
      <c r="M321" s="64" t="n">
        <v>45</v>
      </c>
      <c r="N321" s="64" t="n">
        <v>30</v>
      </c>
      <c r="O321" s="64" t="n">
        <v>46</v>
      </c>
      <c r="P321" s="64" t="n">
        <v>54</v>
      </c>
    </row>
    <row r="322" ht="15.75" customHeight="1" s="45">
      <c r="A322" s="61" t="n">
        <v>46259</v>
      </c>
      <c r="B322" s="82" t="inlineStr">
        <is>
          <t>Pós-Projeto</t>
        </is>
      </c>
      <c r="C322" s="84" t="inlineStr">
        <is>
          <t>Eletrocardiogramas</t>
        </is>
      </c>
      <c r="D322" s="66" t="n">
        <v>2</v>
      </c>
      <c r="E322" s="67" t="n">
        <v>0</v>
      </c>
      <c r="F322" s="67" t="n">
        <v>0</v>
      </c>
      <c r="G322" s="66" t="n">
        <v>1</v>
      </c>
      <c r="H322" s="67" t="n">
        <v>0</v>
      </c>
      <c r="I322" s="67" t="n">
        <v>0</v>
      </c>
      <c r="J322" s="67" t="n">
        <v>0</v>
      </c>
      <c r="K322" s="66" t="n">
        <v>4</v>
      </c>
      <c r="L322" s="67" t="n">
        <v>0</v>
      </c>
      <c r="M322" s="67" t="n">
        <v>0</v>
      </c>
      <c r="N322" s="66" t="n">
        <v>23</v>
      </c>
      <c r="O322" s="67" t="n">
        <v>0</v>
      </c>
      <c r="P322" s="66" t="n">
        <v>8</v>
      </c>
    </row>
    <row r="323" ht="15.75" customHeight="1" s="45">
      <c r="A323" s="61" t="n">
        <v>46259</v>
      </c>
      <c r="B323" s="82" t="inlineStr">
        <is>
          <t>Pós-Projeto</t>
        </is>
      </c>
      <c r="C323" s="85" t="inlineStr">
        <is>
          <t>GAEs Abertas</t>
        </is>
      </c>
      <c r="D323" s="69" t="n">
        <v>246</v>
      </c>
      <c r="E323" s="69" t="n">
        <v>194</v>
      </c>
      <c r="F323" s="69" t="n">
        <v>183</v>
      </c>
      <c r="G323" s="69" t="n">
        <v>160</v>
      </c>
      <c r="H323" s="69" t="n">
        <v>184</v>
      </c>
      <c r="I323" s="69" t="n">
        <v>221</v>
      </c>
      <c r="J323" s="69" t="n">
        <v>161</v>
      </c>
      <c r="K323" s="69" t="n">
        <v>331</v>
      </c>
      <c r="L323" s="69" t="n">
        <v>157</v>
      </c>
      <c r="M323" s="69" t="n">
        <v>272</v>
      </c>
      <c r="N323" s="69" t="n">
        <v>232</v>
      </c>
      <c r="O323" s="69" t="n">
        <v>324</v>
      </c>
      <c r="P323" s="69" t="n">
        <v>312</v>
      </c>
    </row>
    <row r="324" ht="15.75" customHeight="1" s="45">
      <c r="A324" s="61" t="n">
        <v>46259</v>
      </c>
      <c r="B324" s="82" t="inlineStr">
        <is>
          <t>Pós-Projeto</t>
        </is>
      </c>
      <c r="C324" s="85" t="inlineStr">
        <is>
          <t>GAEs Classificadas</t>
        </is>
      </c>
      <c r="D324" s="69" t="n">
        <v>234</v>
      </c>
      <c r="E324" s="69" t="n">
        <v>188</v>
      </c>
      <c r="F324" s="69" t="n">
        <v>174</v>
      </c>
      <c r="G324" s="69" t="n">
        <v>156</v>
      </c>
      <c r="H324" s="69" t="n">
        <v>170</v>
      </c>
      <c r="I324" s="69" t="n">
        <v>218</v>
      </c>
      <c r="J324" s="69" t="n">
        <v>157</v>
      </c>
      <c r="K324" s="69" t="n">
        <v>304</v>
      </c>
      <c r="L324" s="69" t="n">
        <v>150</v>
      </c>
      <c r="M324" s="69" t="n">
        <v>257</v>
      </c>
      <c r="N324" s="69" t="n">
        <v>217</v>
      </c>
      <c r="O324" s="69" t="n">
        <v>320</v>
      </c>
      <c r="P324" s="69" t="n">
        <v>301</v>
      </c>
    </row>
    <row r="325" ht="15.75" customHeight="1" s="45">
      <c r="A325" s="61" t="n">
        <v>46259</v>
      </c>
      <c r="B325" s="82" t="inlineStr">
        <is>
          <t>Pós-Projeto</t>
        </is>
      </c>
      <c r="C325" s="86" t="inlineStr">
        <is>
          <t>Percentual de GAEs abertas classificadas</t>
        </is>
      </c>
      <c r="D325" s="71">
        <f>IFERROR(D324/D323,"-")</f>
        <v/>
      </c>
      <c r="E325" s="71">
        <f>IFERROR(E324/E323,"-")</f>
        <v/>
      </c>
      <c r="F325" s="71">
        <f>IFERROR(F324/F323,"-")</f>
        <v/>
      </c>
      <c r="G325" s="71">
        <f>IFERROR(G324/G323,"-")</f>
        <v/>
      </c>
      <c r="H325" s="71">
        <f>IFERROR(H324/H323,"-")</f>
        <v/>
      </c>
      <c r="I325" s="71">
        <f>IFERROR(I324/I323,"-")</f>
        <v/>
      </c>
      <c r="J325" s="71">
        <f>IFERROR(J324/J323,"-")</f>
        <v/>
      </c>
      <c r="K325" s="71">
        <f>IFERROR(K324/K323,"-")</f>
        <v/>
      </c>
      <c r="L325" s="71">
        <f>IFERROR(L324/L323,"-")</f>
        <v/>
      </c>
      <c r="M325" s="71">
        <f>IFERROR(M324/M323,"-")</f>
        <v/>
      </c>
      <c r="N325" s="71">
        <f>IFERROR(N324/N323,"-")</f>
        <v/>
      </c>
      <c r="O325" s="71">
        <f>IFERROR(O324/O323,"-")</f>
        <v/>
      </c>
      <c r="P325" s="71">
        <f>IFERROR(P324/P323,"-")</f>
        <v/>
      </c>
    </row>
    <row r="326" ht="15.75" customHeight="1" s="45">
      <c r="A326" s="61" t="n">
        <v>46259</v>
      </c>
      <c r="B326" s="82" t="inlineStr">
        <is>
          <t>Pós-Projeto</t>
        </is>
      </c>
      <c r="C326" s="87" t="inlineStr">
        <is>
          <t>Tempo Médio — 🟡 Amarelo (hh:mm)</t>
        </is>
      </c>
      <c r="D326" s="73" t="n">
        <v>0.06708333333333333</v>
      </c>
      <c r="E326" s="73" t="n">
        <v>0.03799768518518518</v>
      </c>
      <c r="F326" s="73" t="n">
        <v>0.03740740740740741</v>
      </c>
      <c r="G326" s="73" t="n">
        <v>0.04</v>
      </c>
      <c r="H326" s="73" t="n">
        <v>0.05634259259259259</v>
      </c>
      <c r="I326" s="73" t="n">
        <v>0.03519675925925926</v>
      </c>
      <c r="J326" s="73" t="n">
        <v>0.04528935185185185</v>
      </c>
      <c r="K326" s="73" t="n">
        <v>0.1016319444444444</v>
      </c>
      <c r="L326" s="73" t="n">
        <v>0.1379282407407408</v>
      </c>
      <c r="M326" s="73" t="n">
        <v>0.05087962962962963</v>
      </c>
      <c r="N326" s="73" t="n">
        <v>0.1312384259259259</v>
      </c>
      <c r="O326" s="73" t="n">
        <v>0.04540509259259259</v>
      </c>
      <c r="P326" s="73" t="n">
        <v>0.04428240740740741</v>
      </c>
    </row>
    <row r="327" ht="15.75" customHeight="1" s="45">
      <c r="A327" s="61" t="n">
        <v>46259</v>
      </c>
      <c r="B327" s="82" t="inlineStr">
        <is>
          <t>Pós-Projeto</t>
        </is>
      </c>
      <c r="C327" s="88" t="inlineStr">
        <is>
          <t>Tempo Médio — 🟠 Laranja (hh:mm)</t>
        </is>
      </c>
      <c r="D327" s="75" t="n">
        <v>0.007326388888888889</v>
      </c>
      <c r="E327" s="75" t="n">
        <v>0.009050925925925926</v>
      </c>
      <c r="F327" s="75" t="n">
        <v>0.008356481481481482</v>
      </c>
      <c r="G327" s="75" t="n">
        <v>0.005798611111111111</v>
      </c>
      <c r="H327" s="75" t="n">
        <v>0.006539351851851852</v>
      </c>
      <c r="I327" s="75" t="n">
        <v>0.004814814814814815</v>
      </c>
      <c r="J327" s="75" t="n">
        <v>0.005902777777777778</v>
      </c>
      <c r="K327" s="75" t="n">
        <v>0.02078703703703704</v>
      </c>
      <c r="L327" s="75" t="n">
        <v>0.02451388888888889</v>
      </c>
      <c r="M327" s="75" t="n">
        <v>0.008993055555555556</v>
      </c>
      <c r="N327" s="75" t="n">
        <v>0.02416666666666667</v>
      </c>
      <c r="O327" s="75" t="n">
        <v>0.01121527777777778</v>
      </c>
      <c r="P327" s="75" t="n">
        <v>0.00917824074074074</v>
      </c>
    </row>
    <row r="328" ht="15.75" customHeight="1" s="45">
      <c r="A328" s="76" t="n">
        <v>46259</v>
      </c>
      <c r="B328" s="82" t="inlineStr">
        <is>
          <t>Pós-Projeto</t>
        </is>
      </c>
      <c r="C328" s="91" t="inlineStr">
        <is>
          <t>Tempo Médio — 🟢 Verde   (hh:mm)</t>
        </is>
      </c>
      <c r="D328" s="79" t="n">
        <v>0.09947916666666666</v>
      </c>
      <c r="E328" s="79" t="n">
        <v>0.07636574074074073</v>
      </c>
      <c r="F328" s="79" t="n">
        <v>0.1067361111111111</v>
      </c>
      <c r="G328" s="79" t="n">
        <v>0.1389351851851852</v>
      </c>
      <c r="H328" s="79" t="n">
        <v>0.1248263888888889</v>
      </c>
      <c r="I328" s="79" t="n">
        <v>0.1100462962962963</v>
      </c>
      <c r="J328" s="79" t="n">
        <v>0.06604166666666667</v>
      </c>
      <c r="K328" s="79" t="n">
        <v>0.08396990740740741</v>
      </c>
      <c r="L328" s="79" t="n">
        <v>0.1540046296296296</v>
      </c>
      <c r="M328" s="79" t="n">
        <v>0.09048611111111111</v>
      </c>
      <c r="N328" s="79" t="n">
        <v>0.1359375</v>
      </c>
      <c r="O328" s="79" t="n">
        <v>0.1027083333333333</v>
      </c>
      <c r="P328" s="79" t="n">
        <v>0.06626157407407407</v>
      </c>
    </row>
    <row r="329" ht="15.75" customHeight="1" s="45">
      <c r="A329" s="57" t="n">
        <v>46260</v>
      </c>
      <c r="B329" s="81" t="inlineStr">
        <is>
          <t>Pós-Projeto</t>
        </is>
      </c>
      <c r="C329" s="59" t="inlineStr">
        <is>
          <t>Acolhim. + Atend. Urgência + Atend. UPA</t>
        </is>
      </c>
      <c r="D329" s="60">
        <f>SUM(D330:D332)</f>
        <v/>
      </c>
      <c r="E329" s="60">
        <f>SUM(E330:E332)</f>
        <v/>
      </c>
      <c r="F329" s="60">
        <f>SUM(F330:F332)</f>
        <v/>
      </c>
      <c r="G329" s="60">
        <f>SUM(G330:G332)</f>
        <v/>
      </c>
      <c r="H329" s="60">
        <f>SUM(H330:H332)</f>
        <v/>
      </c>
      <c r="I329" s="60">
        <f>SUM(I330:I332)</f>
        <v/>
      </c>
      <c r="J329" s="60">
        <f>SUM(J330:J332)</f>
        <v/>
      </c>
      <c r="K329" s="60">
        <f>SUM(K330:K332)</f>
        <v/>
      </c>
      <c r="L329" s="60">
        <f>SUM(L330:L332)</f>
        <v/>
      </c>
      <c r="M329" s="60">
        <f>SUM(M330:M332)</f>
        <v/>
      </c>
      <c r="N329" s="60">
        <f>SUM(N330:N332)</f>
        <v/>
      </c>
      <c r="O329" s="60">
        <f>SUM(O330:O332)</f>
        <v/>
      </c>
      <c r="P329" s="60">
        <f>SUM(P330:P332)</f>
        <v/>
      </c>
    </row>
    <row r="330" ht="15.75" customHeight="1" s="45">
      <c r="A330" s="61" t="n">
        <v>46260</v>
      </c>
      <c r="B330" s="82" t="inlineStr">
        <is>
          <t>Pós-Projeto</t>
        </is>
      </c>
      <c r="C330" s="83" t="inlineStr">
        <is>
          <t>Acolhimento c/ Classif. de Risco</t>
        </is>
      </c>
      <c r="D330" s="66" t="n">
        <v>204</v>
      </c>
      <c r="E330" s="66" t="n">
        <v>198</v>
      </c>
      <c r="F330" s="66" t="n">
        <v>165</v>
      </c>
      <c r="G330" s="66" t="n">
        <v>170</v>
      </c>
      <c r="H330" s="66" t="n">
        <v>173</v>
      </c>
      <c r="I330" s="66" t="n">
        <v>213</v>
      </c>
      <c r="J330" s="66" t="n">
        <v>142</v>
      </c>
      <c r="K330" s="66" t="n">
        <v>305</v>
      </c>
      <c r="L330" s="66" t="n">
        <v>141</v>
      </c>
      <c r="M330" s="66" t="n">
        <v>243</v>
      </c>
      <c r="N330" s="66" t="n">
        <v>230</v>
      </c>
      <c r="O330" s="66" t="n">
        <v>275</v>
      </c>
      <c r="P330" s="66" t="n">
        <v>297</v>
      </c>
    </row>
    <row r="331" ht="15.75" customHeight="1" s="45">
      <c r="A331" s="61" t="n">
        <v>46260</v>
      </c>
      <c r="B331" s="82" t="inlineStr">
        <is>
          <t>Pós-Projeto</t>
        </is>
      </c>
      <c r="C331" s="84" t="inlineStr">
        <is>
          <t>Atend. Urgência Obs. ≤ 24h</t>
        </is>
      </c>
      <c r="D331" s="64" t="n">
        <v>35</v>
      </c>
      <c r="E331" s="64" t="n">
        <v>10</v>
      </c>
      <c r="F331" s="64" t="n">
        <v>24</v>
      </c>
      <c r="G331" s="64" t="n">
        <v>30</v>
      </c>
      <c r="H331" s="64" t="n">
        <v>13</v>
      </c>
      <c r="I331" s="64" t="n">
        <v>25</v>
      </c>
      <c r="J331" s="64" t="n">
        <v>10</v>
      </c>
      <c r="K331" s="64" t="n">
        <v>44</v>
      </c>
      <c r="L331" s="64" t="n">
        <v>54</v>
      </c>
      <c r="M331" s="64" t="n">
        <v>49</v>
      </c>
      <c r="N331" s="64" t="n">
        <v>79</v>
      </c>
      <c r="O331" s="64" t="n">
        <v>28</v>
      </c>
      <c r="P331" s="64" t="n">
        <v>18</v>
      </c>
    </row>
    <row r="332" ht="15.75" customHeight="1" s="45">
      <c r="A332" s="61" t="n">
        <v>46260</v>
      </c>
      <c r="B332" s="82" t="inlineStr">
        <is>
          <t>Pós-Projeto</t>
        </is>
      </c>
      <c r="C332" s="83" t="inlineStr">
        <is>
          <t>Atend. Médico em UPA</t>
        </is>
      </c>
      <c r="D332" s="66" t="n">
        <v>117</v>
      </c>
      <c r="E332" s="66" t="n">
        <v>142</v>
      </c>
      <c r="F332" s="66" t="n">
        <v>99</v>
      </c>
      <c r="G332" s="66" t="n">
        <v>134</v>
      </c>
      <c r="H332" s="66" t="n">
        <v>65</v>
      </c>
      <c r="I332" s="66" t="n">
        <v>176</v>
      </c>
      <c r="J332" s="66" t="n">
        <v>112</v>
      </c>
      <c r="K332" s="66" t="n">
        <v>253</v>
      </c>
      <c r="L332" s="66" t="n">
        <v>87</v>
      </c>
      <c r="M332" s="66" t="n">
        <v>168</v>
      </c>
      <c r="N332" s="66" t="n">
        <v>210</v>
      </c>
      <c r="O332" s="66" t="n">
        <v>219</v>
      </c>
      <c r="P332" s="66" t="n">
        <v>189</v>
      </c>
    </row>
    <row r="333" ht="15.75" customHeight="1" s="45">
      <c r="A333" s="61" t="n">
        <v>46260</v>
      </c>
      <c r="B333" s="82" t="inlineStr">
        <is>
          <t>Pós-Projeto</t>
        </is>
      </c>
      <c r="C333" s="84" t="inlineStr">
        <is>
          <t>Exames Laboratoriais</t>
        </is>
      </c>
      <c r="D333" s="64" t="n">
        <v>636</v>
      </c>
      <c r="E333" s="64" t="n">
        <v>454</v>
      </c>
      <c r="F333" s="64" t="n">
        <v>598</v>
      </c>
      <c r="G333" s="64" t="n">
        <v>463</v>
      </c>
      <c r="H333" s="64" t="n">
        <v>554</v>
      </c>
      <c r="I333" s="64" t="n">
        <v>738</v>
      </c>
      <c r="J333" s="64" t="n">
        <v>512</v>
      </c>
      <c r="K333" s="64" t="n">
        <v>1028</v>
      </c>
      <c r="L333" s="64" t="n">
        <v>642</v>
      </c>
      <c r="M333" s="64" t="n">
        <v>660</v>
      </c>
      <c r="N333" s="64" t="n">
        <v>953</v>
      </c>
      <c r="O333" s="64" t="n">
        <v>434</v>
      </c>
      <c r="P333" s="64" t="n">
        <v>789</v>
      </c>
    </row>
    <row r="334" ht="15.75" customHeight="1" s="45">
      <c r="A334" s="61" t="n">
        <v>46260</v>
      </c>
      <c r="B334" s="82" t="inlineStr">
        <is>
          <t>Pós-Projeto</t>
        </is>
      </c>
      <c r="C334" s="83" t="inlineStr">
        <is>
          <t>Radiografias</t>
        </is>
      </c>
      <c r="D334" s="66" t="n">
        <v>1</v>
      </c>
      <c r="E334" s="66" t="n">
        <v>29</v>
      </c>
      <c r="F334" s="66" t="n">
        <v>22</v>
      </c>
      <c r="G334" s="67" t="n">
        <v>0</v>
      </c>
      <c r="H334" s="66" t="n">
        <v>12</v>
      </c>
      <c r="I334" s="66" t="n">
        <v>33</v>
      </c>
      <c r="J334" s="66" t="n">
        <v>13</v>
      </c>
      <c r="K334" s="66" t="n">
        <v>55</v>
      </c>
      <c r="L334" s="66" t="n">
        <v>16</v>
      </c>
      <c r="M334" s="66" t="n">
        <v>40</v>
      </c>
      <c r="N334" s="66" t="n">
        <v>39</v>
      </c>
      <c r="O334" s="66" t="n">
        <v>55</v>
      </c>
      <c r="P334" s="66" t="n">
        <v>41</v>
      </c>
    </row>
    <row r="335" ht="15.75" customHeight="1" s="45">
      <c r="A335" s="61" t="n">
        <v>46260</v>
      </c>
      <c r="B335" s="82" t="inlineStr">
        <is>
          <t>Pós-Projeto</t>
        </is>
      </c>
      <c r="C335" s="84" t="inlineStr">
        <is>
          <t>Eletrocardiogramas</t>
        </is>
      </c>
      <c r="D335" s="67" t="n">
        <v>0</v>
      </c>
      <c r="E335" s="64" t="n">
        <v>6</v>
      </c>
      <c r="F335" s="67" t="n">
        <v>0</v>
      </c>
      <c r="G335" s="64" t="n">
        <v>4</v>
      </c>
      <c r="H335" s="67" t="n">
        <v>0</v>
      </c>
      <c r="I335" s="67" t="n">
        <v>0</v>
      </c>
      <c r="J335" s="67" t="n">
        <v>0</v>
      </c>
      <c r="K335" s="67" t="n">
        <v>0</v>
      </c>
      <c r="L335" s="67" t="n">
        <v>0</v>
      </c>
      <c r="M335" s="67" t="n">
        <v>0</v>
      </c>
      <c r="N335" s="64" t="n">
        <v>17</v>
      </c>
      <c r="O335" s="67" t="n">
        <v>0</v>
      </c>
      <c r="P335" s="64" t="n">
        <v>4</v>
      </c>
    </row>
    <row r="336" ht="15.75" customHeight="1" s="45">
      <c r="A336" s="61" t="n">
        <v>46260</v>
      </c>
      <c r="B336" s="82" t="inlineStr">
        <is>
          <t>Pós-Projeto</t>
        </is>
      </c>
      <c r="C336" s="85" t="inlineStr">
        <is>
          <t>GAEs Abertas</t>
        </is>
      </c>
      <c r="D336" s="69" t="n">
        <v>257</v>
      </c>
      <c r="E336" s="69" t="n">
        <v>210</v>
      </c>
      <c r="F336" s="69" t="n">
        <v>171</v>
      </c>
      <c r="G336" s="69" t="n">
        <v>176</v>
      </c>
      <c r="H336" s="69" t="n">
        <v>185</v>
      </c>
      <c r="I336" s="69" t="n">
        <v>221</v>
      </c>
      <c r="J336" s="69" t="n">
        <v>145</v>
      </c>
      <c r="K336" s="69" t="n">
        <v>356</v>
      </c>
      <c r="L336" s="69" t="n">
        <v>152</v>
      </c>
      <c r="M336" s="69" t="n">
        <v>251</v>
      </c>
      <c r="N336" s="69" t="n">
        <v>247</v>
      </c>
      <c r="O336" s="69" t="n">
        <v>281</v>
      </c>
      <c r="P336" s="69" t="n">
        <v>307</v>
      </c>
    </row>
    <row r="337" ht="15.75" customHeight="1" s="45">
      <c r="A337" s="61" t="n">
        <v>46260</v>
      </c>
      <c r="B337" s="82" t="inlineStr">
        <is>
          <t>Pós-Projeto</t>
        </is>
      </c>
      <c r="C337" s="85" t="inlineStr">
        <is>
          <t>GAEs Classificadas</t>
        </is>
      </c>
      <c r="D337" s="69" t="n">
        <v>204</v>
      </c>
      <c r="E337" s="69" t="n">
        <v>197</v>
      </c>
      <c r="F337" s="69" t="n">
        <v>165</v>
      </c>
      <c r="G337" s="69" t="n">
        <v>170</v>
      </c>
      <c r="H337" s="69" t="n">
        <v>177</v>
      </c>
      <c r="I337" s="69" t="n">
        <v>210</v>
      </c>
      <c r="J337" s="69" t="n">
        <v>143</v>
      </c>
      <c r="K337" s="69" t="n">
        <v>304</v>
      </c>
      <c r="L337" s="69" t="n">
        <v>142</v>
      </c>
      <c r="M337" s="69" t="n">
        <v>245</v>
      </c>
      <c r="N337" s="69" t="n">
        <v>232</v>
      </c>
      <c r="O337" s="69" t="n">
        <v>276</v>
      </c>
      <c r="P337" s="69" t="n">
        <v>297</v>
      </c>
    </row>
    <row r="338" ht="15.75" customHeight="1" s="45">
      <c r="A338" s="61" t="n">
        <v>46260</v>
      </c>
      <c r="B338" s="82" t="inlineStr">
        <is>
          <t>Pós-Projeto</t>
        </is>
      </c>
      <c r="C338" s="86" t="inlineStr">
        <is>
          <t>Percentual de GAEs abertas classificadas</t>
        </is>
      </c>
      <c r="D338" s="71">
        <f>IFERROR(D337/D336,"-")</f>
        <v/>
      </c>
      <c r="E338" s="71">
        <f>IFERROR(E337/E336,"-")</f>
        <v/>
      </c>
      <c r="F338" s="71">
        <f>IFERROR(F337/F336,"-")</f>
        <v/>
      </c>
      <c r="G338" s="71">
        <f>IFERROR(G337/G336,"-")</f>
        <v/>
      </c>
      <c r="H338" s="71">
        <f>IFERROR(H337/H336,"-")</f>
        <v/>
      </c>
      <c r="I338" s="71">
        <f>IFERROR(I337/I336,"-")</f>
        <v/>
      </c>
      <c r="J338" s="71">
        <f>IFERROR(J337/J336,"-")</f>
        <v/>
      </c>
      <c r="K338" s="71">
        <f>IFERROR(K337/K336,"-")</f>
        <v/>
      </c>
      <c r="L338" s="71">
        <f>IFERROR(L337/L336,"-")</f>
        <v/>
      </c>
      <c r="M338" s="71">
        <f>IFERROR(M337/M336,"-")</f>
        <v/>
      </c>
      <c r="N338" s="71">
        <f>IFERROR(N337/N336,"-")</f>
        <v/>
      </c>
      <c r="O338" s="71">
        <f>IFERROR(O337/O336,"-")</f>
        <v/>
      </c>
      <c r="P338" s="71">
        <f>IFERROR(P337/P336,"-")</f>
        <v/>
      </c>
    </row>
    <row r="339" ht="15.75" customHeight="1" s="45">
      <c r="A339" s="61" t="n">
        <v>46260</v>
      </c>
      <c r="B339" s="82" t="inlineStr">
        <is>
          <t>Pós-Projeto</t>
        </is>
      </c>
      <c r="C339" s="87" t="inlineStr">
        <is>
          <t>Tempo Médio — 🟡 Amarelo (hh:mm)</t>
        </is>
      </c>
      <c r="D339" s="73" t="n">
        <v>0.1100115740740741</v>
      </c>
      <c r="E339" s="73" t="n">
        <v>0.04001157407407407</v>
      </c>
      <c r="F339" s="73" t="n">
        <v>0.0386574074074074</v>
      </c>
      <c r="G339" s="73" t="n">
        <v>0.02421296296296296</v>
      </c>
      <c r="H339" s="73" t="n">
        <v>0.07319444444444445</v>
      </c>
      <c r="I339" s="73" t="n">
        <v>0.07391203703703704</v>
      </c>
      <c r="J339" s="73" t="n">
        <v>0.09377314814814815</v>
      </c>
      <c r="K339" s="73" t="n">
        <v>0.07349537037037036</v>
      </c>
      <c r="L339" s="73" t="n">
        <v>0.1118518518518519</v>
      </c>
      <c r="M339" s="73" t="n">
        <v>0.02304398148148148</v>
      </c>
      <c r="N339" s="73" t="n">
        <v>0.07237268518518518</v>
      </c>
      <c r="O339" s="73" t="n">
        <v>0.0606712962962963</v>
      </c>
      <c r="P339" s="73" t="n">
        <v>0.09166666666666666</v>
      </c>
    </row>
    <row r="340" ht="15.75" customHeight="1" s="45">
      <c r="A340" s="61" t="n">
        <v>46260</v>
      </c>
      <c r="B340" s="82" t="inlineStr">
        <is>
          <t>Pós-Projeto</t>
        </is>
      </c>
      <c r="C340" s="88" t="inlineStr">
        <is>
          <t>Tempo Médio — 🟠 Laranja (hh:mm)</t>
        </is>
      </c>
      <c r="D340" s="75" t="n">
        <v>0.01059027777777778</v>
      </c>
      <c r="E340" s="75" t="n">
        <v>0.007835648148148149</v>
      </c>
      <c r="F340" s="75" t="n">
        <v>0.004548611111111111</v>
      </c>
      <c r="G340" s="75" t="n">
        <v>0.004178240740740741</v>
      </c>
      <c r="H340" s="75" t="n">
        <v>0.009328703703703704</v>
      </c>
      <c r="I340" s="75" t="n">
        <v>0.004872685185185185</v>
      </c>
      <c r="J340" s="75" t="n">
        <v>0.01399305555555556</v>
      </c>
      <c r="K340" s="75" t="n">
        <v>0.02215277777777778</v>
      </c>
      <c r="L340" s="75" t="n">
        <v>0.01273148148148148</v>
      </c>
      <c r="M340" s="75" t="n">
        <v>0.01297453703703704</v>
      </c>
      <c r="N340" s="75" t="n">
        <v>0.008437500000000001</v>
      </c>
      <c r="O340" s="75" t="n">
        <v>0.01018518518518519</v>
      </c>
      <c r="P340" s="75" t="n">
        <v>0.01086805555555556</v>
      </c>
    </row>
    <row r="341" ht="15.75" customHeight="1" s="45">
      <c r="A341" s="76" t="n">
        <v>46260</v>
      </c>
      <c r="B341" s="82" t="inlineStr">
        <is>
          <t>Pós-Projeto</t>
        </is>
      </c>
      <c r="C341" s="91" t="inlineStr">
        <is>
          <t>Tempo Médio — 🟢 Verde   (hh:mm)</t>
        </is>
      </c>
      <c r="D341" s="79" t="n">
        <v>0.08534722222222223</v>
      </c>
      <c r="E341" s="79" t="n">
        <v>0.1200810185185185</v>
      </c>
      <c r="F341" s="79" t="n">
        <v>0.06288194444444445</v>
      </c>
      <c r="G341" s="79" t="n">
        <v>0.08528935185185185</v>
      </c>
      <c r="H341" s="79" t="n">
        <v>0.1006944444444444</v>
      </c>
      <c r="I341" s="79" t="n">
        <v>0.09100694444444445</v>
      </c>
      <c r="J341" s="79" t="n">
        <v>0.1376736111111111</v>
      </c>
      <c r="K341" s="79" t="n">
        <v>0.09344907407407407</v>
      </c>
      <c r="L341" s="79" t="n">
        <v>0.1920949074074074</v>
      </c>
      <c r="M341" s="79" t="n">
        <v>0.05241898148148148</v>
      </c>
      <c r="N341" s="79" t="n">
        <v>0.1078819444444444</v>
      </c>
      <c r="O341" s="79" t="n">
        <v>0.06670138888888889</v>
      </c>
      <c r="P341" s="79" t="n">
        <v>0.09530092592592593</v>
      </c>
    </row>
    <row r="342" ht="15.75" customHeight="1" s="45">
      <c r="A342" s="57" t="n">
        <v>46261</v>
      </c>
      <c r="B342" s="81" t="inlineStr">
        <is>
          <t>Pós-Projeto</t>
        </is>
      </c>
      <c r="C342" s="59" t="inlineStr">
        <is>
          <t>Acolhim. + Atend. Urgência + Atend. UPA</t>
        </is>
      </c>
      <c r="D342" s="60">
        <f>SUM(D343:D345)</f>
        <v/>
      </c>
      <c r="E342" s="60">
        <f>SUM(E343:E345)</f>
        <v/>
      </c>
      <c r="F342" s="60">
        <f>SUM(F343:F345)</f>
        <v/>
      </c>
      <c r="G342" s="60">
        <f>SUM(G343:G345)</f>
        <v/>
      </c>
      <c r="H342" s="60">
        <f>SUM(H343:H345)</f>
        <v/>
      </c>
      <c r="I342" s="60">
        <f>SUM(I343:I345)</f>
        <v/>
      </c>
      <c r="J342" s="60">
        <f>SUM(J343:J345)</f>
        <v/>
      </c>
      <c r="K342" s="60">
        <f>SUM(K343:K345)</f>
        <v/>
      </c>
      <c r="L342" s="60">
        <f>SUM(L343:L345)</f>
        <v/>
      </c>
      <c r="M342" s="60">
        <f>SUM(M343:M345)</f>
        <v/>
      </c>
      <c r="N342" s="60">
        <f>SUM(N343:N345)</f>
        <v/>
      </c>
      <c r="O342" s="60">
        <f>SUM(O343:O345)</f>
        <v/>
      </c>
      <c r="P342" s="60">
        <f>SUM(P343:P345)</f>
        <v/>
      </c>
    </row>
    <row r="343" ht="15.75" customHeight="1" s="45">
      <c r="A343" s="61" t="n">
        <v>46261</v>
      </c>
      <c r="B343" s="82" t="inlineStr">
        <is>
          <t>Pós-Projeto</t>
        </is>
      </c>
      <c r="C343" s="83" t="inlineStr">
        <is>
          <t>Acolhimento c/ Classif. de Risco</t>
        </is>
      </c>
      <c r="D343" s="64" t="n">
        <v>223</v>
      </c>
      <c r="E343" s="64" t="n">
        <v>158</v>
      </c>
      <c r="F343" s="64" t="n">
        <v>185</v>
      </c>
      <c r="G343" s="64" t="n">
        <v>184</v>
      </c>
      <c r="H343" s="64" t="n">
        <v>146</v>
      </c>
      <c r="I343" s="64" t="n">
        <v>210</v>
      </c>
      <c r="J343" s="64" t="n">
        <v>139</v>
      </c>
      <c r="K343" s="64" t="n">
        <v>248</v>
      </c>
      <c r="L343" s="64" t="n">
        <v>131</v>
      </c>
      <c r="M343" s="64" t="n">
        <v>218</v>
      </c>
      <c r="N343" s="64" t="n">
        <v>216</v>
      </c>
      <c r="O343" s="64" t="n">
        <v>313</v>
      </c>
      <c r="P343" s="64" t="n">
        <v>262</v>
      </c>
    </row>
    <row r="344" ht="15.75" customHeight="1" s="45">
      <c r="A344" s="61" t="n">
        <v>46261</v>
      </c>
      <c r="B344" s="82" t="inlineStr">
        <is>
          <t>Pós-Projeto</t>
        </is>
      </c>
      <c r="C344" s="84" t="inlineStr">
        <is>
          <t>Atend. Urgência Obs. ≤ 24h</t>
        </is>
      </c>
      <c r="D344" s="66" t="n">
        <v>46</v>
      </c>
      <c r="E344" s="66" t="n">
        <v>15</v>
      </c>
      <c r="F344" s="66" t="n">
        <v>26</v>
      </c>
      <c r="G344" s="66" t="n">
        <v>17</v>
      </c>
      <c r="H344" s="66" t="n">
        <v>21</v>
      </c>
      <c r="I344" s="66" t="n">
        <v>30</v>
      </c>
      <c r="J344" s="66" t="n">
        <v>11</v>
      </c>
      <c r="K344" s="66" t="n">
        <v>71</v>
      </c>
      <c r="L344" s="66" t="n">
        <v>42</v>
      </c>
      <c r="M344" s="66" t="n">
        <v>35</v>
      </c>
      <c r="N344" s="66" t="n">
        <v>47</v>
      </c>
      <c r="O344" s="66" t="n">
        <v>13</v>
      </c>
      <c r="P344" s="66" t="n">
        <v>56</v>
      </c>
    </row>
    <row r="345" ht="15.75" customHeight="1" s="45">
      <c r="A345" s="61" t="n">
        <v>46261</v>
      </c>
      <c r="B345" s="82" t="inlineStr">
        <is>
          <t>Pós-Projeto</t>
        </is>
      </c>
      <c r="C345" s="83" t="inlineStr">
        <is>
          <t>Atend. Médico em UPA</t>
        </is>
      </c>
      <c r="D345" s="64" t="n">
        <v>194</v>
      </c>
      <c r="E345" s="64" t="n">
        <v>97</v>
      </c>
      <c r="F345" s="64" t="n">
        <v>145</v>
      </c>
      <c r="G345" s="64" t="n">
        <v>149</v>
      </c>
      <c r="H345" s="64" t="n">
        <v>126</v>
      </c>
      <c r="I345" s="64" t="n">
        <v>199</v>
      </c>
      <c r="J345" s="64" t="n">
        <v>115</v>
      </c>
      <c r="K345" s="64" t="n">
        <v>224</v>
      </c>
      <c r="L345" s="64" t="n">
        <v>111</v>
      </c>
      <c r="M345" s="64" t="n">
        <v>122</v>
      </c>
      <c r="N345" s="64" t="n">
        <v>165</v>
      </c>
      <c r="O345" s="64" t="n">
        <v>234</v>
      </c>
      <c r="P345" s="64" t="n">
        <v>201</v>
      </c>
    </row>
    <row r="346" ht="15.75" customHeight="1" s="45">
      <c r="A346" s="61" t="n">
        <v>46261</v>
      </c>
      <c r="B346" s="82" t="inlineStr">
        <is>
          <t>Pós-Projeto</t>
        </is>
      </c>
      <c r="C346" s="84" t="inlineStr">
        <is>
          <t>Exames Laboratoriais</t>
        </is>
      </c>
      <c r="D346" s="66" t="n">
        <v>644</v>
      </c>
      <c r="E346" s="66" t="n">
        <v>474</v>
      </c>
      <c r="F346" s="66" t="n">
        <v>729</v>
      </c>
      <c r="G346" s="66" t="n">
        <v>363</v>
      </c>
      <c r="H346" s="66" t="n">
        <v>490</v>
      </c>
      <c r="I346" s="66" t="n">
        <v>856</v>
      </c>
      <c r="J346" s="66" t="n">
        <v>434</v>
      </c>
      <c r="K346" s="66" t="n">
        <v>930</v>
      </c>
      <c r="L346" s="66" t="n">
        <v>442</v>
      </c>
      <c r="M346" s="66" t="n">
        <v>441</v>
      </c>
      <c r="N346" s="66" t="n">
        <v>649</v>
      </c>
      <c r="O346" s="66" t="n">
        <v>378</v>
      </c>
      <c r="P346" s="66" t="n">
        <v>600</v>
      </c>
    </row>
    <row r="347" ht="15.75" customHeight="1" s="45">
      <c r="A347" s="61" t="n">
        <v>46261</v>
      </c>
      <c r="B347" s="82" t="inlineStr">
        <is>
          <t>Pós-Projeto</t>
        </is>
      </c>
      <c r="C347" s="83" t="inlineStr">
        <is>
          <t>Radiografias</t>
        </is>
      </c>
      <c r="D347" s="64" t="n">
        <v>18</v>
      </c>
      <c r="E347" s="64" t="n">
        <v>27</v>
      </c>
      <c r="F347" s="64" t="n">
        <v>8</v>
      </c>
      <c r="G347" s="67" t="n">
        <v>0</v>
      </c>
      <c r="H347" s="64" t="n">
        <v>20</v>
      </c>
      <c r="I347" s="64" t="n">
        <v>21</v>
      </c>
      <c r="J347" s="64" t="n">
        <v>27</v>
      </c>
      <c r="K347" s="64" t="n">
        <v>31</v>
      </c>
      <c r="L347" s="64" t="n">
        <v>11</v>
      </c>
      <c r="M347" s="64" t="n">
        <v>37</v>
      </c>
      <c r="N347" s="64" t="n">
        <v>29</v>
      </c>
      <c r="O347" s="64" t="n">
        <v>40</v>
      </c>
      <c r="P347" s="64" t="n">
        <v>51</v>
      </c>
    </row>
    <row r="348" ht="15.75" customHeight="1" s="45">
      <c r="A348" s="61" t="n">
        <v>46261</v>
      </c>
      <c r="B348" s="82" t="inlineStr">
        <is>
          <t>Pós-Projeto</t>
        </is>
      </c>
      <c r="C348" s="84" t="inlineStr">
        <is>
          <t>Eletrocardiogramas</t>
        </is>
      </c>
      <c r="D348" s="66" t="n">
        <v>21</v>
      </c>
      <c r="E348" s="66" t="n">
        <v>5</v>
      </c>
      <c r="F348" s="67" t="n">
        <v>0</v>
      </c>
      <c r="G348" s="66" t="n">
        <v>14</v>
      </c>
      <c r="H348" s="67" t="n">
        <v>0</v>
      </c>
      <c r="I348" s="66" t="n">
        <v>1</v>
      </c>
      <c r="J348" s="67" t="n">
        <v>0</v>
      </c>
      <c r="K348" s="66" t="n">
        <v>6</v>
      </c>
      <c r="L348" s="67" t="n">
        <v>0</v>
      </c>
      <c r="M348" s="67" t="n">
        <v>0</v>
      </c>
      <c r="N348" s="66" t="n">
        <v>8</v>
      </c>
      <c r="O348" s="67" t="n">
        <v>0</v>
      </c>
      <c r="P348" s="66" t="n">
        <v>6</v>
      </c>
    </row>
    <row r="349" ht="15.75" customHeight="1" s="45">
      <c r="A349" s="61" t="n">
        <v>46261</v>
      </c>
      <c r="B349" s="82" t="inlineStr">
        <is>
          <t>Pós-Projeto</t>
        </is>
      </c>
      <c r="C349" s="85" t="inlineStr">
        <is>
          <t>GAEs Abertas</t>
        </is>
      </c>
      <c r="D349" s="69" t="n">
        <v>233</v>
      </c>
      <c r="E349" s="69" t="n">
        <v>161</v>
      </c>
      <c r="F349" s="69" t="n">
        <v>194</v>
      </c>
      <c r="G349" s="69" t="n">
        <v>192</v>
      </c>
      <c r="H349" s="69" t="n">
        <v>149</v>
      </c>
      <c r="I349" s="69" t="n">
        <v>231</v>
      </c>
      <c r="J349" s="69" t="n">
        <v>142</v>
      </c>
      <c r="K349" s="69" t="n">
        <v>275</v>
      </c>
      <c r="L349" s="69" t="n">
        <v>133</v>
      </c>
      <c r="M349" s="69" t="n">
        <v>231</v>
      </c>
      <c r="N349" s="69" t="n">
        <v>225</v>
      </c>
      <c r="O349" s="69" t="n">
        <v>317</v>
      </c>
      <c r="P349" s="69" t="n">
        <v>271</v>
      </c>
    </row>
    <row r="350" ht="15.75" customHeight="1" s="45">
      <c r="A350" s="61" t="n">
        <v>46261</v>
      </c>
      <c r="B350" s="82" t="inlineStr">
        <is>
          <t>Pós-Projeto</t>
        </is>
      </c>
      <c r="C350" s="85" t="inlineStr">
        <is>
          <t>GAEs Classificadas</t>
        </is>
      </c>
      <c r="D350" s="69" t="n">
        <v>226</v>
      </c>
      <c r="E350" s="69" t="n">
        <v>156</v>
      </c>
      <c r="F350" s="69" t="n">
        <v>185</v>
      </c>
      <c r="G350" s="69" t="n">
        <v>185</v>
      </c>
      <c r="H350" s="69" t="n">
        <v>142</v>
      </c>
      <c r="I350" s="69" t="n">
        <v>214</v>
      </c>
      <c r="J350" s="69" t="n">
        <v>138</v>
      </c>
      <c r="K350" s="69" t="n">
        <v>251</v>
      </c>
      <c r="L350" s="69" t="n">
        <v>130</v>
      </c>
      <c r="M350" s="69" t="n">
        <v>215</v>
      </c>
      <c r="N350" s="69" t="n">
        <v>213</v>
      </c>
      <c r="O350" s="69" t="n">
        <v>313</v>
      </c>
      <c r="P350" s="69" t="n">
        <v>262</v>
      </c>
    </row>
    <row r="351" ht="15.75" customHeight="1" s="45">
      <c r="A351" s="61" t="n">
        <v>46261</v>
      </c>
      <c r="B351" s="82" t="inlineStr">
        <is>
          <t>Pós-Projeto</t>
        </is>
      </c>
      <c r="C351" s="86" t="inlineStr">
        <is>
          <t>Percentual de GAEs abertas classificadas</t>
        </is>
      </c>
      <c r="D351" s="71">
        <f>IFERROR(D350/D349,"-")</f>
        <v/>
      </c>
      <c r="E351" s="71">
        <f>IFERROR(E350/E349,"-")</f>
        <v/>
      </c>
      <c r="F351" s="71">
        <f>IFERROR(F350/F349,"-")</f>
        <v/>
      </c>
      <c r="G351" s="71">
        <f>IFERROR(G350/G349,"-")</f>
        <v/>
      </c>
      <c r="H351" s="71">
        <f>IFERROR(H350/H349,"-")</f>
        <v/>
      </c>
      <c r="I351" s="71">
        <f>IFERROR(I350/I349,"-")</f>
        <v/>
      </c>
      <c r="J351" s="71">
        <f>IFERROR(J350/J349,"-")</f>
        <v/>
      </c>
      <c r="K351" s="71">
        <f>IFERROR(K350/K349,"-")</f>
        <v/>
      </c>
      <c r="L351" s="71">
        <f>IFERROR(L350/L349,"-")</f>
        <v/>
      </c>
      <c r="M351" s="71">
        <f>IFERROR(M350/M349,"-")</f>
        <v/>
      </c>
      <c r="N351" s="71">
        <f>IFERROR(N350/N349,"-")</f>
        <v/>
      </c>
      <c r="O351" s="71">
        <f>IFERROR(O350/O349,"-")</f>
        <v/>
      </c>
      <c r="P351" s="71">
        <f>IFERROR(P350/P349,"-")</f>
        <v/>
      </c>
    </row>
    <row r="352" ht="15.75" customHeight="1" s="45">
      <c r="A352" s="61" t="n">
        <v>46261</v>
      </c>
      <c r="B352" s="82" t="inlineStr">
        <is>
          <t>Pós-Projeto</t>
        </is>
      </c>
      <c r="C352" s="87" t="inlineStr">
        <is>
          <t>Tempo Médio — 🟡 Amarelo (hh:mm)</t>
        </is>
      </c>
      <c r="D352" s="73" t="n">
        <v>0.04091435185185185</v>
      </c>
      <c r="E352" s="73" t="n">
        <v>0.04118055555555555</v>
      </c>
      <c r="F352" s="73" t="n">
        <v>0.07320601851851852</v>
      </c>
      <c r="G352" s="73" t="n">
        <v>0.05565972222222222</v>
      </c>
      <c r="H352" s="73" t="n">
        <v>0.02950231481481481</v>
      </c>
      <c r="I352" s="73" t="n">
        <v>0.05755787037037037</v>
      </c>
      <c r="J352" s="73" t="n">
        <v>0.06581018518518518</v>
      </c>
      <c r="K352" s="73" t="n">
        <v>0.05881944444444445</v>
      </c>
      <c r="L352" s="73" t="n">
        <v>0.04653935185185185</v>
      </c>
      <c r="M352" s="73" t="n">
        <v>0.04371527777777778</v>
      </c>
      <c r="N352" s="73" t="n">
        <v>0.08560185185185185</v>
      </c>
      <c r="O352" s="73" t="n">
        <v>0.03916666666666667</v>
      </c>
      <c r="P352" s="73" t="n">
        <v>0.06060185185185185</v>
      </c>
    </row>
    <row r="353" ht="15.75" customHeight="1" s="45">
      <c r="A353" s="61" t="n">
        <v>46261</v>
      </c>
      <c r="B353" s="82" t="inlineStr">
        <is>
          <t>Pós-Projeto</t>
        </is>
      </c>
      <c r="C353" s="88" t="inlineStr">
        <is>
          <t>Tempo Médio — 🟠 Laranja (hh:mm)</t>
        </is>
      </c>
      <c r="D353" s="75" t="n">
        <v>0.009050925925925926</v>
      </c>
      <c r="E353" s="75" t="n">
        <v>0.006446759259259259</v>
      </c>
      <c r="F353" s="75" t="n">
        <v>0.004756944444444445</v>
      </c>
      <c r="G353" s="75" t="n">
        <v>0.004224537037037037</v>
      </c>
      <c r="H353" s="75" t="n">
        <v>0.004224537037037037</v>
      </c>
      <c r="I353" s="75" t="n">
        <v>0.006099537037037037</v>
      </c>
      <c r="J353" s="75" t="n">
        <v>0.02363425925925926</v>
      </c>
      <c r="K353" s="75" t="n">
        <v>0.01431712962962963</v>
      </c>
      <c r="L353" s="75" t="n">
        <v>0.008888888888888889</v>
      </c>
      <c r="M353" s="75" t="n">
        <v>0.01483796296296296</v>
      </c>
      <c r="N353" s="75" t="n">
        <v>0.01752314814814815</v>
      </c>
      <c r="O353" s="75" t="n">
        <v>0.01065972222222222</v>
      </c>
      <c r="P353" s="75" t="n">
        <v>0.01193287037037037</v>
      </c>
    </row>
    <row r="354" ht="15.75" customHeight="1" s="45">
      <c r="A354" s="76" t="n">
        <v>46261</v>
      </c>
      <c r="B354" s="82" t="inlineStr">
        <is>
          <t>Pós-Projeto</t>
        </is>
      </c>
      <c r="C354" s="91" t="inlineStr">
        <is>
          <t>Tempo Médio — 🟢 Verde   (hh:mm)</t>
        </is>
      </c>
      <c r="D354" s="79" t="n">
        <v>0.0794212962962963</v>
      </c>
      <c r="E354" s="79" t="n">
        <v>0.120162037037037</v>
      </c>
      <c r="F354" s="79" t="n">
        <v>0.1102430555555556</v>
      </c>
      <c r="G354" s="79" t="n">
        <v>0.1642939814814815</v>
      </c>
      <c r="H354" s="79" t="n">
        <v>0.0881712962962963</v>
      </c>
      <c r="I354" s="79" t="n">
        <v>0.09849537037037037</v>
      </c>
      <c r="J354" s="79" t="n">
        <v>0.08894675925925925</v>
      </c>
      <c r="K354" s="79" t="n">
        <v>0.06211805555555556</v>
      </c>
      <c r="L354" s="79" t="n">
        <v>0.05622685185185185</v>
      </c>
      <c r="M354" s="79" t="n">
        <v>0.06850694444444444</v>
      </c>
      <c r="N354" s="79" t="n">
        <v>0.08824074074074074</v>
      </c>
      <c r="O354" s="79" t="n">
        <v>0.1003240740740741</v>
      </c>
      <c r="P354" s="79" t="n">
        <v>0.05658564814814815</v>
      </c>
    </row>
    <row r="355" ht="15.75" customHeight="1" s="45">
      <c r="A355" s="57" t="n">
        <v>46262</v>
      </c>
      <c r="B355" s="81" t="inlineStr">
        <is>
          <t>Pós-Projeto</t>
        </is>
      </c>
      <c r="C355" s="59" t="inlineStr">
        <is>
          <t>Acolhim. + Atend. Urgência + Atend. UPA</t>
        </is>
      </c>
      <c r="D355" s="60">
        <f>SUM(D356:D358)</f>
        <v/>
      </c>
      <c r="E355" s="60">
        <f>SUM(E356:E358)</f>
        <v/>
      </c>
      <c r="F355" s="60">
        <f>SUM(F356:F358)</f>
        <v/>
      </c>
      <c r="G355" s="60">
        <f>SUM(G356:G358)</f>
        <v/>
      </c>
      <c r="H355" s="60">
        <f>SUM(H356:H358)</f>
        <v/>
      </c>
      <c r="I355" s="60">
        <f>SUM(I356:I358)</f>
        <v/>
      </c>
      <c r="J355" s="60">
        <f>SUM(J356:J358)</f>
        <v/>
      </c>
      <c r="K355" s="60">
        <f>SUM(K356:K358)</f>
        <v/>
      </c>
      <c r="L355" s="60">
        <f>SUM(L356:L358)</f>
        <v/>
      </c>
      <c r="M355" s="60">
        <f>SUM(M356:M358)</f>
        <v/>
      </c>
      <c r="N355" s="60">
        <f>SUM(N356:N358)</f>
        <v/>
      </c>
      <c r="O355" s="60">
        <f>SUM(O356:O358)</f>
        <v/>
      </c>
      <c r="P355" s="60">
        <f>SUM(P356:P358)</f>
        <v/>
      </c>
    </row>
    <row r="356" ht="15.75" customHeight="1" s="45">
      <c r="A356" s="61" t="n">
        <v>46262</v>
      </c>
      <c r="B356" s="82" t="inlineStr">
        <is>
          <t>Pós-Projeto</t>
        </is>
      </c>
      <c r="C356" s="83" t="inlineStr">
        <is>
          <t>Acolhimento c/ Classif. de Risco</t>
        </is>
      </c>
      <c r="D356" s="66" t="n">
        <v>181</v>
      </c>
      <c r="E356" s="66" t="n">
        <v>165</v>
      </c>
      <c r="F356" s="66" t="n">
        <v>160</v>
      </c>
      <c r="G356" s="66" t="n">
        <v>170</v>
      </c>
      <c r="H356" s="66" t="n">
        <v>136</v>
      </c>
      <c r="I356" s="66" t="n">
        <v>204</v>
      </c>
      <c r="J356" s="66" t="n">
        <v>114</v>
      </c>
      <c r="K356" s="66" t="n">
        <v>311</v>
      </c>
      <c r="L356" s="66" t="n">
        <v>128</v>
      </c>
      <c r="M356" s="66" t="n">
        <v>188</v>
      </c>
      <c r="N356" s="66" t="n">
        <v>207</v>
      </c>
      <c r="O356" s="66" t="n">
        <v>303</v>
      </c>
      <c r="P356" s="66" t="n">
        <v>265</v>
      </c>
    </row>
    <row r="357" ht="15.75" customHeight="1" s="45">
      <c r="A357" s="61" t="n">
        <v>46262</v>
      </c>
      <c r="B357" s="82" t="inlineStr">
        <is>
          <t>Pós-Projeto</t>
        </is>
      </c>
      <c r="C357" s="84" t="inlineStr">
        <is>
          <t>Atend. Urgência Obs. ≤ 24h</t>
        </is>
      </c>
      <c r="D357" s="64" t="n">
        <v>16</v>
      </c>
      <c r="E357" s="64" t="n">
        <v>13</v>
      </c>
      <c r="F357" s="64" t="n">
        <v>18</v>
      </c>
      <c r="G357" s="64" t="n">
        <v>25</v>
      </c>
      <c r="H357" s="64" t="n">
        <v>20</v>
      </c>
      <c r="I357" s="64" t="n">
        <v>17</v>
      </c>
      <c r="J357" s="64" t="n">
        <v>47</v>
      </c>
      <c r="K357" s="64" t="n">
        <v>52</v>
      </c>
      <c r="L357" s="64" t="n">
        <v>33</v>
      </c>
      <c r="M357" s="64" t="n">
        <v>17</v>
      </c>
      <c r="N357" s="64" t="n">
        <v>16</v>
      </c>
      <c r="O357" s="64" t="n">
        <v>3</v>
      </c>
      <c r="P357" s="64" t="n">
        <v>23</v>
      </c>
    </row>
    <row r="358" ht="15.75" customHeight="1" s="45">
      <c r="A358" s="61" t="n">
        <v>46262</v>
      </c>
      <c r="B358" s="82" t="inlineStr">
        <is>
          <t>Pós-Projeto</t>
        </is>
      </c>
      <c r="C358" s="83" t="inlineStr">
        <is>
          <t>Atend. Médico em UPA</t>
        </is>
      </c>
      <c r="D358" s="66" t="n">
        <v>121</v>
      </c>
      <c r="E358" s="66" t="n">
        <v>94</v>
      </c>
      <c r="F358" s="66" t="n">
        <v>139</v>
      </c>
      <c r="G358" s="66" t="n">
        <v>63</v>
      </c>
      <c r="H358" s="66" t="n">
        <v>86</v>
      </c>
      <c r="I358" s="66" t="n">
        <v>160</v>
      </c>
      <c r="J358" s="66" t="n">
        <v>83</v>
      </c>
      <c r="K358" s="66" t="n">
        <v>270</v>
      </c>
      <c r="L358" s="66" t="n">
        <v>93</v>
      </c>
      <c r="M358" s="66" t="n">
        <v>155</v>
      </c>
      <c r="N358" s="66" t="n">
        <v>212</v>
      </c>
      <c r="O358" s="66" t="n">
        <v>235</v>
      </c>
      <c r="P358" s="66" t="n">
        <v>180</v>
      </c>
    </row>
    <row r="359" ht="15.75" customHeight="1" s="45">
      <c r="A359" s="61" t="n">
        <v>46262</v>
      </c>
      <c r="B359" s="82" t="inlineStr">
        <is>
          <t>Pós-Projeto</t>
        </is>
      </c>
      <c r="C359" s="84" t="inlineStr">
        <is>
          <t>Exames Laboratoriais</t>
        </is>
      </c>
      <c r="D359" s="64" t="n">
        <v>642</v>
      </c>
      <c r="E359" s="64" t="n">
        <v>335</v>
      </c>
      <c r="F359" s="64" t="n">
        <v>474</v>
      </c>
      <c r="G359" s="64" t="n">
        <v>199</v>
      </c>
      <c r="H359" s="64" t="n">
        <v>397</v>
      </c>
      <c r="I359" s="64" t="n">
        <v>552</v>
      </c>
      <c r="J359" s="64" t="n">
        <v>405</v>
      </c>
      <c r="K359" s="64" t="n">
        <v>876</v>
      </c>
      <c r="L359" s="64" t="n">
        <v>599</v>
      </c>
      <c r="M359" s="64" t="n">
        <v>478</v>
      </c>
      <c r="N359" s="64" t="n">
        <v>680</v>
      </c>
      <c r="O359" s="64" t="n">
        <v>342</v>
      </c>
      <c r="P359" s="64" t="n">
        <v>600</v>
      </c>
    </row>
    <row r="360" ht="15.75" customHeight="1" s="45">
      <c r="A360" s="61" t="n">
        <v>46262</v>
      </c>
      <c r="B360" s="82" t="inlineStr">
        <is>
          <t>Pós-Projeto</t>
        </is>
      </c>
      <c r="C360" s="83" t="inlineStr">
        <is>
          <t>Radiografias</t>
        </is>
      </c>
      <c r="D360" s="66" t="n">
        <v>27</v>
      </c>
      <c r="E360" s="66" t="n">
        <v>14</v>
      </c>
      <c r="F360" s="66" t="n">
        <v>19</v>
      </c>
      <c r="G360" s="67" t="n">
        <v>0</v>
      </c>
      <c r="H360" s="66" t="n">
        <v>19</v>
      </c>
      <c r="I360" s="66" t="n">
        <v>17</v>
      </c>
      <c r="J360" s="66" t="n">
        <v>21</v>
      </c>
      <c r="K360" s="66" t="n">
        <v>47</v>
      </c>
      <c r="L360" s="66" t="n">
        <v>4</v>
      </c>
      <c r="M360" s="66" t="n">
        <v>21</v>
      </c>
      <c r="N360" s="66" t="n">
        <v>23</v>
      </c>
      <c r="O360" s="66" t="n">
        <v>36</v>
      </c>
      <c r="P360" s="66" t="n">
        <v>40</v>
      </c>
    </row>
    <row r="361" ht="15.75" customHeight="1" s="45">
      <c r="A361" s="61" t="n">
        <v>46262</v>
      </c>
      <c r="B361" s="82" t="inlineStr">
        <is>
          <t>Pós-Projeto</t>
        </is>
      </c>
      <c r="C361" s="84" t="inlineStr">
        <is>
          <t>Eletrocardiogramas</t>
        </is>
      </c>
      <c r="D361" s="64" t="n">
        <v>20</v>
      </c>
      <c r="E361" s="64" t="n">
        <v>12</v>
      </c>
      <c r="F361" s="64" t="n">
        <v>5</v>
      </c>
      <c r="G361" s="67" t="n">
        <v>0</v>
      </c>
      <c r="H361" s="67" t="n">
        <v>0</v>
      </c>
      <c r="I361" s="64" t="n">
        <v>3</v>
      </c>
      <c r="J361" s="67" t="n">
        <v>0</v>
      </c>
      <c r="K361" s="64" t="n">
        <v>15</v>
      </c>
      <c r="L361" s="67" t="n">
        <v>0</v>
      </c>
      <c r="M361" s="67" t="n">
        <v>0</v>
      </c>
      <c r="N361" s="64" t="n">
        <v>4</v>
      </c>
      <c r="O361" s="64" t="n">
        <v>7</v>
      </c>
      <c r="P361" s="64" t="n">
        <v>17</v>
      </c>
    </row>
    <row r="362" ht="15.75" customHeight="1" s="45">
      <c r="A362" s="61" t="n">
        <v>46262</v>
      </c>
      <c r="B362" s="82" t="inlineStr">
        <is>
          <t>Pós-Projeto</t>
        </is>
      </c>
      <c r="C362" s="85" t="inlineStr">
        <is>
          <t>GAEs Abertas</t>
        </is>
      </c>
      <c r="D362" s="69" t="n">
        <v>188</v>
      </c>
      <c r="E362" s="69" t="n">
        <v>168</v>
      </c>
      <c r="F362" s="69" t="n">
        <v>179</v>
      </c>
      <c r="G362" s="69" t="n">
        <v>172</v>
      </c>
      <c r="H362" s="69" t="n">
        <v>137</v>
      </c>
      <c r="I362" s="69" t="n">
        <v>217</v>
      </c>
      <c r="J362" s="69" t="n">
        <v>119</v>
      </c>
      <c r="K362" s="69" t="n">
        <v>344</v>
      </c>
      <c r="L362" s="69" t="n">
        <v>130</v>
      </c>
      <c r="M362" s="69" t="n">
        <v>196</v>
      </c>
      <c r="N362" s="69" t="n">
        <v>223</v>
      </c>
      <c r="O362" s="69" t="n">
        <v>315</v>
      </c>
      <c r="P362" s="69" t="n">
        <v>270</v>
      </c>
    </row>
    <row r="363" ht="15.75" customHeight="1" s="45">
      <c r="A363" s="61" t="n">
        <v>46262</v>
      </c>
      <c r="B363" s="82" t="inlineStr">
        <is>
          <t>Pós-Projeto</t>
        </is>
      </c>
      <c r="C363" s="85" t="inlineStr">
        <is>
          <t>GAEs Classificadas</t>
        </is>
      </c>
      <c r="D363" s="69" t="n">
        <v>177</v>
      </c>
      <c r="E363" s="69" t="n">
        <v>165</v>
      </c>
      <c r="F363" s="69" t="n">
        <v>161</v>
      </c>
      <c r="G363" s="69" t="n">
        <v>169</v>
      </c>
      <c r="H363" s="69" t="n">
        <v>134</v>
      </c>
      <c r="I363" s="69" t="n">
        <v>200</v>
      </c>
      <c r="J363" s="69" t="n">
        <v>114</v>
      </c>
      <c r="K363" s="69" t="n">
        <v>314</v>
      </c>
      <c r="L363" s="69" t="n">
        <v>127</v>
      </c>
      <c r="M363" s="69" t="n">
        <v>190</v>
      </c>
      <c r="N363" s="69" t="n">
        <v>209</v>
      </c>
      <c r="O363" s="69" t="n">
        <v>305</v>
      </c>
      <c r="P363" s="69" t="n">
        <v>265</v>
      </c>
    </row>
    <row r="364" ht="15.75" customHeight="1" s="45">
      <c r="A364" s="61" t="n">
        <v>46262</v>
      </c>
      <c r="B364" s="82" t="inlineStr">
        <is>
          <t>Pós-Projeto</t>
        </is>
      </c>
      <c r="C364" s="86" t="inlineStr">
        <is>
          <t>Percentual de GAEs abertas classificadas</t>
        </is>
      </c>
      <c r="D364" s="71">
        <f>IFERROR(D363/D362,"-")</f>
        <v/>
      </c>
      <c r="E364" s="71">
        <f>IFERROR(E363/E362,"-")</f>
        <v/>
      </c>
      <c r="F364" s="71">
        <f>IFERROR(F363/F362,"-")</f>
        <v/>
      </c>
      <c r="G364" s="71">
        <f>IFERROR(G363/G362,"-")</f>
        <v/>
      </c>
      <c r="H364" s="71">
        <f>IFERROR(H363/H362,"-")</f>
        <v/>
      </c>
      <c r="I364" s="71">
        <f>IFERROR(I363/I362,"-")</f>
        <v/>
      </c>
      <c r="J364" s="71">
        <f>IFERROR(J363/J362,"-")</f>
        <v/>
      </c>
      <c r="K364" s="71">
        <f>IFERROR(K363/K362,"-")</f>
        <v/>
      </c>
      <c r="L364" s="71">
        <f>IFERROR(L363/L362,"-")</f>
        <v/>
      </c>
      <c r="M364" s="71">
        <f>IFERROR(M363/M362,"-")</f>
        <v/>
      </c>
      <c r="N364" s="71">
        <f>IFERROR(N363/N362,"-")</f>
        <v/>
      </c>
      <c r="O364" s="71">
        <f>IFERROR(O363/O362,"-")</f>
        <v/>
      </c>
      <c r="P364" s="71">
        <f>IFERROR(P363/P362,"-")</f>
        <v/>
      </c>
    </row>
    <row r="365" ht="15.75" customHeight="1" s="45">
      <c r="A365" s="61" t="n">
        <v>46262</v>
      </c>
      <c r="B365" s="82" t="inlineStr">
        <is>
          <t>Pós-Projeto</t>
        </is>
      </c>
      <c r="C365" s="87" t="inlineStr">
        <is>
          <t>Tempo Médio — 🟡 Amarelo (hh:mm)</t>
        </is>
      </c>
      <c r="D365" s="73" t="n">
        <v>0.03989583333333333</v>
      </c>
      <c r="E365" s="73" t="n">
        <v>0.07369212962962964</v>
      </c>
      <c r="F365" s="73" t="n">
        <v>0.04810185185185185</v>
      </c>
      <c r="G365" s="73" t="n">
        <v>0.06420138888888889</v>
      </c>
      <c r="H365" s="73" t="n">
        <v>0.07841435185185185</v>
      </c>
      <c r="I365" s="73" t="n">
        <v>0.04443287037037037</v>
      </c>
      <c r="J365" s="73" t="n">
        <v>0.4836458333333333</v>
      </c>
      <c r="K365" s="73" t="n">
        <v>0.05309027777777778</v>
      </c>
      <c r="L365" s="73" t="n">
        <v>0.03388888888888889</v>
      </c>
      <c r="M365" s="73" t="n">
        <v>0.01366898148148148</v>
      </c>
      <c r="N365" s="73" t="n">
        <v>0.06315972222222223</v>
      </c>
      <c r="O365" s="73" t="n">
        <v>0.02961805555555556</v>
      </c>
      <c r="P365" s="73" t="n">
        <v>0.06488425925925925</v>
      </c>
    </row>
    <row r="366" ht="15.75" customHeight="1" s="45">
      <c r="A366" s="61" t="n">
        <v>46262</v>
      </c>
      <c r="B366" s="82" t="inlineStr">
        <is>
          <t>Pós-Projeto</t>
        </is>
      </c>
      <c r="C366" s="88" t="inlineStr">
        <is>
          <t>Tempo Médio — 🟠 Laranja (hh:mm)</t>
        </is>
      </c>
      <c r="D366" s="75" t="n">
        <v>0.01351851851851852</v>
      </c>
      <c r="E366" s="75" t="n">
        <v>0.01689814814814815</v>
      </c>
      <c r="F366" s="75" t="n">
        <v>0.006574074074074074</v>
      </c>
      <c r="G366" s="75" t="n">
        <v>0.007997685185185186</v>
      </c>
      <c r="H366" s="75" t="n">
        <v>0.008819444444444444</v>
      </c>
      <c r="I366" s="75" t="n">
        <v>0.004097222222222223</v>
      </c>
      <c r="J366" s="75" t="n">
        <v>0.004363425925925926</v>
      </c>
      <c r="K366" s="75" t="n">
        <v>0.007546296296296297</v>
      </c>
      <c r="L366" s="75" t="n">
        <v>0.01011574074074074</v>
      </c>
      <c r="M366" s="75" t="n">
        <v>0.01511574074074074</v>
      </c>
      <c r="N366" s="75" t="n">
        <v>0.01415509259259259</v>
      </c>
      <c r="O366" s="75" t="n">
        <v>0.00775462962962963</v>
      </c>
      <c r="P366" s="75" t="n">
        <v>0.009895833333333333</v>
      </c>
    </row>
    <row r="367" ht="15.75" customHeight="1" s="45">
      <c r="A367" s="76" t="n">
        <v>46262</v>
      </c>
      <c r="B367" s="82" t="inlineStr">
        <is>
          <t>Pós-Projeto</t>
        </is>
      </c>
      <c r="C367" s="91" t="inlineStr">
        <is>
          <t>Tempo Médio — 🟢 Verde   (hh:mm)</t>
        </is>
      </c>
      <c r="D367" s="79" t="n">
        <v>0.06200231481481482</v>
      </c>
      <c r="E367" s="79" t="n">
        <v>0.1424884259259259</v>
      </c>
      <c r="F367" s="79" t="n">
        <v>0.09704861111111111</v>
      </c>
      <c r="G367" s="79" t="n">
        <v>0.0965162037037037</v>
      </c>
      <c r="H367" s="79" t="n">
        <v>0.09685185185185186</v>
      </c>
      <c r="I367" s="79" t="n">
        <v>0.1025810185185185</v>
      </c>
      <c r="J367" s="79" t="n">
        <v>0.4407407407407408</v>
      </c>
      <c r="K367" s="79" t="n">
        <v>0.06302083333333333</v>
      </c>
      <c r="L367" s="79" t="n">
        <v>0.1678356481481481</v>
      </c>
      <c r="M367" s="79" t="n">
        <v>0.04552083333333334</v>
      </c>
      <c r="N367" s="79" t="n">
        <v>0.09393518518518519</v>
      </c>
      <c r="O367" s="79" t="n">
        <v>0.07668981481481481</v>
      </c>
      <c r="P367" s="79" t="n">
        <v>0.09690972222222222</v>
      </c>
    </row>
    <row r="368" ht="15.75" customHeight="1" s="45">
      <c r="A368" s="57" t="n">
        <v>46263</v>
      </c>
      <c r="B368" s="81" t="inlineStr">
        <is>
          <t>Pós-Projeto</t>
        </is>
      </c>
      <c r="C368" s="59" t="inlineStr">
        <is>
          <t>Acolhim. + Atend. Urgência + Atend. UPA</t>
        </is>
      </c>
      <c r="D368" s="60">
        <f>SUM(D369:D371)</f>
        <v/>
      </c>
      <c r="E368" s="60">
        <f>SUM(E369:E371)</f>
        <v/>
      </c>
      <c r="F368" s="60">
        <f>SUM(F369:F371)</f>
        <v/>
      </c>
      <c r="G368" s="60">
        <f>SUM(G369:G371)</f>
        <v/>
      </c>
      <c r="H368" s="60">
        <f>SUM(H369:H371)</f>
        <v/>
      </c>
      <c r="I368" s="60">
        <f>SUM(I369:I371)</f>
        <v/>
      </c>
      <c r="J368" s="60">
        <f>SUM(J369:J371)</f>
        <v/>
      </c>
      <c r="K368" s="60">
        <f>SUM(K369:K371)</f>
        <v/>
      </c>
      <c r="L368" s="60">
        <f>SUM(L369:L371)</f>
        <v/>
      </c>
      <c r="M368" s="60">
        <f>SUM(M369:M371)</f>
        <v/>
      </c>
      <c r="N368" s="60">
        <f>SUM(N369:N371)</f>
        <v/>
      </c>
      <c r="O368" s="60">
        <f>SUM(O369:O371)</f>
        <v/>
      </c>
      <c r="P368" s="60">
        <f>SUM(P369:P371)</f>
        <v/>
      </c>
    </row>
    <row r="369" ht="15.75" customHeight="1" s="45">
      <c r="A369" s="61" t="n">
        <v>46263</v>
      </c>
      <c r="B369" s="82" t="inlineStr">
        <is>
          <t>Pós-Projeto</t>
        </is>
      </c>
      <c r="C369" s="83" t="inlineStr">
        <is>
          <t>Acolhimento c/ Classif. de Risco</t>
        </is>
      </c>
      <c r="D369" s="64" t="n">
        <v>167</v>
      </c>
      <c r="E369" s="64" t="n">
        <v>144</v>
      </c>
      <c r="F369" s="64" t="n">
        <v>137</v>
      </c>
      <c r="G369" s="64" t="n">
        <v>142</v>
      </c>
      <c r="H369" s="64" t="n">
        <v>127</v>
      </c>
      <c r="I369" s="64" t="n">
        <v>196</v>
      </c>
      <c r="J369" s="64" t="n">
        <v>48</v>
      </c>
      <c r="K369" s="64" t="n">
        <v>253</v>
      </c>
      <c r="L369" s="64" t="n">
        <v>93</v>
      </c>
      <c r="M369" s="64" t="n">
        <v>194</v>
      </c>
      <c r="N369" s="64" t="n">
        <v>196</v>
      </c>
      <c r="O369" s="64" t="n">
        <v>243</v>
      </c>
      <c r="P369" s="64" t="n">
        <v>232</v>
      </c>
    </row>
    <row r="370" ht="15.75" customHeight="1" s="45">
      <c r="A370" s="61" t="n">
        <v>46263</v>
      </c>
      <c r="B370" s="82" t="inlineStr">
        <is>
          <t>Pós-Projeto</t>
        </is>
      </c>
      <c r="C370" s="84" t="inlineStr">
        <is>
          <t>Atend. Urgência Obs. ≤ 24h</t>
        </is>
      </c>
      <c r="D370" s="66" t="n">
        <v>24</v>
      </c>
      <c r="E370" s="66" t="n">
        <v>24</v>
      </c>
      <c r="F370" s="66" t="n">
        <v>17</v>
      </c>
      <c r="G370" s="66" t="n">
        <v>30</v>
      </c>
      <c r="H370" s="66" t="n">
        <v>17</v>
      </c>
      <c r="I370" s="66" t="n">
        <v>39</v>
      </c>
      <c r="J370" s="66" t="n">
        <v>10</v>
      </c>
      <c r="K370" s="66" t="n">
        <v>44</v>
      </c>
      <c r="L370" s="66" t="n">
        <v>29</v>
      </c>
      <c r="M370" s="66" t="n">
        <v>16</v>
      </c>
      <c r="N370" s="66" t="n">
        <v>8</v>
      </c>
      <c r="O370" s="66" t="n">
        <v>4</v>
      </c>
      <c r="P370" s="66" t="n">
        <v>27</v>
      </c>
    </row>
    <row r="371" ht="15.75" customHeight="1" s="45">
      <c r="A371" s="61" t="n">
        <v>46263</v>
      </c>
      <c r="B371" s="82" t="inlineStr">
        <is>
          <t>Pós-Projeto</t>
        </is>
      </c>
      <c r="C371" s="83" t="inlineStr">
        <is>
          <t>Atend. Médico em UPA</t>
        </is>
      </c>
      <c r="D371" s="64" t="n">
        <v>93</v>
      </c>
      <c r="E371" s="64" t="n">
        <v>92</v>
      </c>
      <c r="F371" s="64" t="n">
        <v>108</v>
      </c>
      <c r="G371" s="64" t="n">
        <v>99</v>
      </c>
      <c r="H371" s="64" t="n">
        <v>83</v>
      </c>
      <c r="I371" s="64" t="n">
        <v>174</v>
      </c>
      <c r="J371" s="64" t="n">
        <v>5</v>
      </c>
      <c r="K371" s="64" t="n">
        <v>198</v>
      </c>
      <c r="L371" s="64" t="n">
        <v>75</v>
      </c>
      <c r="M371" s="64" t="n">
        <v>168</v>
      </c>
      <c r="N371" s="64" t="n">
        <v>169</v>
      </c>
      <c r="O371" s="64" t="n">
        <v>197</v>
      </c>
      <c r="P371" s="64" t="n">
        <v>148</v>
      </c>
    </row>
    <row r="372" ht="15.75" customHeight="1" s="45">
      <c r="A372" s="61" t="n">
        <v>46263</v>
      </c>
      <c r="B372" s="82" t="inlineStr">
        <is>
          <t>Pós-Projeto</t>
        </is>
      </c>
      <c r="C372" s="84" t="inlineStr">
        <is>
          <t>Exames Laboratoriais</t>
        </is>
      </c>
      <c r="D372" s="66" t="n">
        <v>399</v>
      </c>
      <c r="E372" s="66" t="n">
        <v>508</v>
      </c>
      <c r="F372" s="66" t="n">
        <v>303</v>
      </c>
      <c r="G372" s="66" t="n">
        <v>134</v>
      </c>
      <c r="H372" s="66" t="n">
        <v>398</v>
      </c>
      <c r="I372" s="66" t="n">
        <v>794</v>
      </c>
      <c r="J372" s="66" t="n">
        <v>60</v>
      </c>
      <c r="K372" s="66" t="n">
        <v>771</v>
      </c>
      <c r="L372" s="66" t="n">
        <v>426</v>
      </c>
      <c r="M372" s="66" t="n">
        <v>572</v>
      </c>
      <c r="N372" s="66" t="n">
        <v>718</v>
      </c>
      <c r="O372" s="66" t="n">
        <v>328</v>
      </c>
      <c r="P372" s="66" t="n">
        <v>518</v>
      </c>
    </row>
    <row r="373" ht="15.75" customHeight="1" s="45">
      <c r="A373" s="61" t="n">
        <v>46263</v>
      </c>
      <c r="B373" s="82" t="inlineStr">
        <is>
          <t>Pós-Projeto</t>
        </is>
      </c>
      <c r="C373" s="83" t="inlineStr">
        <is>
          <t>Radiografias</t>
        </is>
      </c>
      <c r="D373" s="64" t="n">
        <v>10</v>
      </c>
      <c r="E373" s="64" t="n">
        <v>25</v>
      </c>
      <c r="F373" s="64" t="n">
        <v>10</v>
      </c>
      <c r="G373" s="67" t="n">
        <v>0</v>
      </c>
      <c r="H373" s="64" t="n">
        <v>21</v>
      </c>
      <c r="I373" s="64" t="n">
        <v>15</v>
      </c>
      <c r="J373" s="64" t="n">
        <v>2</v>
      </c>
      <c r="K373" s="64" t="n">
        <v>47</v>
      </c>
      <c r="L373" s="64" t="n">
        <v>21</v>
      </c>
      <c r="M373" s="64" t="n">
        <v>14</v>
      </c>
      <c r="N373" s="64" t="n">
        <v>19</v>
      </c>
      <c r="O373" s="64" t="n">
        <v>41</v>
      </c>
      <c r="P373" s="64" t="n">
        <v>29</v>
      </c>
    </row>
    <row r="374" ht="15.75" customHeight="1" s="45">
      <c r="A374" s="61" t="n">
        <v>46263</v>
      </c>
      <c r="B374" s="82" t="inlineStr">
        <is>
          <t>Pós-Projeto</t>
        </is>
      </c>
      <c r="C374" s="84" t="inlineStr">
        <is>
          <t>Eletrocardiogramas</t>
        </is>
      </c>
      <c r="D374" s="66" t="n">
        <v>6</v>
      </c>
      <c r="E374" s="66" t="n">
        <v>8</v>
      </c>
      <c r="F374" s="66" t="n">
        <v>12</v>
      </c>
      <c r="G374" s="66" t="n">
        <v>1</v>
      </c>
      <c r="H374" s="67" t="n">
        <v>0</v>
      </c>
      <c r="I374" s="67" t="n">
        <v>0</v>
      </c>
      <c r="J374" s="67" t="n">
        <v>0</v>
      </c>
      <c r="K374" s="66" t="n">
        <v>14</v>
      </c>
      <c r="L374" s="67" t="n">
        <v>0</v>
      </c>
      <c r="M374" s="67" t="n">
        <v>0</v>
      </c>
      <c r="N374" s="66" t="n">
        <v>9</v>
      </c>
      <c r="O374" s="67" t="n">
        <v>0</v>
      </c>
      <c r="P374" s="66" t="n">
        <v>20</v>
      </c>
    </row>
    <row r="375" ht="15.75" customHeight="1" s="45">
      <c r="A375" s="61" t="n">
        <v>46263</v>
      </c>
      <c r="B375" s="82" t="inlineStr">
        <is>
          <t>Pós-Projeto</t>
        </is>
      </c>
      <c r="C375" s="85" t="inlineStr">
        <is>
          <t>GAEs Abertas</t>
        </is>
      </c>
      <c r="D375" s="69" t="n">
        <v>180</v>
      </c>
      <c r="E375" s="69" t="n">
        <v>153</v>
      </c>
      <c r="F375" s="69" t="n">
        <v>138</v>
      </c>
      <c r="G375" s="69" t="n">
        <v>144</v>
      </c>
      <c r="H375" s="69" t="n">
        <v>131</v>
      </c>
      <c r="I375" s="69" t="n">
        <v>210</v>
      </c>
      <c r="J375" s="69" t="n">
        <v>55</v>
      </c>
      <c r="K375" s="69" t="n">
        <v>262</v>
      </c>
      <c r="L375" s="69" t="n">
        <v>107</v>
      </c>
      <c r="M375" s="69" t="n">
        <v>201</v>
      </c>
      <c r="N375" s="69" t="n">
        <v>201</v>
      </c>
      <c r="O375" s="69" t="n">
        <v>247</v>
      </c>
      <c r="P375" s="69" t="n">
        <v>236</v>
      </c>
    </row>
    <row r="376" ht="15.75" customHeight="1" s="45">
      <c r="A376" s="61" t="n">
        <v>46263</v>
      </c>
      <c r="B376" s="82" t="inlineStr">
        <is>
          <t>Pós-Projeto</t>
        </is>
      </c>
      <c r="C376" s="85" t="inlineStr">
        <is>
          <t>GAEs Classificadas</t>
        </is>
      </c>
      <c r="D376" s="69" t="n">
        <v>168</v>
      </c>
      <c r="E376" s="69" t="n">
        <v>144</v>
      </c>
      <c r="F376" s="69" t="n">
        <v>137</v>
      </c>
      <c r="G376" s="69" t="n">
        <v>142</v>
      </c>
      <c r="H376" s="69" t="n">
        <v>128</v>
      </c>
      <c r="I376" s="69" t="n">
        <v>198</v>
      </c>
      <c r="J376" s="69" t="n">
        <v>48</v>
      </c>
      <c r="K376" s="69" t="n">
        <v>249</v>
      </c>
      <c r="L376" s="69" t="n">
        <v>96</v>
      </c>
      <c r="M376" s="69" t="n">
        <v>193</v>
      </c>
      <c r="N376" s="69" t="n">
        <v>191</v>
      </c>
      <c r="O376" s="69" t="n">
        <v>239</v>
      </c>
      <c r="P376" s="69" t="n">
        <v>232</v>
      </c>
    </row>
    <row r="377" ht="15.75" customHeight="1" s="45">
      <c r="A377" s="61" t="n">
        <v>46263</v>
      </c>
      <c r="B377" s="82" t="inlineStr">
        <is>
          <t>Pós-Projeto</t>
        </is>
      </c>
      <c r="C377" s="86" t="inlineStr">
        <is>
          <t>Percentual de GAEs abertas classificadas</t>
        </is>
      </c>
      <c r="D377" s="71">
        <f>IFERROR(D376/D375,"-")</f>
        <v/>
      </c>
      <c r="E377" s="71">
        <f>IFERROR(E376/E375,"-")</f>
        <v/>
      </c>
      <c r="F377" s="71">
        <f>IFERROR(F376/F375,"-")</f>
        <v/>
      </c>
      <c r="G377" s="71">
        <f>IFERROR(G376/G375,"-")</f>
        <v/>
      </c>
      <c r="H377" s="71">
        <f>IFERROR(H376/H375,"-")</f>
        <v/>
      </c>
      <c r="I377" s="71">
        <f>IFERROR(I376/I375,"-")</f>
        <v/>
      </c>
      <c r="J377" s="71">
        <f>IFERROR(J376/J375,"-")</f>
        <v/>
      </c>
      <c r="K377" s="71">
        <f>IFERROR(K376/K375,"-")</f>
        <v/>
      </c>
      <c r="L377" s="71">
        <f>IFERROR(L376/L375,"-")</f>
        <v/>
      </c>
      <c r="M377" s="71">
        <f>IFERROR(M376/M375,"-")</f>
        <v/>
      </c>
      <c r="N377" s="71">
        <f>IFERROR(N376/N375,"-")</f>
        <v/>
      </c>
      <c r="O377" s="71">
        <f>IFERROR(O376/O375,"-")</f>
        <v/>
      </c>
      <c r="P377" s="71">
        <f>IFERROR(P376/P375,"-")</f>
        <v/>
      </c>
    </row>
    <row r="378" ht="15.75" customHeight="1" s="45">
      <c r="A378" s="61" t="n">
        <v>46263</v>
      </c>
      <c r="B378" s="82" t="inlineStr">
        <is>
          <t>Pós-Projeto</t>
        </is>
      </c>
      <c r="C378" s="87" t="inlineStr">
        <is>
          <t>Tempo Médio — 🟡 Amarelo (hh:mm)</t>
        </is>
      </c>
      <c r="D378" s="73" t="n">
        <v>0.05802083333333333</v>
      </c>
      <c r="E378" s="73" t="n">
        <v>0.1261342592592593</v>
      </c>
      <c r="F378" s="73" t="n">
        <v>0.048125</v>
      </c>
      <c r="G378" s="73" t="n">
        <v>0.120787037037037</v>
      </c>
      <c r="H378" s="73" t="n">
        <v>0.04780092592592593</v>
      </c>
      <c r="I378" s="73" t="n">
        <v>0.0299537037037037</v>
      </c>
      <c r="J378" s="73" t="n">
        <v>0.5871064814814815</v>
      </c>
      <c r="K378" s="73" t="n">
        <v>0.1206597222222222</v>
      </c>
      <c r="L378" s="73" t="n">
        <v>0.05563657407407407</v>
      </c>
      <c r="M378" s="73" t="n">
        <v>0.03677083333333334</v>
      </c>
      <c r="N378" s="73" t="n">
        <v>0.08119212962962963</v>
      </c>
      <c r="O378" s="73" t="n">
        <v>0.01766203703703704</v>
      </c>
      <c r="P378" s="73" t="n">
        <v>0.06040509259259259</v>
      </c>
    </row>
    <row r="379" ht="15.75" customHeight="1" s="45">
      <c r="A379" s="61" t="n">
        <v>46263</v>
      </c>
      <c r="B379" s="82" t="inlineStr">
        <is>
          <t>Pós-Projeto</t>
        </is>
      </c>
      <c r="C379" s="88" t="inlineStr">
        <is>
          <t>Tempo Médio — 🟠 Laranja (hh:mm)</t>
        </is>
      </c>
      <c r="D379" s="75" t="n">
        <v>0.02131944444444444</v>
      </c>
      <c r="E379" s="75" t="n">
        <v>0.008275462962962964</v>
      </c>
      <c r="F379" s="75" t="n">
        <v>0.005150462962962963</v>
      </c>
      <c r="G379" s="75" t="n">
        <v>0.01333333333333333</v>
      </c>
      <c r="H379" s="75" t="n">
        <v>0.007245370370370371</v>
      </c>
      <c r="I379" s="75" t="n">
        <v>0.004328703703703704</v>
      </c>
      <c r="J379" s="75" t="n">
        <v>0.5303703703703704</v>
      </c>
      <c r="K379" s="75" t="n">
        <v>0.01716435185185185</v>
      </c>
      <c r="L379" s="75" t="n">
        <v>0.00869212962962963</v>
      </c>
      <c r="M379" s="75" t="n">
        <v>0.01222222222222222</v>
      </c>
      <c r="N379" s="75" t="n">
        <v>0.01321759259259259</v>
      </c>
      <c r="O379" s="75" t="n">
        <v>0.005972222222222223</v>
      </c>
      <c r="P379" s="75" t="n">
        <v>0.01042824074074074</v>
      </c>
    </row>
    <row r="380" ht="15.75" customHeight="1" s="45">
      <c r="A380" s="76" t="n">
        <v>46263</v>
      </c>
      <c r="B380" s="82" t="inlineStr">
        <is>
          <t>Pós-Projeto</t>
        </is>
      </c>
      <c r="C380" s="91" t="inlineStr">
        <is>
          <t>Tempo Médio — 🟢 Verde   (hh:mm)</t>
        </is>
      </c>
      <c r="D380" s="79" t="n">
        <v>0.06539351851851852</v>
      </c>
      <c r="E380" s="79" t="n">
        <v>0.2466087962962963</v>
      </c>
      <c r="F380" s="79" t="n">
        <v>0.1338078703703704</v>
      </c>
      <c r="G380" s="79" t="n">
        <v>0.132025462962963</v>
      </c>
      <c r="H380" s="79" t="n">
        <v>0.1161342592592593</v>
      </c>
      <c r="I380" s="79" t="n">
        <v>0.115625</v>
      </c>
      <c r="J380" s="79" t="n">
        <v>0.5259490740740741</v>
      </c>
      <c r="K380" s="79" t="n">
        <v>0.1078935185185185</v>
      </c>
      <c r="L380" s="79" t="n">
        <v>0.06884259259259259</v>
      </c>
      <c r="M380" s="79" t="n">
        <v>0.09538194444444445</v>
      </c>
      <c r="N380" s="79" t="n">
        <v>0.1099189814814815</v>
      </c>
      <c r="O380" s="79" t="n">
        <v>0.04386574074074074</v>
      </c>
      <c r="P380" s="79" t="n">
        <v>0.06328703703703703</v>
      </c>
    </row>
    <row r="381" ht="15.75" customHeight="1" s="45">
      <c r="A381" s="57" t="n">
        <v>46264</v>
      </c>
      <c r="B381" s="81" t="inlineStr">
        <is>
          <t>Pós-Projeto</t>
        </is>
      </c>
      <c r="C381" s="59" t="inlineStr">
        <is>
          <t>Acolhim. + Atend. Urgência + Atend. UPA</t>
        </is>
      </c>
      <c r="D381" s="60">
        <f>SUM(D382:D384)</f>
        <v/>
      </c>
      <c r="E381" s="60">
        <f>SUM(E382:E384)</f>
        <v/>
      </c>
      <c r="F381" s="60">
        <f>SUM(F382:F384)</f>
        <v/>
      </c>
      <c r="G381" s="60">
        <f>SUM(G382:G384)</f>
        <v/>
      </c>
      <c r="H381" s="60">
        <f>SUM(H382:H384)</f>
        <v/>
      </c>
      <c r="I381" s="60">
        <f>SUM(I382:I384)</f>
        <v/>
      </c>
      <c r="J381" s="60">
        <f>SUM(J382:J384)</f>
        <v/>
      </c>
      <c r="K381" s="60">
        <f>SUM(K382:K384)</f>
        <v/>
      </c>
      <c r="L381" s="60">
        <f>SUM(L382:L384)</f>
        <v/>
      </c>
      <c r="M381" s="60">
        <f>SUM(M382:M384)</f>
        <v/>
      </c>
      <c r="N381" s="60">
        <f>SUM(N382:N384)</f>
        <v/>
      </c>
      <c r="O381" s="60">
        <f>SUM(O382:O384)</f>
        <v/>
      </c>
      <c r="P381" s="60">
        <f>SUM(P382:P384)</f>
        <v/>
      </c>
    </row>
    <row r="382" ht="15.75" customHeight="1" s="45">
      <c r="A382" s="61" t="n">
        <v>46264</v>
      </c>
      <c r="B382" s="82" t="inlineStr">
        <is>
          <t>Pós-Projeto</t>
        </is>
      </c>
      <c r="C382" s="83" t="inlineStr">
        <is>
          <t>Acolhimento c/ Classif. de Risco</t>
        </is>
      </c>
      <c r="D382" s="66" t="n">
        <v>166</v>
      </c>
      <c r="E382" s="66" t="n">
        <v>132</v>
      </c>
      <c r="F382" s="66" t="n">
        <v>127</v>
      </c>
      <c r="G382" s="66" t="n">
        <v>138</v>
      </c>
      <c r="H382" s="66" t="n">
        <v>131</v>
      </c>
      <c r="I382" s="66" t="n">
        <v>163</v>
      </c>
      <c r="J382" s="66" t="n">
        <v>71</v>
      </c>
      <c r="K382" s="66" t="n">
        <v>262</v>
      </c>
      <c r="L382" s="66" t="n">
        <v>134</v>
      </c>
      <c r="M382" s="66" t="n">
        <v>199</v>
      </c>
      <c r="N382" s="66" t="n">
        <v>181</v>
      </c>
      <c r="O382" s="66" t="n">
        <v>228</v>
      </c>
      <c r="P382" s="66" t="n">
        <v>243</v>
      </c>
    </row>
    <row r="383" ht="15.75" customHeight="1" s="45">
      <c r="A383" s="61" t="n">
        <v>46264</v>
      </c>
      <c r="B383" s="82" t="inlineStr">
        <is>
          <t>Pós-Projeto</t>
        </is>
      </c>
      <c r="C383" s="84" t="inlineStr">
        <is>
          <t>Atend. Urgência Obs. ≤ 24h</t>
        </is>
      </c>
      <c r="D383" s="64" t="n">
        <v>18</v>
      </c>
      <c r="E383" s="64" t="n">
        <v>18</v>
      </c>
      <c r="F383" s="64" t="n">
        <v>16</v>
      </c>
      <c r="G383" s="64" t="n">
        <v>19</v>
      </c>
      <c r="H383" s="64" t="n">
        <v>10</v>
      </c>
      <c r="I383" s="64" t="n">
        <v>30</v>
      </c>
      <c r="J383" s="64" t="n">
        <v>16</v>
      </c>
      <c r="K383" s="64" t="n">
        <v>34</v>
      </c>
      <c r="L383" s="64" t="n">
        <v>29</v>
      </c>
      <c r="M383" s="64" t="n">
        <v>25</v>
      </c>
      <c r="N383" s="64" t="n">
        <v>7</v>
      </c>
      <c r="O383" s="64" t="n">
        <v>3</v>
      </c>
      <c r="P383" s="64" t="n">
        <v>13</v>
      </c>
    </row>
    <row r="384" ht="15.75" customHeight="1" s="45">
      <c r="A384" s="61" t="n">
        <v>46264</v>
      </c>
      <c r="B384" s="82" t="inlineStr">
        <is>
          <t>Pós-Projeto</t>
        </is>
      </c>
      <c r="C384" s="83" t="inlineStr">
        <is>
          <t>Atend. Médico em UPA</t>
        </is>
      </c>
      <c r="D384" s="66" t="n">
        <v>84</v>
      </c>
      <c r="E384" s="66" t="n">
        <v>50</v>
      </c>
      <c r="F384" s="66" t="n">
        <v>87</v>
      </c>
      <c r="G384" s="66" t="n">
        <v>69</v>
      </c>
      <c r="H384" s="66" t="n">
        <v>57</v>
      </c>
      <c r="I384" s="66" t="n">
        <v>139</v>
      </c>
      <c r="J384" s="66" t="n">
        <v>17</v>
      </c>
      <c r="K384" s="66" t="n">
        <v>202</v>
      </c>
      <c r="L384" s="66" t="n">
        <v>92</v>
      </c>
      <c r="M384" s="66" t="n">
        <v>112</v>
      </c>
      <c r="N384" s="66" t="n">
        <v>137</v>
      </c>
      <c r="O384" s="66" t="n">
        <v>152</v>
      </c>
      <c r="P384" s="66" t="n">
        <v>127</v>
      </c>
    </row>
    <row r="385" ht="15.75" customHeight="1" s="45">
      <c r="A385" s="61" t="n">
        <v>46264</v>
      </c>
      <c r="B385" s="82" t="inlineStr">
        <is>
          <t>Pós-Projeto</t>
        </is>
      </c>
      <c r="C385" s="84" t="inlineStr">
        <is>
          <t>Exames Laboratoriais</t>
        </is>
      </c>
      <c r="D385" s="64" t="n">
        <v>468</v>
      </c>
      <c r="E385" s="64" t="n">
        <v>320</v>
      </c>
      <c r="F385" s="64" t="n">
        <v>410</v>
      </c>
      <c r="G385" s="64" t="n">
        <v>148</v>
      </c>
      <c r="H385" s="64" t="n">
        <v>486</v>
      </c>
      <c r="I385" s="64" t="n">
        <v>705</v>
      </c>
      <c r="J385" s="64" t="n">
        <v>131</v>
      </c>
      <c r="K385" s="64" t="n">
        <v>853</v>
      </c>
      <c r="L385" s="64" t="n">
        <v>670</v>
      </c>
      <c r="M385" s="64" t="n">
        <v>635</v>
      </c>
      <c r="N385" s="64" t="n">
        <v>576</v>
      </c>
      <c r="O385" s="64" t="n">
        <v>428</v>
      </c>
      <c r="P385" s="64" t="n">
        <v>656</v>
      </c>
    </row>
    <row r="386" ht="15.75" customHeight="1" s="45">
      <c r="A386" s="61" t="n">
        <v>46264</v>
      </c>
      <c r="B386" s="82" t="inlineStr">
        <is>
          <t>Pós-Projeto</t>
        </is>
      </c>
      <c r="C386" s="83" t="inlineStr">
        <is>
          <t>Radiografias</t>
        </is>
      </c>
      <c r="D386" s="66" t="n">
        <v>17</v>
      </c>
      <c r="E386" s="66" t="n">
        <v>3</v>
      </c>
      <c r="F386" s="66" t="n">
        <v>11</v>
      </c>
      <c r="G386" s="67" t="n">
        <v>0</v>
      </c>
      <c r="H386" s="66" t="n">
        <v>13</v>
      </c>
      <c r="I386" s="66" t="n">
        <v>17</v>
      </c>
      <c r="J386" s="66" t="n">
        <v>2</v>
      </c>
      <c r="K386" s="66" t="n">
        <v>43</v>
      </c>
      <c r="L386" s="66" t="n">
        <v>7</v>
      </c>
      <c r="M386" s="66" t="n">
        <v>18</v>
      </c>
      <c r="N386" s="66" t="n">
        <v>15</v>
      </c>
      <c r="O386" s="66" t="n">
        <v>33</v>
      </c>
      <c r="P386" s="66" t="n">
        <v>39</v>
      </c>
    </row>
    <row r="387" ht="15.75" customHeight="1" s="45">
      <c r="A387" s="61" t="n">
        <v>46264</v>
      </c>
      <c r="B387" s="82" t="inlineStr">
        <is>
          <t>Pós-Projeto</t>
        </is>
      </c>
      <c r="C387" s="84" t="inlineStr">
        <is>
          <t>Eletrocardiogramas</t>
        </is>
      </c>
      <c r="D387" s="64" t="n">
        <v>20</v>
      </c>
      <c r="E387" s="64" t="n">
        <v>6</v>
      </c>
      <c r="F387" s="64" t="n">
        <v>5</v>
      </c>
      <c r="G387" s="64" t="n">
        <v>1</v>
      </c>
      <c r="H387" s="67" t="n">
        <v>0</v>
      </c>
      <c r="I387" s="67" t="n">
        <v>0</v>
      </c>
      <c r="J387" s="67" t="n">
        <v>0</v>
      </c>
      <c r="K387" s="64" t="n">
        <v>27</v>
      </c>
      <c r="L387" s="67" t="n">
        <v>0</v>
      </c>
      <c r="M387" s="67" t="n">
        <v>0</v>
      </c>
      <c r="N387" s="64" t="n">
        <v>7</v>
      </c>
      <c r="O387" s="67" t="n">
        <v>0</v>
      </c>
      <c r="P387" s="64" t="n">
        <v>15</v>
      </c>
    </row>
    <row r="388" ht="15.75" customHeight="1" s="45">
      <c r="A388" s="61" t="n">
        <v>46264</v>
      </c>
      <c r="B388" s="82" t="inlineStr">
        <is>
          <t>Pós-Projeto</t>
        </is>
      </c>
      <c r="C388" s="85" t="inlineStr">
        <is>
          <t>GAEs Abertas</t>
        </is>
      </c>
      <c r="D388" s="69" t="n">
        <v>184</v>
      </c>
      <c r="E388" s="69" t="n">
        <v>141</v>
      </c>
      <c r="F388" s="69" t="n">
        <v>129</v>
      </c>
      <c r="G388" s="69" t="n">
        <v>142</v>
      </c>
      <c r="H388" s="69" t="n">
        <v>132</v>
      </c>
      <c r="I388" s="69" t="n">
        <v>177</v>
      </c>
      <c r="J388" s="69" t="n">
        <v>74</v>
      </c>
      <c r="K388" s="69" t="n">
        <v>290</v>
      </c>
      <c r="L388" s="69" t="n">
        <v>135</v>
      </c>
      <c r="M388" s="69" t="n">
        <v>207</v>
      </c>
      <c r="N388" s="69" t="n">
        <v>185</v>
      </c>
      <c r="O388" s="69" t="n">
        <v>231</v>
      </c>
      <c r="P388" s="69" t="n">
        <v>256</v>
      </c>
    </row>
    <row r="389" ht="15.75" customHeight="1" s="45">
      <c r="A389" s="61" t="n">
        <v>46264</v>
      </c>
      <c r="B389" s="82" t="inlineStr">
        <is>
          <t>Pós-Projeto</t>
        </is>
      </c>
      <c r="C389" s="85" t="inlineStr">
        <is>
          <t>GAEs Classificadas</t>
        </is>
      </c>
      <c r="D389" s="69" t="n">
        <v>167</v>
      </c>
      <c r="E389" s="69" t="n">
        <v>132</v>
      </c>
      <c r="F389" s="69" t="n">
        <v>126</v>
      </c>
      <c r="G389" s="69" t="n">
        <v>138</v>
      </c>
      <c r="H389" s="69" t="n">
        <v>130</v>
      </c>
      <c r="I389" s="69" t="n">
        <v>161</v>
      </c>
      <c r="J389" s="69" t="n">
        <v>71</v>
      </c>
      <c r="K389" s="69" t="n">
        <v>263</v>
      </c>
      <c r="L389" s="69" t="n">
        <v>131</v>
      </c>
      <c r="M389" s="69" t="n">
        <v>197</v>
      </c>
      <c r="N389" s="69" t="n">
        <v>182</v>
      </c>
      <c r="O389" s="69" t="n">
        <v>227</v>
      </c>
      <c r="P389" s="69" t="n">
        <v>245</v>
      </c>
    </row>
    <row r="390" ht="15.75" customHeight="1" s="45">
      <c r="A390" s="61" t="n">
        <v>46264</v>
      </c>
      <c r="B390" s="82" t="inlineStr">
        <is>
          <t>Pós-Projeto</t>
        </is>
      </c>
      <c r="C390" s="86" t="inlineStr">
        <is>
          <t>Percentual de GAEs abertas classificadas</t>
        </is>
      </c>
      <c r="D390" s="71">
        <f>IFERROR(D389/D388,"-")</f>
        <v/>
      </c>
      <c r="E390" s="71">
        <f>IFERROR(E389/E388,"-")</f>
        <v/>
      </c>
      <c r="F390" s="71">
        <f>IFERROR(F389/F388,"-")</f>
        <v/>
      </c>
      <c r="G390" s="71">
        <f>IFERROR(G389/G388,"-")</f>
        <v/>
      </c>
      <c r="H390" s="71">
        <f>IFERROR(H389/H388,"-")</f>
        <v/>
      </c>
      <c r="I390" s="71">
        <f>IFERROR(I389/I388,"-")</f>
        <v/>
      </c>
      <c r="J390" s="71">
        <f>IFERROR(J389/J388,"-")</f>
        <v/>
      </c>
      <c r="K390" s="71">
        <f>IFERROR(K389/K388,"-")</f>
        <v/>
      </c>
      <c r="L390" s="71">
        <f>IFERROR(L389/L388,"-")</f>
        <v/>
      </c>
      <c r="M390" s="71">
        <f>IFERROR(M389/M388,"-")</f>
        <v/>
      </c>
      <c r="N390" s="71">
        <f>IFERROR(N389/N388,"-")</f>
        <v/>
      </c>
      <c r="O390" s="71">
        <f>IFERROR(O389/O388,"-")</f>
        <v/>
      </c>
      <c r="P390" s="71">
        <f>IFERROR(P389/P388,"-")</f>
        <v/>
      </c>
    </row>
    <row r="391" ht="15.75" customHeight="1" s="45">
      <c r="A391" s="61" t="n">
        <v>46264</v>
      </c>
      <c r="B391" s="82" t="inlineStr">
        <is>
          <t>Pós-Projeto</t>
        </is>
      </c>
      <c r="C391" s="87" t="inlineStr">
        <is>
          <t>Tempo Médio — 🟡 Amarelo (hh:mm)</t>
        </is>
      </c>
      <c r="D391" s="73" t="n">
        <v>0.1023958333333333</v>
      </c>
      <c r="E391" s="73" t="n">
        <v>0.2053356481481481</v>
      </c>
      <c r="F391" s="73" t="n">
        <v>0.05302083333333334</v>
      </c>
      <c r="G391" s="73" t="n">
        <v>0.07927083333333333</v>
      </c>
      <c r="H391" s="73" t="n">
        <v>0.05096064814814815</v>
      </c>
      <c r="I391" s="73" t="n">
        <v>0.01604166666666667</v>
      </c>
      <c r="J391" s="73" t="n">
        <v>0.07349537037037036</v>
      </c>
      <c r="K391" s="73" t="n">
        <v>0.09145833333333334</v>
      </c>
      <c r="L391" s="73" t="n">
        <v>0.1068171296296296</v>
      </c>
      <c r="M391" s="73" t="n">
        <v>0.04737268518518518</v>
      </c>
      <c r="N391" s="73" t="n">
        <v>0.06292824074074074</v>
      </c>
      <c r="O391" s="73" t="n">
        <v>0.03829861111111111</v>
      </c>
      <c r="P391" s="73" t="n">
        <v>0.02145833333333333</v>
      </c>
    </row>
    <row r="392" ht="15.75" customHeight="1" s="45">
      <c r="A392" s="61" t="n">
        <v>46264</v>
      </c>
      <c r="B392" s="82" t="inlineStr">
        <is>
          <t>Pós-Projeto</t>
        </is>
      </c>
      <c r="C392" s="88" t="inlineStr">
        <is>
          <t>Tempo Médio — 🟠 Laranja (hh:mm)</t>
        </is>
      </c>
      <c r="D392" s="75" t="n">
        <v>0.01290509259259259</v>
      </c>
      <c r="E392" s="75" t="n">
        <v>0.03787037037037037</v>
      </c>
      <c r="F392" s="75" t="n">
        <v>0.007650462962962963</v>
      </c>
      <c r="G392" s="75" t="n">
        <v>0.006770833333333334</v>
      </c>
      <c r="H392" s="75" t="n">
        <v>0.005833333333333334</v>
      </c>
      <c r="I392" s="75" t="n">
        <v>0.003043981481481481</v>
      </c>
      <c r="J392" s="75" t="n">
        <v>0.01346064814814815</v>
      </c>
      <c r="K392" s="75" t="n">
        <v>0.01621527777777778</v>
      </c>
      <c r="L392" s="75" t="n">
        <v>0.01525462962962963</v>
      </c>
      <c r="M392" s="75" t="n">
        <v>0.02344907407407407</v>
      </c>
      <c r="N392" s="75" t="n">
        <v>0.01354166666666667</v>
      </c>
      <c r="O392" s="75" t="n">
        <v>0.01199074074074074</v>
      </c>
      <c r="P392" s="75" t="n">
        <v>0.005868055555555555</v>
      </c>
    </row>
    <row r="393" ht="15.75" customHeight="1" s="45">
      <c r="A393" s="76" t="n">
        <v>46264</v>
      </c>
      <c r="B393" s="82" t="inlineStr">
        <is>
          <t>Pós-Projeto</t>
        </is>
      </c>
      <c r="C393" s="91" t="inlineStr">
        <is>
          <t>Tempo Médio — 🟢 Verde   (hh:mm)</t>
        </is>
      </c>
      <c r="D393" s="79" t="n">
        <v>0.08277777777777778</v>
      </c>
      <c r="E393" s="79" t="n">
        <v>0.3609375</v>
      </c>
      <c r="F393" s="79" t="n">
        <v>0.08900462962962963</v>
      </c>
      <c r="G393" s="79" t="n">
        <v>0.122662037037037</v>
      </c>
      <c r="H393" s="79" t="n">
        <v>0.1875462962962963</v>
      </c>
      <c r="I393" s="79" t="n">
        <v>0.06245370370370371</v>
      </c>
      <c r="J393" s="79" t="n">
        <v>0.0934837962962963</v>
      </c>
      <c r="K393" s="79" t="n">
        <v>0.07074074074074074</v>
      </c>
      <c r="L393" s="79" t="n">
        <v>0.200462962962963</v>
      </c>
      <c r="M393" s="79" t="n">
        <v>0.07271990740740741</v>
      </c>
      <c r="N393" s="79" t="n">
        <v>0.1398263888888889</v>
      </c>
      <c r="O393" s="79" t="n">
        <v>0.06314814814814815</v>
      </c>
      <c r="P393" s="79" t="n">
        <v>0.07447916666666667</v>
      </c>
    </row>
    <row r="394" ht="15.75" customHeight="1" s="45">
      <c r="A394" s="57" t="n">
        <v>46265</v>
      </c>
      <c r="B394" s="81" t="inlineStr">
        <is>
          <t>Pós-Projeto</t>
        </is>
      </c>
      <c r="C394" s="59" t="inlineStr">
        <is>
          <t>Acolhim. + Atend. Urgência + Atend. UPA</t>
        </is>
      </c>
      <c r="D394" s="60">
        <f>SUM(D395:D397)</f>
        <v/>
      </c>
      <c r="E394" s="60">
        <f>SUM(E395:E397)</f>
        <v/>
      </c>
      <c r="F394" s="60">
        <f>SUM(F395:F397)</f>
        <v/>
      </c>
      <c r="G394" s="60">
        <f>SUM(G395:G397)</f>
        <v/>
      </c>
      <c r="H394" s="60">
        <f>SUM(H395:H397)</f>
        <v/>
      </c>
      <c r="I394" s="60">
        <f>SUM(I395:I397)</f>
        <v/>
      </c>
      <c r="J394" s="60">
        <f>SUM(J395:J397)</f>
        <v/>
      </c>
      <c r="K394" s="60">
        <f>SUM(K395:K397)</f>
        <v/>
      </c>
      <c r="L394" s="60">
        <f>SUM(L395:L397)</f>
        <v/>
      </c>
      <c r="M394" s="60">
        <f>SUM(M395:M397)</f>
        <v/>
      </c>
      <c r="N394" s="60">
        <f>SUM(N395:N397)</f>
        <v/>
      </c>
      <c r="O394" s="60">
        <f>SUM(O395:O397)</f>
        <v/>
      </c>
      <c r="P394" s="60">
        <f>SUM(P395:P397)</f>
        <v/>
      </c>
    </row>
    <row r="395" ht="15.75" customHeight="1" s="45">
      <c r="A395" s="61" t="n">
        <v>46265</v>
      </c>
      <c r="B395" s="82" t="inlineStr">
        <is>
          <t>Pós-Projeto</t>
        </is>
      </c>
      <c r="C395" s="83" t="inlineStr">
        <is>
          <t>Acolhimento c/ Classif. de Risco</t>
        </is>
      </c>
      <c r="D395" s="64" t="n">
        <v>265</v>
      </c>
      <c r="E395" s="64" t="n">
        <v>170</v>
      </c>
      <c r="F395" s="64" t="n">
        <v>182</v>
      </c>
      <c r="G395" s="64" t="n">
        <v>197</v>
      </c>
      <c r="H395" s="64" t="n">
        <v>156</v>
      </c>
      <c r="I395" s="64" t="n">
        <v>217</v>
      </c>
      <c r="J395" s="64" t="n">
        <v>143</v>
      </c>
      <c r="K395" s="64" t="n">
        <v>287</v>
      </c>
      <c r="L395" s="64" t="n">
        <v>160</v>
      </c>
      <c r="M395" s="64" t="n">
        <v>271</v>
      </c>
      <c r="N395" s="64" t="n">
        <v>265</v>
      </c>
      <c r="O395" s="64" t="n">
        <v>330</v>
      </c>
      <c r="P395" s="64" t="n">
        <v>305</v>
      </c>
    </row>
    <row r="396" ht="15.75" customHeight="1" s="45">
      <c r="A396" s="61" t="n">
        <v>46265</v>
      </c>
      <c r="B396" s="82" t="inlineStr">
        <is>
          <t>Pós-Projeto</t>
        </is>
      </c>
      <c r="C396" s="84" t="inlineStr">
        <is>
          <t>Atend. Urgência Obs. ≤ 24h</t>
        </is>
      </c>
      <c r="D396" s="66" t="n">
        <v>36</v>
      </c>
      <c r="E396" s="66" t="n">
        <v>9</v>
      </c>
      <c r="F396" s="66" t="n">
        <v>21</v>
      </c>
      <c r="G396" s="66" t="n">
        <v>29</v>
      </c>
      <c r="H396" s="66" t="n">
        <v>15</v>
      </c>
      <c r="I396" s="66" t="n">
        <v>21</v>
      </c>
      <c r="J396" s="66" t="n">
        <v>15</v>
      </c>
      <c r="K396" s="66" t="n">
        <v>44</v>
      </c>
      <c r="L396" s="66" t="n">
        <v>63</v>
      </c>
      <c r="M396" s="66" t="n">
        <v>69</v>
      </c>
      <c r="N396" s="66" t="n">
        <v>23</v>
      </c>
      <c r="O396" s="66" t="n">
        <v>21</v>
      </c>
      <c r="P396" s="66" t="n">
        <v>29</v>
      </c>
    </row>
    <row r="397" ht="15.75" customHeight="1" s="45">
      <c r="A397" s="61" t="n">
        <v>46265</v>
      </c>
      <c r="B397" s="82" t="inlineStr">
        <is>
          <t>Pós-Projeto</t>
        </is>
      </c>
      <c r="C397" s="83" t="inlineStr">
        <is>
          <t>Atend. Médico em UPA</t>
        </is>
      </c>
      <c r="D397" s="64" t="n">
        <v>155</v>
      </c>
      <c r="E397" s="64" t="n">
        <v>105</v>
      </c>
      <c r="F397" s="64" t="n">
        <v>150</v>
      </c>
      <c r="G397" s="64" t="n">
        <v>155</v>
      </c>
      <c r="H397" s="64" t="n">
        <v>99</v>
      </c>
      <c r="I397" s="64" t="n">
        <v>168</v>
      </c>
      <c r="J397" s="64" t="n">
        <v>95</v>
      </c>
      <c r="K397" s="64" t="n">
        <v>226</v>
      </c>
      <c r="L397" s="64" t="n">
        <v>107</v>
      </c>
      <c r="M397" s="64" t="n">
        <v>153</v>
      </c>
      <c r="N397" s="64" t="n">
        <v>206</v>
      </c>
      <c r="O397" s="64" t="n">
        <v>270</v>
      </c>
      <c r="P397" s="64" t="n">
        <v>207</v>
      </c>
    </row>
    <row r="398" ht="15.75" customHeight="1" s="45">
      <c r="A398" s="61" t="n">
        <v>46265</v>
      </c>
      <c r="B398" s="82" t="inlineStr">
        <is>
          <t>Pós-Projeto</t>
        </is>
      </c>
      <c r="C398" s="84" t="inlineStr">
        <is>
          <t>Exames Laboratoriais</t>
        </is>
      </c>
      <c r="D398" s="66" t="n">
        <v>769</v>
      </c>
      <c r="E398" s="66" t="n">
        <v>401</v>
      </c>
      <c r="F398" s="66" t="n">
        <v>639</v>
      </c>
      <c r="G398" s="66" t="n">
        <v>64</v>
      </c>
      <c r="H398" s="66" t="n">
        <v>341</v>
      </c>
      <c r="I398" s="66" t="n">
        <v>611</v>
      </c>
      <c r="J398" s="66" t="n">
        <v>367</v>
      </c>
      <c r="K398" s="66" t="n">
        <v>794</v>
      </c>
      <c r="L398" s="66" t="n">
        <v>528</v>
      </c>
      <c r="M398" s="66" t="n">
        <v>621</v>
      </c>
      <c r="N398" s="66" t="n">
        <v>531</v>
      </c>
      <c r="O398" s="66" t="n">
        <v>412</v>
      </c>
      <c r="P398" s="66" t="n">
        <v>698</v>
      </c>
    </row>
    <row r="399" ht="15.75" customHeight="1" s="45">
      <c r="A399" s="61" t="n">
        <v>46265</v>
      </c>
      <c r="B399" s="82" t="inlineStr">
        <is>
          <t>Pós-Projeto</t>
        </is>
      </c>
      <c r="C399" s="83" t="inlineStr">
        <is>
          <t>Radiografias</t>
        </is>
      </c>
      <c r="D399" s="64" t="n">
        <v>28</v>
      </c>
      <c r="E399" s="64" t="n">
        <v>6</v>
      </c>
      <c r="F399" s="64" t="n">
        <v>16</v>
      </c>
      <c r="G399" s="67" t="n">
        <v>0</v>
      </c>
      <c r="H399" s="64" t="n">
        <v>10</v>
      </c>
      <c r="I399" s="64" t="n">
        <v>22</v>
      </c>
      <c r="J399" s="64" t="n">
        <v>14</v>
      </c>
      <c r="K399" s="64" t="n">
        <v>42</v>
      </c>
      <c r="L399" s="64" t="n">
        <v>18</v>
      </c>
      <c r="M399" s="64" t="n">
        <v>25</v>
      </c>
      <c r="N399" s="64" t="n">
        <v>27</v>
      </c>
      <c r="O399" s="64" t="n">
        <v>49</v>
      </c>
      <c r="P399" s="64" t="n">
        <v>47</v>
      </c>
    </row>
    <row r="400" ht="15.75" customHeight="1" s="45">
      <c r="A400" s="61" t="n">
        <v>46265</v>
      </c>
      <c r="B400" s="82" t="inlineStr">
        <is>
          <t>Pós-Projeto</t>
        </is>
      </c>
      <c r="C400" s="84" t="inlineStr">
        <is>
          <t>Eletrocardiogramas</t>
        </is>
      </c>
      <c r="D400" s="66" t="n">
        <v>15</v>
      </c>
      <c r="E400" s="66" t="n">
        <v>7</v>
      </c>
      <c r="F400" s="67" t="n">
        <v>0</v>
      </c>
      <c r="G400" s="67" t="n">
        <v>0</v>
      </c>
      <c r="H400" s="67" t="n">
        <v>0</v>
      </c>
      <c r="I400" s="66" t="n">
        <v>2</v>
      </c>
      <c r="J400" s="67" t="n">
        <v>0</v>
      </c>
      <c r="K400" s="66" t="n">
        <v>10</v>
      </c>
      <c r="L400" s="67" t="n">
        <v>0</v>
      </c>
      <c r="M400" s="67" t="n">
        <v>0</v>
      </c>
      <c r="N400" s="66" t="n">
        <v>15</v>
      </c>
      <c r="O400" s="67" t="n">
        <v>0</v>
      </c>
      <c r="P400" s="66" t="n">
        <v>9</v>
      </c>
    </row>
    <row r="401" ht="15.75" customHeight="1" s="45">
      <c r="A401" s="61" t="n">
        <v>46265</v>
      </c>
      <c r="B401" s="82" t="inlineStr">
        <is>
          <t>Pós-Projeto</t>
        </is>
      </c>
      <c r="C401" s="85" t="inlineStr">
        <is>
          <t>GAEs Abertas</t>
        </is>
      </c>
      <c r="D401" s="69" t="n">
        <v>285</v>
      </c>
      <c r="E401" s="69" t="n">
        <v>176</v>
      </c>
      <c r="F401" s="69" t="n">
        <v>192</v>
      </c>
      <c r="G401" s="69" t="n">
        <v>207</v>
      </c>
      <c r="H401" s="69" t="n">
        <v>161</v>
      </c>
      <c r="I401" s="69" t="n">
        <v>230</v>
      </c>
      <c r="J401" s="69" t="n">
        <v>148</v>
      </c>
      <c r="K401" s="69" t="n">
        <v>337</v>
      </c>
      <c r="L401" s="69" t="n">
        <v>167</v>
      </c>
      <c r="M401" s="69" t="n">
        <v>293</v>
      </c>
      <c r="N401" s="69" t="n">
        <v>268</v>
      </c>
      <c r="O401" s="69" t="n">
        <v>344</v>
      </c>
      <c r="P401" s="69" t="n">
        <v>334</v>
      </c>
    </row>
    <row r="402" ht="15.75" customHeight="1" s="45">
      <c r="A402" s="61" t="n">
        <v>46265</v>
      </c>
      <c r="B402" s="82" t="inlineStr">
        <is>
          <t>Pós-Projeto</t>
        </is>
      </c>
      <c r="C402" s="85" t="inlineStr">
        <is>
          <t>GAEs Classificadas</t>
        </is>
      </c>
      <c r="D402" s="69" t="n">
        <v>263</v>
      </c>
      <c r="E402" s="69" t="n">
        <v>170</v>
      </c>
      <c r="F402" s="69" t="n">
        <v>182</v>
      </c>
      <c r="G402" s="69" t="n">
        <v>197</v>
      </c>
      <c r="H402" s="69" t="n">
        <v>156</v>
      </c>
      <c r="I402" s="69" t="n">
        <v>217</v>
      </c>
      <c r="J402" s="69" t="n">
        <v>143</v>
      </c>
      <c r="K402" s="69" t="n">
        <v>285</v>
      </c>
      <c r="L402" s="69" t="n">
        <v>161</v>
      </c>
      <c r="M402" s="69" t="n">
        <v>271</v>
      </c>
      <c r="N402" s="69" t="n">
        <v>264</v>
      </c>
      <c r="O402" s="69" t="n">
        <v>330</v>
      </c>
      <c r="P402" s="69" t="n">
        <v>303</v>
      </c>
    </row>
    <row r="403" ht="15.75" customHeight="1" s="45">
      <c r="A403" s="61" t="n">
        <v>46265</v>
      </c>
      <c r="B403" s="82" t="inlineStr">
        <is>
          <t>Pós-Projeto</t>
        </is>
      </c>
      <c r="C403" s="86" t="inlineStr">
        <is>
          <t>Percentual de GAEs abertas classificadas</t>
        </is>
      </c>
      <c r="D403" s="71">
        <f>IFERROR(D402/D401,"-")</f>
        <v/>
      </c>
      <c r="E403" s="71">
        <f>IFERROR(E402/E401,"-")</f>
        <v/>
      </c>
      <c r="F403" s="71">
        <f>IFERROR(F402/F401,"-")</f>
        <v/>
      </c>
      <c r="G403" s="71">
        <f>IFERROR(G402/G401,"-")</f>
        <v/>
      </c>
      <c r="H403" s="71">
        <f>IFERROR(H402/H401,"-")</f>
        <v/>
      </c>
      <c r="I403" s="71">
        <f>IFERROR(I402/I401,"-")</f>
        <v/>
      </c>
      <c r="J403" s="71">
        <f>IFERROR(J402/J401,"-")</f>
        <v/>
      </c>
      <c r="K403" s="71">
        <f>IFERROR(K402/K401,"-")</f>
        <v/>
      </c>
      <c r="L403" s="71">
        <f>IFERROR(L402/L401,"-")</f>
        <v/>
      </c>
      <c r="M403" s="71">
        <f>IFERROR(M402/M401,"-")</f>
        <v/>
      </c>
      <c r="N403" s="71">
        <f>IFERROR(N402/N401,"-")</f>
        <v/>
      </c>
      <c r="O403" s="71">
        <f>IFERROR(O402/O401,"-")</f>
        <v/>
      </c>
      <c r="P403" s="71">
        <f>IFERROR(P402/P401,"-")</f>
        <v/>
      </c>
    </row>
    <row r="404" ht="15.75" customHeight="1" s="45">
      <c r="A404" s="61" t="n">
        <v>46265</v>
      </c>
      <c r="B404" s="82" t="inlineStr">
        <is>
          <t>Pós-Projeto</t>
        </is>
      </c>
      <c r="C404" s="87" t="inlineStr">
        <is>
          <t>Tempo Médio — 🟡 Amarelo (hh:mm)</t>
        </is>
      </c>
      <c r="D404" s="73" t="n">
        <v>0.1074652777777778</v>
      </c>
      <c r="E404" s="73" t="n">
        <v>0.04960648148148148</v>
      </c>
      <c r="F404" s="73" t="n">
        <v>0.0494212962962963</v>
      </c>
      <c r="G404" s="73" t="n">
        <v>0.08436342592592593</v>
      </c>
      <c r="H404" s="73" t="n">
        <v>0.06837962962962962</v>
      </c>
      <c r="I404" s="73" t="n">
        <v>0.01199074074074074</v>
      </c>
      <c r="J404" s="73" t="n">
        <v>0.07504629629629629</v>
      </c>
      <c r="K404" s="73" t="n">
        <v>0.09144675925925926</v>
      </c>
      <c r="L404" s="73" t="n">
        <v>0.1429513888888889</v>
      </c>
      <c r="M404" s="73" t="n">
        <v>0.05393518518518518</v>
      </c>
      <c r="N404" s="73" t="n">
        <v>0.05447916666666667</v>
      </c>
      <c r="O404" s="73" t="n">
        <v>0.07733796296296297</v>
      </c>
      <c r="P404" s="73" t="n">
        <v>0.0416087962962963</v>
      </c>
    </row>
    <row r="405" ht="15.75" customHeight="1" s="45">
      <c r="A405" s="61" t="n">
        <v>46265</v>
      </c>
      <c r="B405" s="82" t="inlineStr">
        <is>
          <t>Pós-Projeto</t>
        </is>
      </c>
      <c r="C405" s="88" t="inlineStr">
        <is>
          <t>Tempo Médio — 🟠 Laranja (hh:mm)</t>
        </is>
      </c>
      <c r="D405" s="75" t="n">
        <v>0.01206018518518519</v>
      </c>
      <c r="E405" s="75" t="n">
        <v>0.01059027777777778</v>
      </c>
      <c r="F405" s="75" t="n">
        <v>0.005335648148148148</v>
      </c>
      <c r="G405" s="75" t="n">
        <v>0.004143518518518519</v>
      </c>
      <c r="H405" s="75" t="n">
        <v>0.005393518518518519</v>
      </c>
      <c r="I405" s="75" t="n">
        <v>0.004120370370370371</v>
      </c>
      <c r="J405" s="75" t="n">
        <v>0.009189814814814816</v>
      </c>
      <c r="K405" s="75" t="n">
        <v>0.01203703703703704</v>
      </c>
      <c r="L405" s="75" t="n">
        <v>0.0216087962962963</v>
      </c>
      <c r="M405" s="75" t="n">
        <v>0.01956018518518518</v>
      </c>
      <c r="N405" s="75" t="n">
        <v>0.01673611111111111</v>
      </c>
      <c r="O405" s="75" t="n">
        <v>0.008229166666666666</v>
      </c>
      <c r="P405" s="75" t="n">
        <v>0.008703703703703703</v>
      </c>
    </row>
    <row r="406" ht="15.75" customHeight="1" s="45">
      <c r="A406" s="76" t="n">
        <v>46265</v>
      </c>
      <c r="B406" s="82" t="inlineStr">
        <is>
          <t>Pós-Projeto</t>
        </is>
      </c>
      <c r="C406" s="91" t="inlineStr">
        <is>
          <t>Tempo Médio — 🟢 Verde   (hh:mm)</t>
        </is>
      </c>
      <c r="D406" s="79" t="n">
        <v>0.09621527777777777</v>
      </c>
      <c r="E406" s="79" t="n">
        <v>0.1595717592592593</v>
      </c>
      <c r="F406" s="79" t="n">
        <v>0.09700231481481482</v>
      </c>
      <c r="G406" s="79" t="n">
        <v>0.07349537037037036</v>
      </c>
      <c r="H406" s="79" t="n">
        <v>0.06541666666666666</v>
      </c>
      <c r="I406" s="79" t="n">
        <v>0.1005555555555556</v>
      </c>
      <c r="J406" s="79" t="n">
        <v>0.09956018518518518</v>
      </c>
      <c r="K406" s="79" t="n">
        <v>0.1467592592592593</v>
      </c>
      <c r="L406" s="79" t="n">
        <v>0.1159606481481481</v>
      </c>
      <c r="M406" s="79" t="n">
        <v>0.07546296296296297</v>
      </c>
      <c r="N406" s="79" t="n">
        <v>0.0878587962962963</v>
      </c>
      <c r="O406" s="79" t="n">
        <v>0.1392592592592592</v>
      </c>
      <c r="P406" s="79" t="n">
        <v>0.0732175925925926</v>
      </c>
    </row>
  </sheetData>
  <autoFilter ref="A3:P406"/>
  <mergeCells count="4">
    <mergeCell ref="K2:P2"/>
    <mergeCell ref="A1:P1"/>
    <mergeCell ref="A2:C2"/>
    <mergeCell ref="D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P3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  <selection pane="bottomLeft" activeCell="A256" activeCellId="0" sqref="A256"/>
    </sheetView>
  </sheetViews>
  <sheetFormatPr baseColWidth="8" defaultColWidth="8.6796875" defaultRowHeight="15" zeroHeight="0" outlineLevelRow="0"/>
  <cols>
    <col width="13" customWidth="1" style="44" min="1" max="1"/>
    <col width="12" customWidth="1" style="44" min="2" max="2"/>
    <col width="36.71" customWidth="1" style="44" min="3" max="3"/>
    <col width="15" customWidth="1" style="44" min="4" max="16"/>
  </cols>
  <sheetData>
    <row r="1" ht="31.5" customHeight="1" s="45">
      <c r="A1" s="46" t="inlineStr">
        <is>
          <t>ANÁLISE COMPARATIVA DE INDICADORES — UPAs PORTE I e PORTE III — ANTES e APÓS O PROJETO</t>
        </is>
      </c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8" t="n"/>
    </row>
    <row r="2" ht="25.5" customHeight="1" s="45">
      <c r="A2" s="49" t="inlineStr">
        <is>
          <t>Obs.: O indicador TAXA DE MORTALIDADE é de responsabilidade da SUPPH.</t>
        </is>
      </c>
      <c r="B2" s="47" t="n"/>
      <c r="C2" s="50" t="n"/>
      <c r="D2" s="51" t="inlineStr">
        <is>
          <t>— PORTE I —</t>
        </is>
      </c>
      <c r="E2" s="47" t="n"/>
      <c r="F2" s="47" t="n"/>
      <c r="G2" s="47" t="n"/>
      <c r="H2" s="47" t="n"/>
      <c r="I2" s="47" t="n"/>
      <c r="J2" s="50" t="n"/>
      <c r="K2" s="52" t="inlineStr">
        <is>
          <t>— PORTE III —</t>
        </is>
      </c>
      <c r="L2" s="47" t="n"/>
      <c r="M2" s="47" t="n"/>
      <c r="N2" s="47" t="n"/>
      <c r="O2" s="47" t="n"/>
      <c r="P2" s="53" t="n"/>
    </row>
    <row r="3" ht="36" customHeight="1" s="45">
      <c r="A3" s="54" t="inlineStr">
        <is>
          <t>Data</t>
        </is>
      </c>
      <c r="B3" s="54" t="inlineStr">
        <is>
          <t>Fase</t>
        </is>
      </c>
      <c r="C3" s="54" t="inlineStr">
        <is>
          <t>Indicador</t>
        </is>
      </c>
      <c r="D3" s="55" t="inlineStr">
        <is>
          <t>UPA
CEILÂNDIA II</t>
        </is>
      </c>
      <c r="E3" s="55" t="inlineStr">
        <is>
          <t>UPA
PARANOÁ</t>
        </is>
      </c>
      <c r="F3" s="55" t="inlineStr">
        <is>
          <t>UPA
GAMA</t>
        </is>
      </c>
      <c r="G3" s="55" t="inlineStr">
        <is>
          <t>UPA
PLANALTINA</t>
        </is>
      </c>
      <c r="H3" s="55" t="inlineStr">
        <is>
          <t>UPA RIACHO FUNDO II</t>
        </is>
      </c>
      <c r="I3" s="55" t="inlineStr">
        <is>
          <t>UPA VICENTE PIRES</t>
        </is>
      </c>
      <c r="J3" s="55" t="inlineStr">
        <is>
          <t>UPA BRAZLÂNDIA</t>
        </is>
      </c>
      <c r="K3" s="56" t="inlineStr">
        <is>
          <t>UPA
CEILÂNDIA</t>
        </is>
      </c>
      <c r="L3" s="56" t="inlineStr">
        <is>
          <t>UPA NÚCLEO BANDEIRANTE</t>
        </is>
      </c>
      <c r="M3" s="56" t="inlineStr">
        <is>
          <t>UPA RECANTO DAS EMAS</t>
        </is>
      </c>
      <c r="N3" s="56" t="inlineStr">
        <is>
          <t>UPA SAMAMBAIA</t>
        </is>
      </c>
      <c r="O3" s="56" t="inlineStr">
        <is>
          <t>UPA
SÃO SEBASTIÃO</t>
        </is>
      </c>
      <c r="P3" s="56" t="inlineStr">
        <is>
          <t>UPA SOBRADINHO</t>
        </is>
      </c>
    </row>
    <row r="4" ht="15.75" customHeight="1" s="45">
      <c r="A4" s="57" t="n">
        <v>46266</v>
      </c>
      <c r="B4" s="58" t="inlineStr">
        <is>
          <t>Pós-Projeto</t>
        </is>
      </c>
      <c r="C4" s="59" t="inlineStr">
        <is>
          <t>Acolhim. + Atend. Urgência + Atend. UPA</t>
        </is>
      </c>
      <c r="D4" s="60">
        <f>SUM(D5:D7)</f>
        <v/>
      </c>
      <c r="E4" s="60">
        <f>SUM(E5:E7)</f>
        <v/>
      </c>
      <c r="F4" s="60">
        <f>SUM(F5:F7)</f>
        <v/>
      </c>
      <c r="G4" s="60">
        <f>SUM(G5:G7)</f>
        <v/>
      </c>
      <c r="H4" s="60">
        <f>SUM(H5:H7)</f>
        <v/>
      </c>
      <c r="I4" s="60">
        <f>SUM(I5:I7)</f>
        <v/>
      </c>
      <c r="J4" s="60">
        <f>SUM(J5:J7)</f>
        <v/>
      </c>
      <c r="K4" s="60">
        <f>SUM(K5:K7)</f>
        <v/>
      </c>
      <c r="L4" s="60">
        <f>SUM(L5:L7)</f>
        <v/>
      </c>
      <c r="M4" s="60">
        <f>SUM(M5:M7)</f>
        <v/>
      </c>
      <c r="N4" s="60">
        <f>SUM(N5:N7)</f>
        <v/>
      </c>
      <c r="O4" s="60">
        <f>SUM(O5:O7)</f>
        <v/>
      </c>
      <c r="P4" s="60">
        <f>SUM(P5:P7)</f>
        <v/>
      </c>
    </row>
    <row r="5" ht="15.75" customHeight="1" s="45">
      <c r="A5" s="61" t="n">
        <v>46266</v>
      </c>
      <c r="B5" s="62" t="inlineStr">
        <is>
          <t>Pós-Projeto</t>
        </is>
      </c>
      <c r="C5" s="83" t="inlineStr">
        <is>
          <t>Acolhimento c/ Classif. de Risco</t>
        </is>
      </c>
      <c r="D5" s="64" t="n">
        <v>242</v>
      </c>
      <c r="E5" s="64" t="n">
        <v>214</v>
      </c>
      <c r="F5" s="64" t="n">
        <v>183</v>
      </c>
      <c r="G5" s="64" t="n">
        <v>170</v>
      </c>
      <c r="H5" s="64" t="n">
        <v>174</v>
      </c>
      <c r="I5" s="64" t="n">
        <v>230</v>
      </c>
      <c r="J5" s="64" t="n">
        <v>168</v>
      </c>
      <c r="K5" s="64" t="n">
        <v>366</v>
      </c>
      <c r="L5" s="64" t="n">
        <v>188</v>
      </c>
      <c r="M5" s="64" t="n">
        <v>303</v>
      </c>
      <c r="N5" s="64" t="n">
        <v>200</v>
      </c>
      <c r="O5" s="64" t="n">
        <v>287</v>
      </c>
      <c r="P5" s="64" t="n">
        <v>336</v>
      </c>
    </row>
    <row r="6" ht="15.75" customHeight="1" s="45">
      <c r="A6" s="61" t="n">
        <v>46266</v>
      </c>
      <c r="B6" s="62" t="inlineStr">
        <is>
          <t>Pós-Projeto</t>
        </is>
      </c>
      <c r="C6" s="84" t="inlineStr">
        <is>
          <t>Atend. Urgência Obs. ≤ 24h</t>
        </is>
      </c>
      <c r="D6" s="66" t="n">
        <v>84</v>
      </c>
      <c r="E6" s="66" t="n">
        <v>43</v>
      </c>
      <c r="F6" s="66" t="n">
        <v>9</v>
      </c>
      <c r="G6" s="66" t="n">
        <v>47</v>
      </c>
      <c r="H6" s="66" t="n">
        <v>37</v>
      </c>
      <c r="I6" s="66" t="n">
        <v>65</v>
      </c>
      <c r="J6" s="66" t="n">
        <v>35</v>
      </c>
      <c r="K6" s="66" t="n">
        <v>44</v>
      </c>
      <c r="L6" s="66" t="n">
        <v>41</v>
      </c>
      <c r="M6" s="66" t="n">
        <v>123</v>
      </c>
      <c r="N6" s="66" t="n">
        <v>24</v>
      </c>
      <c r="O6" s="66" t="n">
        <v>17</v>
      </c>
      <c r="P6" s="66" t="n">
        <v>82</v>
      </c>
    </row>
    <row r="7" ht="15.75" customHeight="1" s="45">
      <c r="A7" s="61" t="n">
        <v>46266</v>
      </c>
      <c r="B7" s="62" t="inlineStr">
        <is>
          <t>Pós-Projeto</t>
        </is>
      </c>
      <c r="C7" s="83" t="inlineStr">
        <is>
          <t>Atend. Médico em UPA</t>
        </is>
      </c>
      <c r="D7" s="64" t="n">
        <v>182</v>
      </c>
      <c r="E7" s="64" t="n">
        <v>163</v>
      </c>
      <c r="F7" s="64" t="n">
        <v>116</v>
      </c>
      <c r="G7" s="64" t="n">
        <v>107</v>
      </c>
      <c r="H7" s="64" t="n">
        <v>83</v>
      </c>
      <c r="I7" s="64" t="n">
        <v>146</v>
      </c>
      <c r="J7" s="64" t="n">
        <v>120</v>
      </c>
      <c r="K7" s="64" t="n">
        <v>247</v>
      </c>
      <c r="L7" s="64" t="n">
        <v>117</v>
      </c>
      <c r="M7" s="64" t="n">
        <v>216</v>
      </c>
      <c r="N7" s="64" t="n">
        <v>140</v>
      </c>
      <c r="O7" s="64" t="n">
        <v>177</v>
      </c>
      <c r="P7" s="64" t="n">
        <v>181</v>
      </c>
    </row>
    <row r="8" ht="15.75" customHeight="1" s="45">
      <c r="A8" s="61" t="n">
        <v>46266</v>
      </c>
      <c r="B8" s="62" t="inlineStr">
        <is>
          <t>Pós-Projeto</t>
        </is>
      </c>
      <c r="C8" s="84" t="inlineStr">
        <is>
          <t>Exames Laboratoriais</t>
        </is>
      </c>
      <c r="D8" s="66" t="n">
        <v>549</v>
      </c>
      <c r="E8" s="66" t="n">
        <v>533</v>
      </c>
      <c r="F8" s="66" t="n">
        <v>702</v>
      </c>
      <c r="G8" s="66" t="n">
        <v>128</v>
      </c>
      <c r="H8" s="66" t="n">
        <v>422</v>
      </c>
      <c r="I8" s="66" t="n">
        <v>575</v>
      </c>
      <c r="J8" s="66" t="n">
        <v>430</v>
      </c>
      <c r="K8" s="66" t="n">
        <v>823</v>
      </c>
      <c r="L8" s="66" t="n">
        <v>548</v>
      </c>
      <c r="M8" s="66" t="n">
        <v>731</v>
      </c>
      <c r="N8" s="66" t="n">
        <v>613</v>
      </c>
      <c r="O8" s="66" t="n">
        <v>464</v>
      </c>
      <c r="P8" s="66" t="n">
        <v>518</v>
      </c>
    </row>
    <row r="9" ht="15.75" customHeight="1" s="45">
      <c r="A9" s="61" t="n">
        <v>46266</v>
      </c>
      <c r="B9" s="62" t="inlineStr">
        <is>
          <t>Pós-Projeto</t>
        </is>
      </c>
      <c r="C9" s="83" t="inlineStr">
        <is>
          <t>Radiografias</t>
        </is>
      </c>
      <c r="D9" s="64" t="n">
        <v>29</v>
      </c>
      <c r="E9" s="64" t="n">
        <v>20</v>
      </c>
      <c r="F9" s="64" t="n">
        <v>16</v>
      </c>
      <c r="G9" s="67" t="n">
        <v>0</v>
      </c>
      <c r="H9" s="64" t="n">
        <v>21</v>
      </c>
      <c r="I9" s="64" t="n">
        <v>19</v>
      </c>
      <c r="J9" s="64" t="n">
        <v>16</v>
      </c>
      <c r="K9" s="64" t="n">
        <v>40</v>
      </c>
      <c r="L9" s="64" t="n">
        <v>24</v>
      </c>
      <c r="M9" s="64" t="n">
        <v>41</v>
      </c>
      <c r="N9" s="64" t="n">
        <v>30</v>
      </c>
      <c r="O9" s="64" t="n">
        <v>33</v>
      </c>
      <c r="P9" s="64" t="n">
        <v>53</v>
      </c>
    </row>
    <row r="10" ht="15.75" customHeight="1" s="45">
      <c r="A10" s="61" t="n">
        <v>46266</v>
      </c>
      <c r="B10" s="62" t="inlineStr">
        <is>
          <t>Pós-Projeto</t>
        </is>
      </c>
      <c r="C10" s="84" t="inlineStr">
        <is>
          <t>Eletrocardiogramas</t>
        </is>
      </c>
      <c r="D10" s="66" t="n">
        <v>12</v>
      </c>
      <c r="E10" s="67" t="n">
        <v>0</v>
      </c>
      <c r="F10" s="66" t="n">
        <v>2</v>
      </c>
      <c r="G10" s="67" t="n">
        <v>0</v>
      </c>
      <c r="H10" s="67" t="n">
        <v>0</v>
      </c>
      <c r="I10" s="67" t="n">
        <v>0</v>
      </c>
      <c r="J10" s="67" t="n">
        <v>0</v>
      </c>
      <c r="K10" s="66" t="n">
        <v>9</v>
      </c>
      <c r="L10" s="67" t="n">
        <v>0</v>
      </c>
      <c r="M10" s="67" t="n">
        <v>0</v>
      </c>
      <c r="N10" s="66" t="n">
        <v>11</v>
      </c>
      <c r="O10" s="67" t="n">
        <v>0</v>
      </c>
      <c r="P10" s="66" t="n">
        <v>3</v>
      </c>
    </row>
    <row r="11" ht="15.75" customHeight="1" s="45">
      <c r="A11" s="61" t="n">
        <v>46266</v>
      </c>
      <c r="B11" s="62" t="inlineStr">
        <is>
          <t>Pós-Projeto</t>
        </is>
      </c>
      <c r="C11" s="85" t="inlineStr">
        <is>
          <t>GAEs Abertas</t>
        </is>
      </c>
      <c r="D11" s="69" t="n">
        <v>298</v>
      </c>
      <c r="E11" s="69" t="n">
        <v>224</v>
      </c>
      <c r="F11" s="69" t="n">
        <v>189</v>
      </c>
      <c r="G11" s="69" t="n">
        <v>173</v>
      </c>
      <c r="H11" s="69" t="n">
        <v>176</v>
      </c>
      <c r="I11" s="69" t="n">
        <v>249</v>
      </c>
      <c r="J11" s="69" t="n">
        <v>175</v>
      </c>
      <c r="K11" s="69" t="n">
        <v>390</v>
      </c>
      <c r="L11" s="69" t="n">
        <v>195</v>
      </c>
      <c r="M11" s="69" t="n">
        <v>318</v>
      </c>
      <c r="N11" s="69" t="n">
        <v>214</v>
      </c>
      <c r="O11" s="69" t="n">
        <v>316</v>
      </c>
      <c r="P11" s="69" t="n">
        <v>345</v>
      </c>
    </row>
    <row r="12" ht="15.75" customHeight="1" s="45">
      <c r="A12" s="61" t="n">
        <v>46266</v>
      </c>
      <c r="B12" s="62" t="inlineStr">
        <is>
          <t>Pós-Projeto</t>
        </is>
      </c>
      <c r="C12" s="85" t="inlineStr">
        <is>
          <t>GAEs Classificadas</t>
        </is>
      </c>
      <c r="D12" s="69" t="n">
        <v>251</v>
      </c>
      <c r="E12" s="69" t="n">
        <v>214</v>
      </c>
      <c r="F12" s="69" t="n">
        <v>183</v>
      </c>
      <c r="G12" s="69" t="n">
        <v>170</v>
      </c>
      <c r="H12" s="69" t="n">
        <v>175</v>
      </c>
      <c r="I12" s="69" t="n">
        <v>233</v>
      </c>
      <c r="J12" s="69" t="n">
        <v>169</v>
      </c>
      <c r="K12" s="69" t="n">
        <v>366</v>
      </c>
      <c r="L12" s="69" t="n">
        <v>188</v>
      </c>
      <c r="M12" s="69" t="n">
        <v>305</v>
      </c>
      <c r="N12" s="69" t="n">
        <v>200</v>
      </c>
      <c r="O12" s="69" t="n">
        <v>291</v>
      </c>
      <c r="P12" s="69" t="n">
        <v>337</v>
      </c>
    </row>
    <row r="13" ht="15.75" customHeight="1" s="45">
      <c r="A13" s="61" t="n">
        <v>46266</v>
      </c>
      <c r="B13" s="62" t="inlineStr">
        <is>
          <t>Pós-Projeto</t>
        </is>
      </c>
      <c r="C13" s="86" t="inlineStr">
        <is>
          <t>Percentual de GAEs abertas classificadas</t>
        </is>
      </c>
      <c r="D13" s="71">
        <f>IFERROR(D12/D11,"-")</f>
        <v/>
      </c>
      <c r="E13" s="71">
        <f>IFERROR(E12/E11,"-")</f>
        <v/>
      </c>
      <c r="F13" s="71">
        <f>IFERROR(F12/F11,"-")</f>
        <v/>
      </c>
      <c r="G13" s="71">
        <f>IFERROR(G12/G11,"-")</f>
        <v/>
      </c>
      <c r="H13" s="71">
        <f>IFERROR(H12/H11,"-")</f>
        <v/>
      </c>
      <c r="I13" s="71">
        <f>IFERROR(I12/I11,"-")</f>
        <v/>
      </c>
      <c r="J13" s="71">
        <f>IFERROR(J12/J11,"-")</f>
        <v/>
      </c>
      <c r="K13" s="71">
        <f>IFERROR(K12/K11,"-")</f>
        <v/>
      </c>
      <c r="L13" s="71">
        <f>IFERROR(L12/L11,"-")</f>
        <v/>
      </c>
      <c r="M13" s="71">
        <f>IFERROR(M12/M11,"-")</f>
        <v/>
      </c>
      <c r="N13" s="71">
        <f>IFERROR(N12/N11,"-")</f>
        <v/>
      </c>
      <c r="O13" s="71">
        <f>IFERROR(O12/O11,"-")</f>
        <v/>
      </c>
      <c r="P13" s="71">
        <f>IFERROR(P12/P11,"-")</f>
        <v/>
      </c>
    </row>
    <row r="14" ht="15.75" customHeight="1" s="45">
      <c r="A14" s="61" t="n">
        <v>46266</v>
      </c>
      <c r="B14" s="62" t="inlineStr">
        <is>
          <t>Pós-Projeto</t>
        </is>
      </c>
      <c r="C14" s="87" t="inlineStr">
        <is>
          <t>Tempo Médio — 🟡 Amarelo (hh:mm)</t>
        </is>
      </c>
      <c r="D14" s="73" t="n">
        <v>0.07422453703703703</v>
      </c>
      <c r="E14" s="73" t="n">
        <v>0.02798611111111111</v>
      </c>
      <c r="F14" s="73" t="n">
        <v>0.04946759259259259</v>
      </c>
      <c r="G14" s="73" t="n">
        <v>0.04084490740740741</v>
      </c>
      <c r="H14" s="73" t="n">
        <v>0.07880787037037038</v>
      </c>
      <c r="I14" s="73" t="n">
        <v>0.03587962962962963</v>
      </c>
      <c r="J14" s="73" t="n">
        <v>0.07549768518518518</v>
      </c>
      <c r="K14" s="73" t="n">
        <v>0.08288194444444444</v>
      </c>
      <c r="L14" s="73" t="n">
        <v>0.08717592592592592</v>
      </c>
      <c r="M14" s="73" t="n">
        <v>0.03302083333333333</v>
      </c>
      <c r="N14" s="73" t="n">
        <v>0.06493055555555556</v>
      </c>
      <c r="O14" s="73" t="n">
        <v>0.06083333333333334</v>
      </c>
      <c r="P14" s="73" t="n">
        <v>0.03657407407407407</v>
      </c>
    </row>
    <row r="15" ht="15.75" customHeight="1" s="45">
      <c r="A15" s="61" t="n">
        <v>46266</v>
      </c>
      <c r="B15" s="62" t="inlineStr">
        <is>
          <t>Pós-Projeto</t>
        </is>
      </c>
      <c r="C15" s="88" t="inlineStr">
        <is>
          <t>Tempo Médio — 🟠 Laranja (hh:mm)</t>
        </is>
      </c>
      <c r="D15" s="75" t="n">
        <v>0.01648148148148148</v>
      </c>
      <c r="E15" s="75" t="n">
        <v>0.005162037037037037</v>
      </c>
      <c r="F15" s="75" t="n">
        <v>0.00775462962962963</v>
      </c>
      <c r="G15" s="75" t="n">
        <v>0.004907407407407407</v>
      </c>
      <c r="H15" s="75" t="n">
        <v>0.006145833333333333</v>
      </c>
      <c r="I15" s="75" t="n">
        <v>0.009837962962962963</v>
      </c>
      <c r="J15" s="75" t="n">
        <v>0.01231481481481481</v>
      </c>
      <c r="K15" s="75" t="n">
        <v>0.0184375</v>
      </c>
      <c r="L15" s="75" t="n">
        <v>0.01494212962962963</v>
      </c>
      <c r="M15" s="75" t="n">
        <v>0.01168981481481481</v>
      </c>
      <c r="N15" s="75" t="n">
        <v>0.01384259259259259</v>
      </c>
      <c r="O15" s="75" t="n">
        <v>0.01467592592592593</v>
      </c>
      <c r="P15" s="75" t="n">
        <v>0.007233796296296296</v>
      </c>
    </row>
    <row r="16" ht="15.75" customHeight="1" s="45">
      <c r="A16" s="76" t="n">
        <v>46266</v>
      </c>
      <c r="B16" s="89" t="inlineStr">
        <is>
          <t>Pós-Projeto</t>
        </is>
      </c>
      <c r="C16" s="90" t="inlineStr">
        <is>
          <t>Tempo Médio — 🟢 Verde   (hh:mm)</t>
        </is>
      </c>
      <c r="D16" s="79" t="n">
        <v>0.06398148148148149</v>
      </c>
      <c r="E16" s="79" t="n">
        <v>0.08805555555555555</v>
      </c>
      <c r="F16" s="79" t="n">
        <v>0.06847222222222223</v>
      </c>
      <c r="G16" s="79" t="n">
        <v>0.08314814814814815</v>
      </c>
      <c r="H16" s="79" t="n">
        <v>0.0994212962962963</v>
      </c>
      <c r="I16" s="79" t="n">
        <v>0.1055208333333333</v>
      </c>
      <c r="J16" s="79" t="n">
        <v>0.08668981481481482</v>
      </c>
      <c r="K16" s="79" t="n">
        <v>0.1172106481481481</v>
      </c>
      <c r="L16" s="79" t="n">
        <v>0.1128819444444444</v>
      </c>
      <c r="M16" s="79" t="n">
        <v>0.07127314814814815</v>
      </c>
      <c r="N16" s="79" t="n">
        <v>0.08076388888888889</v>
      </c>
      <c r="O16" s="79" t="n">
        <v>0.1408101851851852</v>
      </c>
      <c r="P16" s="79" t="n">
        <v>0.07837962962962963</v>
      </c>
    </row>
    <row r="17" ht="15.75" customHeight="1" s="45">
      <c r="A17" s="57" t="n">
        <v>46267</v>
      </c>
      <c r="B17" s="81" t="inlineStr">
        <is>
          <t>Pós-Projeto</t>
        </is>
      </c>
      <c r="C17" s="59" t="inlineStr">
        <is>
          <t>Acolhim. + Atend. Urgência + Atend. UPA</t>
        </is>
      </c>
      <c r="D17" s="60">
        <f>SUM(D18:D20)</f>
        <v/>
      </c>
      <c r="E17" s="60">
        <f>SUM(E18:E20)</f>
        <v/>
      </c>
      <c r="F17" s="60">
        <f>SUM(F18:F20)</f>
        <v/>
      </c>
      <c r="G17" s="60">
        <f>SUM(G18:G20)</f>
        <v/>
      </c>
      <c r="H17" s="60">
        <f>SUM(H18:H20)</f>
        <v/>
      </c>
      <c r="I17" s="60">
        <f>SUM(I18:I20)</f>
        <v/>
      </c>
      <c r="J17" s="60">
        <f>SUM(J18:J20)</f>
        <v/>
      </c>
      <c r="K17" s="60">
        <f>SUM(K18:K20)</f>
        <v/>
      </c>
      <c r="L17" s="60">
        <f>SUM(L18:L20)</f>
        <v/>
      </c>
      <c r="M17" s="60">
        <f>SUM(M18:M20)</f>
        <v/>
      </c>
      <c r="N17" s="60">
        <f>SUM(N18:N20)</f>
        <v/>
      </c>
      <c r="O17" s="60">
        <f>SUM(O18:O20)</f>
        <v/>
      </c>
      <c r="P17" s="60">
        <f>SUM(P18:P20)</f>
        <v/>
      </c>
    </row>
    <row r="18" ht="15.75" customHeight="1" s="45">
      <c r="A18" s="61" t="n">
        <v>46267</v>
      </c>
      <c r="B18" s="82" t="inlineStr">
        <is>
          <t>Pós-Projeto</t>
        </is>
      </c>
      <c r="C18" s="84" t="inlineStr">
        <is>
          <t>Acolhimento c/ Classif. de Risco</t>
        </is>
      </c>
      <c r="D18" s="66" t="n">
        <v>212</v>
      </c>
      <c r="E18" s="66" t="n">
        <v>172</v>
      </c>
      <c r="F18" s="66" t="n">
        <v>183</v>
      </c>
      <c r="G18" s="66" t="n">
        <v>166</v>
      </c>
      <c r="H18" s="66" t="n">
        <v>138</v>
      </c>
      <c r="I18" s="66" t="n">
        <v>191</v>
      </c>
      <c r="J18" s="66" t="n">
        <v>100</v>
      </c>
      <c r="K18" s="66" t="n">
        <v>266</v>
      </c>
      <c r="L18" s="66" t="n">
        <v>130</v>
      </c>
      <c r="M18" s="66" t="n">
        <v>216</v>
      </c>
      <c r="N18" s="66" t="n">
        <v>218</v>
      </c>
      <c r="O18" s="66" t="n">
        <v>293</v>
      </c>
      <c r="P18" s="66" t="n">
        <v>268</v>
      </c>
    </row>
    <row r="19" ht="15.75" customHeight="1" s="45">
      <c r="A19" s="61" t="n">
        <v>46267</v>
      </c>
      <c r="B19" s="82" t="inlineStr">
        <is>
          <t>Pós-Projeto</t>
        </is>
      </c>
      <c r="C19" s="83" t="inlineStr">
        <is>
          <t>Atend. Urgência Obs. ≤ 24h</t>
        </is>
      </c>
      <c r="D19" s="64" t="n">
        <v>56</v>
      </c>
      <c r="E19" s="64" t="n">
        <v>9</v>
      </c>
      <c r="F19" s="64" t="n">
        <v>29</v>
      </c>
      <c r="G19" s="64" t="n">
        <v>11</v>
      </c>
      <c r="H19" s="64" t="n">
        <v>10</v>
      </c>
      <c r="I19" s="64" t="n">
        <v>29</v>
      </c>
      <c r="J19" s="64" t="n">
        <v>14</v>
      </c>
      <c r="K19" s="64" t="n">
        <v>37</v>
      </c>
      <c r="L19" s="64" t="n">
        <v>44</v>
      </c>
      <c r="M19" s="64" t="n">
        <v>57</v>
      </c>
      <c r="N19" s="64" t="n">
        <v>65</v>
      </c>
      <c r="O19" s="64" t="n">
        <v>20</v>
      </c>
      <c r="P19" s="64" t="n">
        <v>22</v>
      </c>
    </row>
    <row r="20" ht="15.75" customHeight="1" s="45">
      <c r="A20" s="61" t="n">
        <v>46267</v>
      </c>
      <c r="B20" s="82" t="inlineStr">
        <is>
          <t>Pós-Projeto</t>
        </is>
      </c>
      <c r="C20" s="84" t="inlineStr">
        <is>
          <t>Atend. Médico em UPA</t>
        </is>
      </c>
      <c r="D20" s="66" t="n">
        <v>147</v>
      </c>
      <c r="E20" s="66" t="n">
        <v>151</v>
      </c>
      <c r="F20" s="66" t="n">
        <v>150</v>
      </c>
      <c r="G20" s="66" t="n">
        <v>95</v>
      </c>
      <c r="H20" s="66" t="n">
        <v>90</v>
      </c>
      <c r="I20" s="66" t="n">
        <v>170</v>
      </c>
      <c r="J20" s="66" t="n">
        <v>65</v>
      </c>
      <c r="K20" s="66" t="n">
        <v>254</v>
      </c>
      <c r="L20" s="66" t="n">
        <v>113</v>
      </c>
      <c r="M20" s="66" t="n">
        <v>164</v>
      </c>
      <c r="N20" s="66" t="n">
        <v>158</v>
      </c>
      <c r="O20" s="66" t="n">
        <v>257</v>
      </c>
      <c r="P20" s="66" t="n">
        <v>173</v>
      </c>
    </row>
    <row r="21" ht="15.75" customHeight="1" s="45">
      <c r="A21" s="61" t="n">
        <v>46267</v>
      </c>
      <c r="B21" s="82" t="inlineStr">
        <is>
          <t>Pós-Projeto</t>
        </is>
      </c>
      <c r="C21" s="83" t="inlineStr">
        <is>
          <t>Exames Laboratoriais</t>
        </is>
      </c>
      <c r="D21" s="64" t="n">
        <v>755</v>
      </c>
      <c r="E21" s="64" t="n">
        <v>585</v>
      </c>
      <c r="F21" s="64" t="n">
        <v>511</v>
      </c>
      <c r="G21" s="64" t="n">
        <v>170</v>
      </c>
      <c r="H21" s="64" t="n">
        <v>327</v>
      </c>
      <c r="I21" s="64" t="n">
        <v>682</v>
      </c>
      <c r="J21" s="64" t="n">
        <v>322</v>
      </c>
      <c r="K21" s="64" t="n">
        <v>911</v>
      </c>
      <c r="L21" s="64" t="n">
        <v>633</v>
      </c>
      <c r="M21" s="64" t="n">
        <v>634</v>
      </c>
      <c r="N21" s="64" t="n">
        <v>673</v>
      </c>
      <c r="O21" s="64" t="n">
        <v>428</v>
      </c>
      <c r="P21" s="64" t="n">
        <v>512</v>
      </c>
    </row>
    <row r="22" ht="15.75" customHeight="1" s="45">
      <c r="A22" s="61" t="n">
        <v>46267</v>
      </c>
      <c r="B22" s="82" t="inlineStr">
        <is>
          <t>Pós-Projeto</t>
        </is>
      </c>
      <c r="C22" s="84" t="inlineStr">
        <is>
          <t>Radiografias</t>
        </is>
      </c>
      <c r="D22" s="66" t="n">
        <v>14</v>
      </c>
      <c r="E22" s="66" t="n">
        <v>27</v>
      </c>
      <c r="F22" s="67" t="n">
        <v>0</v>
      </c>
      <c r="G22" s="67" t="n">
        <v>0</v>
      </c>
      <c r="H22" s="66" t="n">
        <v>10</v>
      </c>
      <c r="I22" s="66" t="n">
        <v>27</v>
      </c>
      <c r="J22" s="67" t="n">
        <v>0</v>
      </c>
      <c r="K22" s="66" t="n">
        <v>66</v>
      </c>
      <c r="L22" s="66" t="n">
        <v>13</v>
      </c>
      <c r="M22" s="66" t="n">
        <v>34</v>
      </c>
      <c r="N22" s="66" t="n">
        <v>25</v>
      </c>
      <c r="O22" s="66" t="n">
        <v>62</v>
      </c>
      <c r="P22" s="66" t="n">
        <v>41</v>
      </c>
    </row>
    <row r="23" ht="15.75" customHeight="1" s="45">
      <c r="A23" s="61" t="n">
        <v>46267</v>
      </c>
      <c r="B23" s="82" t="inlineStr">
        <is>
          <t>Pós-Projeto</t>
        </is>
      </c>
      <c r="C23" s="83" t="inlineStr">
        <is>
          <t>Eletrocardiogramas</t>
        </is>
      </c>
      <c r="D23" s="64" t="n">
        <v>7</v>
      </c>
      <c r="E23" s="67" t="n">
        <v>0</v>
      </c>
      <c r="F23" s="67" t="n">
        <v>0</v>
      </c>
      <c r="G23" s="67" t="n">
        <v>0</v>
      </c>
      <c r="H23" s="64" t="n">
        <v>3</v>
      </c>
      <c r="I23" s="67" t="n">
        <v>0</v>
      </c>
      <c r="J23" s="67" t="n">
        <v>0</v>
      </c>
      <c r="K23" s="67" t="n">
        <v>0</v>
      </c>
      <c r="L23" s="67" t="n">
        <v>0</v>
      </c>
      <c r="M23" s="67" t="n">
        <v>0</v>
      </c>
      <c r="N23" s="64" t="n">
        <v>7</v>
      </c>
      <c r="O23" s="67" t="n">
        <v>0</v>
      </c>
      <c r="P23" s="64" t="n">
        <v>6</v>
      </c>
    </row>
    <row r="24" ht="15.75" customHeight="1" s="45">
      <c r="A24" s="61" t="n">
        <v>46267</v>
      </c>
      <c r="B24" s="82" t="inlineStr">
        <is>
          <t>Pós-Projeto</t>
        </is>
      </c>
      <c r="C24" s="85" t="inlineStr">
        <is>
          <t>GAEs Abertas</t>
        </is>
      </c>
      <c r="D24" s="69" t="n">
        <v>218</v>
      </c>
      <c r="E24" s="69" t="n">
        <v>175</v>
      </c>
      <c r="F24" s="69" t="n">
        <v>189</v>
      </c>
      <c r="G24" s="69" t="n">
        <v>169</v>
      </c>
      <c r="H24" s="69" t="n">
        <v>144</v>
      </c>
      <c r="I24" s="69" t="n">
        <v>207</v>
      </c>
      <c r="J24" s="69" t="n">
        <v>106</v>
      </c>
      <c r="K24" s="69" t="n">
        <v>305</v>
      </c>
      <c r="L24" s="69" t="n">
        <v>136</v>
      </c>
      <c r="M24" s="69" t="n">
        <v>228</v>
      </c>
      <c r="N24" s="69" t="n">
        <v>226</v>
      </c>
      <c r="O24" s="69" t="n">
        <v>300</v>
      </c>
      <c r="P24" s="69" t="n">
        <v>277</v>
      </c>
    </row>
    <row r="25" ht="15.75" customHeight="1" s="45">
      <c r="A25" s="61" t="n">
        <v>46267</v>
      </c>
      <c r="B25" s="82" t="inlineStr">
        <is>
          <t>Pós-Projeto</t>
        </is>
      </c>
      <c r="C25" s="85" t="inlineStr">
        <is>
          <t>GAEs Classificadas</t>
        </is>
      </c>
      <c r="D25" s="69" t="n">
        <v>204</v>
      </c>
      <c r="E25" s="69" t="n">
        <v>173</v>
      </c>
      <c r="F25" s="69" t="n">
        <v>184</v>
      </c>
      <c r="G25" s="69" t="n">
        <v>166</v>
      </c>
      <c r="H25" s="69" t="n">
        <v>137</v>
      </c>
      <c r="I25" s="69" t="n">
        <v>189</v>
      </c>
      <c r="J25" s="69" t="n">
        <v>99</v>
      </c>
      <c r="K25" s="69" t="n">
        <v>273</v>
      </c>
      <c r="L25" s="69" t="n">
        <v>130</v>
      </c>
      <c r="M25" s="69" t="n">
        <v>215</v>
      </c>
      <c r="N25" s="69" t="n">
        <v>219</v>
      </c>
      <c r="O25" s="69" t="n">
        <v>293</v>
      </c>
      <c r="P25" s="69" t="n">
        <v>267</v>
      </c>
    </row>
    <row r="26" ht="15.75" customHeight="1" s="45">
      <c r="A26" s="61" t="n">
        <v>46267</v>
      </c>
      <c r="B26" s="82" t="inlineStr">
        <is>
          <t>Pós-Projeto</t>
        </is>
      </c>
      <c r="C26" s="86" t="inlineStr">
        <is>
          <t>Percentual de GAEs abertas classificadas</t>
        </is>
      </c>
      <c r="D26" s="71">
        <f>IFERROR(D25/D24,"-")</f>
        <v/>
      </c>
      <c r="E26" s="71">
        <f>IFERROR(E25/E24,"-")</f>
        <v/>
      </c>
      <c r="F26" s="71">
        <f>IFERROR(F25/F24,"-")</f>
        <v/>
      </c>
      <c r="G26" s="71">
        <f>IFERROR(G25/G24,"-")</f>
        <v/>
      </c>
      <c r="H26" s="71">
        <f>IFERROR(H25/H24,"-")</f>
        <v/>
      </c>
      <c r="I26" s="71">
        <f>IFERROR(I25/I24,"-")</f>
        <v/>
      </c>
      <c r="J26" s="71">
        <f>IFERROR(J25/J24,"-")</f>
        <v/>
      </c>
      <c r="K26" s="71">
        <f>IFERROR(K25/K24,"-")</f>
        <v/>
      </c>
      <c r="L26" s="71">
        <f>IFERROR(L25/L24,"-")</f>
        <v/>
      </c>
      <c r="M26" s="71">
        <f>IFERROR(M25/M24,"-")</f>
        <v/>
      </c>
      <c r="N26" s="71">
        <f>IFERROR(N25/N24,"-")</f>
        <v/>
      </c>
      <c r="O26" s="71">
        <f>IFERROR(O25/O24,"-")</f>
        <v/>
      </c>
      <c r="P26" s="71">
        <f>IFERROR(P25/P24,"-")</f>
        <v/>
      </c>
    </row>
    <row r="27" ht="15.75" customHeight="1" s="45">
      <c r="A27" s="61" t="n">
        <v>46267</v>
      </c>
      <c r="B27" s="82" t="inlineStr">
        <is>
          <t>Pós-Projeto</t>
        </is>
      </c>
      <c r="C27" s="87" t="inlineStr">
        <is>
          <t>Tempo Médio — 🟡 Amarelo (hh:mm)</t>
        </is>
      </c>
      <c r="D27" s="73" t="n">
        <v>0.1257523148148148</v>
      </c>
      <c r="E27" s="73" t="n">
        <v>0.02217592592592593</v>
      </c>
      <c r="F27" s="73" t="n">
        <v>0.05103009259259259</v>
      </c>
      <c r="G27" s="73" t="n">
        <v>0.02340277777777778</v>
      </c>
      <c r="H27" s="73" t="n">
        <v>0.04774305555555555</v>
      </c>
      <c r="I27" s="73" t="n">
        <v>0.03087962962962963</v>
      </c>
      <c r="J27" s="73" t="n">
        <v>0.09804398148148148</v>
      </c>
      <c r="K27" s="73" t="n">
        <v>0.06620370370370371</v>
      </c>
      <c r="L27" s="73" t="n">
        <v>0.08180555555555556</v>
      </c>
      <c r="M27" s="73" t="n">
        <v>0.03623842592592592</v>
      </c>
      <c r="N27" s="73" t="n">
        <v>0.05460648148148148</v>
      </c>
      <c r="O27" s="73" t="n">
        <v>0.04355324074074074</v>
      </c>
      <c r="P27" s="73" t="n">
        <v>0.07599537037037037</v>
      </c>
    </row>
    <row r="28" ht="15.75" customHeight="1" s="45">
      <c r="A28" s="61" t="n">
        <v>46267</v>
      </c>
      <c r="B28" s="82" t="inlineStr">
        <is>
          <t>Pós-Projeto</t>
        </is>
      </c>
      <c r="C28" s="88" t="inlineStr">
        <is>
          <t>Tempo Médio — 🟠 Laranja (hh:mm)</t>
        </is>
      </c>
      <c r="D28" s="75" t="n">
        <v>0.01559027777777778</v>
      </c>
      <c r="E28" s="75" t="n">
        <v>0.005</v>
      </c>
      <c r="F28" s="75" t="n">
        <v>0.004074074074074074</v>
      </c>
      <c r="G28" s="75" t="n">
        <v>0.0034375</v>
      </c>
      <c r="H28" s="75" t="n">
        <v>0.005740740740740741</v>
      </c>
      <c r="I28" s="75" t="n">
        <v>0.004872685185185185</v>
      </c>
      <c r="J28" s="75" t="n">
        <v>0.05408564814814815</v>
      </c>
      <c r="K28" s="75" t="n">
        <v>0.01671296296296296</v>
      </c>
      <c r="L28" s="75" t="n">
        <v>0.01103009259259259</v>
      </c>
      <c r="M28" s="75" t="n">
        <v>0.0100462962962963</v>
      </c>
      <c r="N28" s="75" t="n">
        <v>0.01086805555555556</v>
      </c>
      <c r="O28" s="75" t="n">
        <v>0.009814814814814814</v>
      </c>
      <c r="P28" s="75" t="n">
        <v>0.01071759259259259</v>
      </c>
    </row>
    <row r="29" ht="15.75" customHeight="1" s="45">
      <c r="A29" s="76" t="n">
        <v>46267</v>
      </c>
      <c r="B29" s="89" t="inlineStr">
        <is>
          <t>Pós-Projeto</t>
        </is>
      </c>
      <c r="C29" s="90" t="inlineStr">
        <is>
          <t>Tempo Médio — 🟢 Verde   (hh:mm)</t>
        </is>
      </c>
      <c r="D29" s="79" t="n">
        <v>0.04707175925925926</v>
      </c>
      <c r="E29" s="79" t="n">
        <v>0.04449074074074074</v>
      </c>
      <c r="F29" s="79" t="n">
        <v>0.06675925925925925</v>
      </c>
      <c r="G29" s="79" t="n">
        <v>0.08828703703703704</v>
      </c>
      <c r="H29" s="79" t="n">
        <v>0.06986111111111111</v>
      </c>
      <c r="I29" s="79" t="n">
        <v>0.09042824074074074</v>
      </c>
      <c r="J29" s="79" t="n">
        <v>0.1400810185185185</v>
      </c>
      <c r="K29" s="79" t="n">
        <v>0.07952546296296296</v>
      </c>
      <c r="L29" s="79" t="n">
        <v>0.1052893518518519</v>
      </c>
      <c r="M29" s="79" t="n">
        <v>0.05819444444444444</v>
      </c>
      <c r="N29" s="79" t="n">
        <v>0.0687962962962963</v>
      </c>
      <c r="O29" s="79" t="n">
        <v>0.06173611111111111</v>
      </c>
      <c r="P29" s="79" t="n">
        <v>0.07818287037037037</v>
      </c>
    </row>
    <row r="30" ht="15.75" customHeight="1" s="45">
      <c r="A30" s="57" t="n">
        <v>46268</v>
      </c>
      <c r="B30" s="81" t="inlineStr">
        <is>
          <t>Pós-Projeto</t>
        </is>
      </c>
      <c r="C30" s="59" t="inlineStr">
        <is>
          <t>Acolhim. + Atend. Urgência + Atend. UPA</t>
        </is>
      </c>
      <c r="D30" s="60">
        <f>SUM(D31:D33)</f>
        <v/>
      </c>
      <c r="E30" s="60">
        <f>SUM(E31:E33)</f>
        <v/>
      </c>
      <c r="F30" s="60">
        <f>SUM(F31:F33)</f>
        <v/>
      </c>
      <c r="G30" s="60">
        <f>SUM(G31:G33)</f>
        <v/>
      </c>
      <c r="H30" s="60">
        <f>SUM(H31:H33)</f>
        <v/>
      </c>
      <c r="I30" s="60">
        <f>SUM(I31:I33)</f>
        <v/>
      </c>
      <c r="J30" s="60">
        <f>SUM(J31:J33)</f>
        <v/>
      </c>
      <c r="K30" s="60">
        <f>SUM(K31:K33)</f>
        <v/>
      </c>
      <c r="L30" s="60">
        <f>SUM(L31:L33)</f>
        <v/>
      </c>
      <c r="M30" s="60">
        <f>SUM(M31:M33)</f>
        <v/>
      </c>
      <c r="N30" s="60">
        <f>SUM(N31:N33)</f>
        <v/>
      </c>
      <c r="O30" s="60">
        <f>SUM(O31:O33)</f>
        <v/>
      </c>
      <c r="P30" s="60">
        <f>SUM(P31:P33)</f>
        <v/>
      </c>
    </row>
    <row r="31" ht="15.75" customHeight="1" s="45">
      <c r="A31" s="61" t="n">
        <v>46268</v>
      </c>
      <c r="B31" s="82" t="inlineStr">
        <is>
          <t>Pós-Projeto</t>
        </is>
      </c>
      <c r="C31" s="83" t="inlineStr">
        <is>
          <t>Acolhimento c/ Classif. de Risco</t>
        </is>
      </c>
      <c r="D31" s="64" t="n">
        <v>214</v>
      </c>
      <c r="E31" s="64" t="n">
        <v>158</v>
      </c>
      <c r="F31" s="64" t="n">
        <v>140</v>
      </c>
      <c r="G31" s="64" t="n">
        <v>154</v>
      </c>
      <c r="H31" s="64" t="n">
        <v>150</v>
      </c>
      <c r="I31" s="64" t="n">
        <v>202</v>
      </c>
      <c r="J31" s="64" t="n">
        <v>124</v>
      </c>
      <c r="K31" s="64" t="n">
        <v>299</v>
      </c>
      <c r="L31" s="64" t="n">
        <v>125</v>
      </c>
      <c r="M31" s="64" t="n">
        <v>214</v>
      </c>
      <c r="N31" s="64" t="n">
        <v>181</v>
      </c>
      <c r="O31" s="64" t="n">
        <v>287</v>
      </c>
      <c r="P31" s="64" t="n">
        <v>247</v>
      </c>
    </row>
    <row r="32" ht="15.75" customHeight="1" s="45">
      <c r="A32" s="61" t="n">
        <v>46268</v>
      </c>
      <c r="B32" s="82" t="inlineStr">
        <is>
          <t>Pós-Projeto</t>
        </is>
      </c>
      <c r="C32" s="84" t="inlineStr">
        <is>
          <t>Atend. Urgência Obs. ≤ 24h</t>
        </is>
      </c>
      <c r="D32" s="66" t="n">
        <v>70</v>
      </c>
      <c r="E32" s="66" t="n">
        <v>8</v>
      </c>
      <c r="F32" s="66" t="n">
        <v>34</v>
      </c>
      <c r="G32" s="66" t="n">
        <v>24</v>
      </c>
      <c r="H32" s="66" t="n">
        <v>24</v>
      </c>
      <c r="I32" s="66" t="n">
        <v>36</v>
      </c>
      <c r="J32" s="66" t="n">
        <v>7</v>
      </c>
      <c r="K32" s="66" t="n">
        <v>64</v>
      </c>
      <c r="L32" s="66" t="n">
        <v>51</v>
      </c>
      <c r="M32" s="66" t="n">
        <v>43</v>
      </c>
      <c r="N32" s="66" t="n">
        <v>42</v>
      </c>
      <c r="O32" s="66" t="n">
        <v>12</v>
      </c>
      <c r="P32" s="66" t="n">
        <v>23</v>
      </c>
    </row>
    <row r="33" ht="15.75" customHeight="1" s="45">
      <c r="A33" s="61" t="n">
        <v>46268</v>
      </c>
      <c r="B33" s="82" t="inlineStr">
        <is>
          <t>Pós-Projeto</t>
        </is>
      </c>
      <c r="C33" s="83" t="inlineStr">
        <is>
          <t>Atend. Médico em UPA</t>
        </is>
      </c>
      <c r="D33" s="64" t="n">
        <v>190</v>
      </c>
      <c r="E33" s="64" t="n">
        <v>88</v>
      </c>
      <c r="F33" s="64" t="n">
        <v>122</v>
      </c>
      <c r="G33" s="64" t="n">
        <v>135</v>
      </c>
      <c r="H33" s="64" t="n">
        <v>121</v>
      </c>
      <c r="I33" s="64" t="n">
        <v>169</v>
      </c>
      <c r="J33" s="64" t="n">
        <v>101</v>
      </c>
      <c r="K33" s="64" t="n">
        <v>235</v>
      </c>
      <c r="L33" s="64" t="n">
        <v>109</v>
      </c>
      <c r="M33" s="64" t="n">
        <v>159</v>
      </c>
      <c r="N33" s="64" t="n">
        <v>125</v>
      </c>
      <c r="O33" s="64" t="n">
        <v>243</v>
      </c>
      <c r="P33" s="64" t="n">
        <v>189</v>
      </c>
    </row>
    <row r="34" ht="15.75" customHeight="1" s="45">
      <c r="A34" s="61" t="n">
        <v>46268</v>
      </c>
      <c r="B34" s="82" t="inlineStr">
        <is>
          <t>Pós-Projeto</t>
        </is>
      </c>
      <c r="C34" s="84" t="inlineStr">
        <is>
          <t>Exames Laboratoriais</t>
        </is>
      </c>
      <c r="D34" s="66" t="n">
        <v>737</v>
      </c>
      <c r="E34" s="66" t="n">
        <v>473</v>
      </c>
      <c r="F34" s="66" t="n">
        <v>678</v>
      </c>
      <c r="G34" s="66" t="n">
        <v>202</v>
      </c>
      <c r="H34" s="66" t="n">
        <v>363</v>
      </c>
      <c r="I34" s="66" t="n">
        <v>687</v>
      </c>
      <c r="J34" s="66" t="n">
        <v>337</v>
      </c>
      <c r="K34" s="66" t="n">
        <v>834</v>
      </c>
      <c r="L34" s="66" t="n">
        <v>585</v>
      </c>
      <c r="M34" s="66" t="n">
        <v>553</v>
      </c>
      <c r="N34" s="66" t="n">
        <v>702</v>
      </c>
      <c r="O34" s="66" t="n">
        <v>485</v>
      </c>
      <c r="P34" s="66" t="n">
        <v>709</v>
      </c>
    </row>
    <row r="35" ht="15.75" customHeight="1" s="45">
      <c r="A35" s="61" t="n">
        <v>46268</v>
      </c>
      <c r="B35" s="82" t="inlineStr">
        <is>
          <t>Pós-Projeto</t>
        </is>
      </c>
      <c r="C35" s="83" t="inlineStr">
        <is>
          <t>Radiografias</t>
        </is>
      </c>
      <c r="D35" s="64" t="n">
        <v>9</v>
      </c>
      <c r="E35" s="64" t="n">
        <v>22</v>
      </c>
      <c r="F35" s="67" t="n">
        <v>0</v>
      </c>
      <c r="G35" s="67" t="n">
        <v>0</v>
      </c>
      <c r="H35" s="64" t="n">
        <v>19</v>
      </c>
      <c r="I35" s="64" t="n">
        <v>18</v>
      </c>
      <c r="J35" s="64" t="n">
        <v>14</v>
      </c>
      <c r="K35" s="64" t="n">
        <v>31</v>
      </c>
      <c r="L35" s="64" t="n">
        <v>18</v>
      </c>
      <c r="M35" s="64" t="n">
        <v>30</v>
      </c>
      <c r="N35" s="64" t="n">
        <v>29</v>
      </c>
      <c r="O35" s="64" t="n">
        <v>51</v>
      </c>
      <c r="P35" s="64" t="n">
        <v>61</v>
      </c>
    </row>
    <row r="36" ht="15.75" customHeight="1" s="45">
      <c r="A36" s="61" t="n">
        <v>46268</v>
      </c>
      <c r="B36" s="82" t="inlineStr">
        <is>
          <t>Pós-Projeto</t>
        </is>
      </c>
      <c r="C36" s="84" t="inlineStr">
        <is>
          <t>Eletrocardiogramas</t>
        </is>
      </c>
      <c r="D36" s="66" t="n">
        <v>3</v>
      </c>
      <c r="E36" s="67" t="n">
        <v>0</v>
      </c>
      <c r="F36" s="67" t="n">
        <v>0</v>
      </c>
      <c r="G36" s="66" t="n">
        <v>10</v>
      </c>
      <c r="H36" s="67" t="n">
        <v>0</v>
      </c>
      <c r="I36" s="66" t="n">
        <v>2</v>
      </c>
      <c r="J36" s="67" t="n">
        <v>0</v>
      </c>
      <c r="K36" s="66" t="n">
        <v>4</v>
      </c>
      <c r="L36" s="67" t="n">
        <v>0</v>
      </c>
      <c r="M36" s="67" t="n">
        <v>0</v>
      </c>
      <c r="N36" s="66" t="n">
        <v>7</v>
      </c>
      <c r="O36" s="67" t="n">
        <v>0</v>
      </c>
      <c r="P36" s="66" t="n">
        <v>1</v>
      </c>
    </row>
    <row r="37" ht="15.75" customHeight="1" s="45">
      <c r="A37" s="61" t="n">
        <v>46268</v>
      </c>
      <c r="B37" s="82" t="inlineStr">
        <is>
          <t>Pós-Projeto</t>
        </is>
      </c>
      <c r="C37" s="85" t="inlineStr">
        <is>
          <t>GAEs Abertas</t>
        </is>
      </c>
      <c r="D37" s="69" t="n">
        <v>240</v>
      </c>
      <c r="E37" s="69" t="n">
        <v>160</v>
      </c>
      <c r="F37" s="69" t="n">
        <v>142</v>
      </c>
      <c r="G37" s="69" t="n">
        <v>160</v>
      </c>
      <c r="H37" s="69" t="n">
        <v>157</v>
      </c>
      <c r="I37" s="69" t="n">
        <v>209</v>
      </c>
      <c r="J37" s="69" t="n">
        <v>127</v>
      </c>
      <c r="K37" s="69" t="n">
        <v>331</v>
      </c>
      <c r="L37" s="69" t="n">
        <v>133</v>
      </c>
      <c r="M37" s="69" t="n">
        <v>227</v>
      </c>
      <c r="N37" s="69" t="n">
        <v>192</v>
      </c>
      <c r="O37" s="69" t="n">
        <v>288</v>
      </c>
      <c r="P37" s="69" t="n">
        <v>251</v>
      </c>
    </row>
    <row r="38" ht="15.75" customHeight="1" s="45">
      <c r="A38" s="61" t="n">
        <v>46268</v>
      </c>
      <c r="B38" s="82" t="inlineStr">
        <is>
          <t>Pós-Projeto</t>
        </is>
      </c>
      <c r="C38" s="85" t="inlineStr">
        <is>
          <t>GAEs Classificadas</t>
        </is>
      </c>
      <c r="D38" s="69" t="n">
        <v>215</v>
      </c>
      <c r="E38" s="69" t="n">
        <v>158</v>
      </c>
      <c r="F38" s="69" t="n">
        <v>139</v>
      </c>
      <c r="G38" s="69" t="n">
        <v>154</v>
      </c>
      <c r="H38" s="69" t="n">
        <v>150</v>
      </c>
      <c r="I38" s="69" t="n">
        <v>202</v>
      </c>
      <c r="J38" s="69" t="n">
        <v>125</v>
      </c>
      <c r="K38" s="69" t="n">
        <v>293</v>
      </c>
      <c r="L38" s="69" t="n">
        <v>124</v>
      </c>
      <c r="M38" s="69" t="n">
        <v>217</v>
      </c>
      <c r="N38" s="69" t="n">
        <v>180</v>
      </c>
      <c r="O38" s="69" t="n">
        <v>283</v>
      </c>
      <c r="P38" s="69" t="n">
        <v>248</v>
      </c>
    </row>
    <row r="39" ht="15.75" customHeight="1" s="45">
      <c r="A39" s="61" t="n">
        <v>46268</v>
      </c>
      <c r="B39" s="82" t="inlineStr">
        <is>
          <t>Pós-Projeto</t>
        </is>
      </c>
      <c r="C39" s="86" t="inlineStr">
        <is>
          <t>Percentual de GAEs abertas classificadas</t>
        </is>
      </c>
      <c r="D39" s="71">
        <f>IFERROR(D38/D37,"-")</f>
        <v/>
      </c>
      <c r="E39" s="71">
        <f>IFERROR(E38/E37,"-")</f>
        <v/>
      </c>
      <c r="F39" s="71">
        <f>IFERROR(F38/F37,"-")</f>
        <v/>
      </c>
      <c r="G39" s="71">
        <f>IFERROR(G38/G37,"-")</f>
        <v/>
      </c>
      <c r="H39" s="71">
        <f>IFERROR(H38/H37,"-")</f>
        <v/>
      </c>
      <c r="I39" s="71">
        <f>IFERROR(I38/I37,"-")</f>
        <v/>
      </c>
      <c r="J39" s="71">
        <f>IFERROR(J38/J37,"-")</f>
        <v/>
      </c>
      <c r="K39" s="71">
        <f>IFERROR(K38/K37,"-")</f>
        <v/>
      </c>
      <c r="L39" s="71">
        <f>IFERROR(L38/L37,"-")</f>
        <v/>
      </c>
      <c r="M39" s="71">
        <f>IFERROR(M38/M37,"-")</f>
        <v/>
      </c>
      <c r="N39" s="71">
        <f>IFERROR(N38/N37,"-")</f>
        <v/>
      </c>
      <c r="O39" s="71">
        <f>IFERROR(O38/O37,"-")</f>
        <v/>
      </c>
      <c r="P39" s="71">
        <f>IFERROR(P38/P37,"-")</f>
        <v/>
      </c>
    </row>
    <row r="40" ht="15.75" customHeight="1" s="45">
      <c r="A40" s="61" t="n">
        <v>46268</v>
      </c>
      <c r="B40" s="82" t="inlineStr">
        <is>
          <t>Pós-Projeto</t>
        </is>
      </c>
      <c r="C40" s="87" t="inlineStr">
        <is>
          <t>Tempo Médio — 🟡 Amarelo (hh:mm)</t>
        </is>
      </c>
      <c r="D40" s="73" t="n">
        <v>0.03447916666666666</v>
      </c>
      <c r="E40" s="73" t="n">
        <v>0.03287037037037037</v>
      </c>
      <c r="F40" s="73" t="n">
        <v>0.03966435185185185</v>
      </c>
      <c r="G40" s="73" t="n">
        <v>0.02146990740740741</v>
      </c>
      <c r="H40" s="73" t="n">
        <v>0.02788194444444445</v>
      </c>
      <c r="I40" s="73" t="n">
        <v>0.03283564814814815</v>
      </c>
      <c r="J40" s="73" t="n">
        <v>0.01652777777777778</v>
      </c>
      <c r="K40" s="73" t="n">
        <v>0.08677083333333334</v>
      </c>
      <c r="L40" s="73" t="n">
        <v>0.06469907407407408</v>
      </c>
      <c r="M40" s="73" t="n">
        <v>0.04341435185185185</v>
      </c>
      <c r="N40" s="73" t="n">
        <v>0.07587962962962963</v>
      </c>
      <c r="O40" s="73" t="n">
        <v>0.02471064814814815</v>
      </c>
      <c r="P40" s="73" t="n">
        <v>0.05136574074074074</v>
      </c>
    </row>
    <row r="41" ht="15.75" customHeight="1" s="45">
      <c r="A41" s="61" t="n">
        <v>46268</v>
      </c>
      <c r="B41" s="82" t="inlineStr">
        <is>
          <t>Pós-Projeto</t>
        </is>
      </c>
      <c r="C41" s="88" t="inlineStr">
        <is>
          <t>Tempo Médio — 🟠 Laranja (hh:mm)</t>
        </is>
      </c>
      <c r="D41" s="75" t="n">
        <v>0.007118055555555555</v>
      </c>
      <c r="E41" s="75" t="n">
        <v>0.002962962962962963</v>
      </c>
      <c r="F41" s="75" t="n">
        <v>0.003194444444444445</v>
      </c>
      <c r="G41" s="75" t="n">
        <v>0.004733796296296297</v>
      </c>
      <c r="H41" s="75" t="n">
        <v>0.005127314814814815</v>
      </c>
      <c r="I41" s="75" t="n">
        <v>0.003993055555555555</v>
      </c>
      <c r="J41" s="75" t="n">
        <v>0.006689814814814815</v>
      </c>
      <c r="K41" s="75" t="n">
        <v>0.01278935185185185</v>
      </c>
      <c r="L41" s="75" t="n">
        <v>0.01065972222222222</v>
      </c>
      <c r="M41" s="75" t="n">
        <v>0.008333333333333333</v>
      </c>
      <c r="N41" s="75" t="n">
        <v>0.01516203703703704</v>
      </c>
      <c r="O41" s="75" t="n">
        <v>0.007881944444444445</v>
      </c>
      <c r="P41" s="75" t="n">
        <v>0.01168981481481481</v>
      </c>
    </row>
    <row r="42" ht="15.75" customHeight="1" s="45">
      <c r="A42" s="76" t="n">
        <v>46268</v>
      </c>
      <c r="B42" s="89" t="inlineStr">
        <is>
          <t>Pós-Projeto</t>
        </is>
      </c>
      <c r="C42" s="90" t="inlineStr">
        <is>
          <t>Tempo Médio — 🟢 Verde   (hh:mm)</t>
        </is>
      </c>
      <c r="D42" s="79" t="n">
        <v>0.05930555555555556</v>
      </c>
      <c r="E42" s="79" t="n">
        <v>0.0471875</v>
      </c>
      <c r="F42" s="79" t="n">
        <v>0.05248842592592592</v>
      </c>
      <c r="G42" s="79" t="n">
        <v>0.09105324074074074</v>
      </c>
      <c r="H42" s="79" t="n">
        <v>0.05993055555555556</v>
      </c>
      <c r="I42" s="79" t="n">
        <v>0.1127662037037037</v>
      </c>
      <c r="J42" s="79" t="n">
        <v>0.02743055555555556</v>
      </c>
      <c r="K42" s="79" t="n">
        <v>0.1088194444444444</v>
      </c>
      <c r="L42" s="79" t="n">
        <v>0.08736111111111111</v>
      </c>
      <c r="M42" s="79" t="n">
        <v>0.04618055555555556</v>
      </c>
      <c r="N42" s="79" t="n">
        <v>0.09700231481481482</v>
      </c>
      <c r="O42" s="79" t="n">
        <v>0.05231481481481481</v>
      </c>
      <c r="P42" s="79" t="n">
        <v>0.04680555555555556</v>
      </c>
    </row>
    <row r="43" ht="15.75" customHeight="1" s="45">
      <c r="A43" s="57" t="n">
        <v>46269</v>
      </c>
      <c r="B43" s="81" t="inlineStr">
        <is>
          <t>Pós-Projeto</t>
        </is>
      </c>
      <c r="C43" s="59" t="inlineStr">
        <is>
          <t>Acolhim. + Atend. Urgência + Atend. UPA</t>
        </is>
      </c>
      <c r="D43" s="60">
        <f>SUM(D44:D46)</f>
        <v/>
      </c>
      <c r="E43" s="60">
        <f>SUM(E44:E46)</f>
        <v/>
      </c>
      <c r="F43" s="60">
        <f>SUM(F44:F46)</f>
        <v/>
      </c>
      <c r="G43" s="60">
        <f>SUM(G44:G46)</f>
        <v/>
      </c>
      <c r="H43" s="60">
        <f>SUM(H44:H46)</f>
        <v/>
      </c>
      <c r="I43" s="60">
        <f>SUM(I44:I46)</f>
        <v/>
      </c>
      <c r="J43" s="60">
        <f>SUM(J44:J46)</f>
        <v/>
      </c>
      <c r="K43" s="60">
        <f>SUM(K44:K46)</f>
        <v/>
      </c>
      <c r="L43" s="60">
        <f>SUM(L44:L46)</f>
        <v/>
      </c>
      <c r="M43" s="60">
        <f>SUM(M44:M46)</f>
        <v/>
      </c>
      <c r="N43" s="60">
        <f>SUM(N44:N46)</f>
        <v/>
      </c>
      <c r="O43" s="60">
        <f>SUM(O44:O46)</f>
        <v/>
      </c>
      <c r="P43" s="60">
        <f>SUM(P44:P46)</f>
        <v/>
      </c>
    </row>
    <row r="44" ht="15.75" customHeight="1" s="45">
      <c r="A44" s="61" t="n">
        <v>46269</v>
      </c>
      <c r="B44" s="82" t="inlineStr">
        <is>
          <t>Pós-Projeto</t>
        </is>
      </c>
      <c r="C44" s="84" t="inlineStr">
        <is>
          <t>Acolhimento c/ Classif. de Risco</t>
        </is>
      </c>
      <c r="D44" s="66" t="n">
        <v>183</v>
      </c>
      <c r="E44" s="66" t="n">
        <v>153</v>
      </c>
      <c r="F44" s="66" t="n">
        <v>175</v>
      </c>
      <c r="G44" s="66" t="n">
        <v>151</v>
      </c>
      <c r="H44" s="66" t="n">
        <v>104</v>
      </c>
      <c r="I44" s="66" t="n">
        <v>173</v>
      </c>
      <c r="J44" s="66" t="n">
        <v>101</v>
      </c>
      <c r="K44" s="66" t="n">
        <v>241</v>
      </c>
      <c r="L44" s="66" t="n">
        <v>131</v>
      </c>
      <c r="M44" s="66" t="n">
        <v>183</v>
      </c>
      <c r="N44" s="66" t="n">
        <v>195</v>
      </c>
      <c r="O44" s="66" t="n">
        <v>237</v>
      </c>
      <c r="P44" s="66" t="n">
        <v>224</v>
      </c>
    </row>
    <row r="45" ht="15.75" customHeight="1" s="45">
      <c r="A45" s="61" t="n">
        <v>46269</v>
      </c>
      <c r="B45" s="82" t="inlineStr">
        <is>
          <t>Pós-Projeto</t>
        </is>
      </c>
      <c r="C45" s="83" t="inlineStr">
        <is>
          <t>Atend. Urgência Obs. ≤ 24h</t>
        </is>
      </c>
      <c r="D45" s="64" t="n">
        <v>12</v>
      </c>
      <c r="E45" s="64" t="n">
        <v>12</v>
      </c>
      <c r="F45" s="64" t="n">
        <v>21</v>
      </c>
      <c r="G45" s="64" t="n">
        <v>36</v>
      </c>
      <c r="H45" s="64" t="n">
        <v>19</v>
      </c>
      <c r="I45" s="64" t="n">
        <v>24</v>
      </c>
      <c r="J45" s="64" t="n">
        <v>15</v>
      </c>
      <c r="K45" s="64" t="n">
        <v>42</v>
      </c>
      <c r="L45" s="64" t="n">
        <v>40</v>
      </c>
      <c r="M45" s="64" t="n">
        <v>23</v>
      </c>
      <c r="N45" s="64" t="n">
        <v>16</v>
      </c>
      <c r="O45" s="64" t="n">
        <v>14</v>
      </c>
      <c r="P45" s="64" t="n">
        <v>7</v>
      </c>
    </row>
    <row r="46" ht="15.75" customHeight="1" s="45">
      <c r="A46" s="61" t="n">
        <v>46269</v>
      </c>
      <c r="B46" s="82" t="inlineStr">
        <is>
          <t>Pós-Projeto</t>
        </is>
      </c>
      <c r="C46" s="84" t="inlineStr">
        <is>
          <t>Atend. Médico em UPA</t>
        </is>
      </c>
      <c r="D46" s="66" t="n">
        <v>141</v>
      </c>
      <c r="E46" s="66" t="n">
        <v>93</v>
      </c>
      <c r="F46" s="66" t="n">
        <v>126</v>
      </c>
      <c r="G46" s="66" t="n">
        <v>105</v>
      </c>
      <c r="H46" s="66" t="n">
        <v>88</v>
      </c>
      <c r="I46" s="66" t="n">
        <v>123</v>
      </c>
      <c r="J46" s="66" t="n">
        <v>92</v>
      </c>
      <c r="K46" s="66" t="n">
        <v>212</v>
      </c>
      <c r="L46" s="66" t="n">
        <v>111</v>
      </c>
      <c r="M46" s="66" t="n">
        <v>149</v>
      </c>
      <c r="N46" s="66" t="n">
        <v>179</v>
      </c>
      <c r="O46" s="66" t="n">
        <v>218</v>
      </c>
      <c r="P46" s="66" t="n">
        <v>187</v>
      </c>
    </row>
    <row r="47" ht="15.75" customHeight="1" s="45">
      <c r="A47" s="61" t="n">
        <v>46269</v>
      </c>
      <c r="B47" s="82" t="inlineStr">
        <is>
          <t>Pós-Projeto</t>
        </is>
      </c>
      <c r="C47" s="83" t="inlineStr">
        <is>
          <t>Exames Laboratoriais</t>
        </is>
      </c>
      <c r="D47" s="64" t="n">
        <v>639</v>
      </c>
      <c r="E47" s="64" t="n">
        <v>427</v>
      </c>
      <c r="F47" s="64" t="n">
        <v>549</v>
      </c>
      <c r="G47" s="64" t="n">
        <v>291</v>
      </c>
      <c r="H47" s="64" t="n">
        <v>314</v>
      </c>
      <c r="I47" s="64" t="n">
        <v>649</v>
      </c>
      <c r="J47" s="64" t="n">
        <v>322</v>
      </c>
      <c r="K47" s="64" t="n">
        <v>717</v>
      </c>
      <c r="L47" s="64" t="n">
        <v>565</v>
      </c>
      <c r="M47" s="64" t="n">
        <v>650</v>
      </c>
      <c r="N47" s="64" t="n">
        <v>804</v>
      </c>
      <c r="O47" s="64" t="n">
        <v>245</v>
      </c>
      <c r="P47" s="64" t="n">
        <v>319</v>
      </c>
    </row>
    <row r="48" ht="15.75" customHeight="1" s="45">
      <c r="A48" s="61" t="n">
        <v>46269</v>
      </c>
      <c r="B48" s="82" t="inlineStr">
        <is>
          <t>Pós-Projeto</t>
        </is>
      </c>
      <c r="C48" s="84" t="inlineStr">
        <is>
          <t>Radiografias</t>
        </is>
      </c>
      <c r="D48" s="66" t="n">
        <v>2</v>
      </c>
      <c r="E48" s="66" t="n">
        <v>19</v>
      </c>
      <c r="F48" s="67" t="n">
        <v>0</v>
      </c>
      <c r="G48" s="67" t="n">
        <v>0</v>
      </c>
      <c r="H48" s="66" t="n">
        <v>17</v>
      </c>
      <c r="I48" s="66" t="n">
        <v>18</v>
      </c>
      <c r="J48" s="66" t="n">
        <v>15</v>
      </c>
      <c r="K48" s="66" t="n">
        <v>35</v>
      </c>
      <c r="L48" s="66" t="n">
        <v>15</v>
      </c>
      <c r="M48" s="66" t="n">
        <v>32</v>
      </c>
      <c r="N48" s="66" t="n">
        <v>27</v>
      </c>
      <c r="O48" s="66" t="n">
        <v>29</v>
      </c>
      <c r="P48" s="66" t="n">
        <v>60</v>
      </c>
    </row>
    <row r="49" ht="15.75" customHeight="1" s="45">
      <c r="A49" s="61" t="n">
        <v>46269</v>
      </c>
      <c r="B49" s="82" t="inlineStr">
        <is>
          <t>Pós-Projeto</t>
        </is>
      </c>
      <c r="C49" s="83" t="inlineStr">
        <is>
          <t>Eletrocardiogramas</t>
        </is>
      </c>
      <c r="D49" s="64" t="n">
        <v>11</v>
      </c>
      <c r="E49" s="64" t="n">
        <v>3</v>
      </c>
      <c r="F49" s="67" t="n">
        <v>0</v>
      </c>
      <c r="G49" s="64" t="n">
        <v>4</v>
      </c>
      <c r="H49" s="67" t="n">
        <v>0</v>
      </c>
      <c r="I49" s="67" t="n">
        <v>0</v>
      </c>
      <c r="J49" s="67" t="n">
        <v>0</v>
      </c>
      <c r="K49" s="64" t="n">
        <v>5</v>
      </c>
      <c r="L49" s="67" t="n">
        <v>0</v>
      </c>
      <c r="M49" s="67" t="n">
        <v>0</v>
      </c>
      <c r="N49" s="64" t="n">
        <v>10</v>
      </c>
      <c r="O49" s="67" t="n">
        <v>0</v>
      </c>
      <c r="P49" s="64" t="n">
        <v>11</v>
      </c>
    </row>
    <row r="50" ht="15.75" customHeight="1" s="45">
      <c r="A50" s="61" t="n">
        <v>46269</v>
      </c>
      <c r="B50" s="82" t="inlineStr">
        <is>
          <t>Pós-Projeto</t>
        </is>
      </c>
      <c r="C50" s="85" t="inlineStr">
        <is>
          <t>GAEs Abertas</t>
        </is>
      </c>
      <c r="D50" s="69" t="n">
        <v>199</v>
      </c>
      <c r="E50" s="69" t="n">
        <v>157</v>
      </c>
      <c r="F50" s="69" t="n">
        <v>180</v>
      </c>
      <c r="G50" s="69" t="n">
        <v>157</v>
      </c>
      <c r="H50" s="69" t="n">
        <v>110</v>
      </c>
      <c r="I50" s="69" t="n">
        <v>176</v>
      </c>
      <c r="J50" s="69" t="n">
        <v>105</v>
      </c>
      <c r="K50" s="69" t="n">
        <v>262</v>
      </c>
      <c r="L50" s="69" t="n">
        <v>135</v>
      </c>
      <c r="M50" s="69" t="n">
        <v>189</v>
      </c>
      <c r="N50" s="69" t="n">
        <v>204</v>
      </c>
      <c r="O50" s="69" t="n">
        <v>243</v>
      </c>
      <c r="P50" s="69" t="n">
        <v>238</v>
      </c>
    </row>
    <row r="51" ht="15.75" customHeight="1" s="45">
      <c r="A51" s="61" t="n">
        <v>46269</v>
      </c>
      <c r="B51" s="82" t="inlineStr">
        <is>
          <t>Pós-Projeto</t>
        </is>
      </c>
      <c r="C51" s="85" t="inlineStr">
        <is>
          <t>GAEs Classificadas</t>
        </is>
      </c>
      <c r="D51" s="69" t="n">
        <v>185</v>
      </c>
      <c r="E51" s="69" t="n">
        <v>154</v>
      </c>
      <c r="F51" s="69" t="n">
        <v>175</v>
      </c>
      <c r="G51" s="69" t="n">
        <v>151</v>
      </c>
      <c r="H51" s="69" t="n">
        <v>104</v>
      </c>
      <c r="I51" s="69" t="n">
        <v>171</v>
      </c>
      <c r="J51" s="69" t="n">
        <v>102</v>
      </c>
      <c r="K51" s="69" t="n">
        <v>239</v>
      </c>
      <c r="L51" s="69" t="n">
        <v>131</v>
      </c>
      <c r="M51" s="69" t="n">
        <v>181</v>
      </c>
      <c r="N51" s="69" t="n">
        <v>196</v>
      </c>
      <c r="O51" s="69" t="n">
        <v>238</v>
      </c>
      <c r="P51" s="69" t="n">
        <v>223</v>
      </c>
    </row>
    <row r="52" ht="15.75" customHeight="1" s="45">
      <c r="A52" s="61" t="n">
        <v>46269</v>
      </c>
      <c r="B52" s="82" t="inlineStr">
        <is>
          <t>Pós-Projeto</t>
        </is>
      </c>
      <c r="C52" s="86" t="inlineStr">
        <is>
          <t>Percentual de GAEs abertas classificadas</t>
        </is>
      </c>
      <c r="D52" s="71">
        <f>IFERROR(D51/D50,"-")</f>
        <v/>
      </c>
      <c r="E52" s="71">
        <f>IFERROR(E51/E50,"-")</f>
        <v/>
      </c>
      <c r="F52" s="71">
        <f>IFERROR(F51/F50,"-")</f>
        <v/>
      </c>
      <c r="G52" s="71">
        <f>IFERROR(G51/G50,"-")</f>
        <v/>
      </c>
      <c r="H52" s="71">
        <f>IFERROR(H51/H50,"-")</f>
        <v/>
      </c>
      <c r="I52" s="71">
        <f>IFERROR(I51/I50,"-")</f>
        <v/>
      </c>
      <c r="J52" s="71">
        <f>IFERROR(J51/J50,"-")</f>
        <v/>
      </c>
      <c r="K52" s="71">
        <f>IFERROR(K51/K50,"-")</f>
        <v/>
      </c>
      <c r="L52" s="71">
        <f>IFERROR(L51/L50,"-")</f>
        <v/>
      </c>
      <c r="M52" s="71">
        <f>IFERROR(M51/M50,"-")</f>
        <v/>
      </c>
      <c r="N52" s="71">
        <f>IFERROR(N51/N50,"-")</f>
        <v/>
      </c>
      <c r="O52" s="71">
        <f>IFERROR(O51/O50,"-")</f>
        <v/>
      </c>
      <c r="P52" s="71">
        <f>IFERROR(P51/P50,"-")</f>
        <v/>
      </c>
    </row>
    <row r="53" ht="15.75" customHeight="1" s="45">
      <c r="A53" s="61" t="n">
        <v>46269</v>
      </c>
      <c r="B53" s="82" t="inlineStr">
        <is>
          <t>Pós-Projeto</t>
        </is>
      </c>
      <c r="C53" s="87" t="inlineStr">
        <is>
          <t>Tempo Médio — 🟡 Amarelo (hh:mm)</t>
        </is>
      </c>
      <c r="D53" s="73" t="n">
        <v>0.08581018518518518</v>
      </c>
      <c r="E53" s="73" t="n">
        <v>0.06736111111111111</v>
      </c>
      <c r="F53" s="73" t="n">
        <v>0.04834490740740741</v>
      </c>
      <c r="G53" s="73" t="n">
        <v>0.04387731481481481</v>
      </c>
      <c r="H53" s="73" t="n">
        <v>0.05184027777777778</v>
      </c>
      <c r="I53" s="73" t="n">
        <v>0.0269212962962963</v>
      </c>
      <c r="J53" s="73" t="n">
        <v>0.03878472222222222</v>
      </c>
      <c r="K53" s="73" t="n">
        <v>0.07265046296296296</v>
      </c>
      <c r="L53" s="73" t="n">
        <v>0.07322916666666666</v>
      </c>
      <c r="M53" s="73" t="n">
        <v>0.0291087962962963</v>
      </c>
      <c r="N53" s="73" t="n">
        <v>0.05236111111111111</v>
      </c>
      <c r="O53" s="73" t="n">
        <v>0.03515046296296296</v>
      </c>
      <c r="P53" s="73" t="n">
        <v>0.04195601851851852</v>
      </c>
    </row>
    <row r="54" ht="15.75" customHeight="1" s="45">
      <c r="A54" s="61" t="n">
        <v>46269</v>
      </c>
      <c r="B54" s="82" t="inlineStr">
        <is>
          <t>Pós-Projeto</t>
        </is>
      </c>
      <c r="C54" s="88" t="inlineStr">
        <is>
          <t>Tempo Médio — 🟠 Laranja (hh:mm)</t>
        </is>
      </c>
      <c r="D54" s="75" t="n">
        <v>0.01075231481481482</v>
      </c>
      <c r="E54" s="75" t="n">
        <v>0.00625</v>
      </c>
      <c r="F54" s="75" t="n">
        <v>0.005150462962962963</v>
      </c>
      <c r="G54" s="75" t="n">
        <v>0.009699074074074074</v>
      </c>
      <c r="H54" s="75" t="n">
        <v>0.009363425925925926</v>
      </c>
      <c r="I54" s="75" t="n">
        <v>0.0171875</v>
      </c>
      <c r="J54" s="75" t="n">
        <v>0.005497685185185185</v>
      </c>
      <c r="K54" s="75" t="n">
        <v>0.01528935185185185</v>
      </c>
      <c r="L54" s="75" t="n">
        <v>0.0137962962962963</v>
      </c>
      <c r="M54" s="75" t="n">
        <v>0.008344907407407407</v>
      </c>
      <c r="N54" s="75" t="n">
        <v>0.01907407407407407</v>
      </c>
      <c r="O54" s="75" t="n">
        <v>0.01068287037037037</v>
      </c>
      <c r="P54" s="75" t="n">
        <v>0.0122337962962963</v>
      </c>
    </row>
    <row r="55" ht="15.75" customHeight="1" s="45">
      <c r="A55" s="76" t="n">
        <v>46269</v>
      </c>
      <c r="B55" s="89" t="inlineStr">
        <is>
          <t>Pós-Projeto</t>
        </is>
      </c>
      <c r="C55" s="90" t="inlineStr">
        <is>
          <t>Tempo Médio — 🟢 Verde   (hh:mm)</t>
        </is>
      </c>
      <c r="D55" s="79" t="n">
        <v>0.1136226851851852</v>
      </c>
      <c r="E55" s="79" t="n">
        <v>0.1098032407407407</v>
      </c>
      <c r="F55" s="79" t="n">
        <v>0.07873842592592592</v>
      </c>
      <c r="G55" s="79" t="n">
        <v>0.1017939814814815</v>
      </c>
      <c r="H55" s="79" t="n">
        <v>0.07712962962962963</v>
      </c>
      <c r="I55" s="79" t="n">
        <v>0.07774305555555555</v>
      </c>
      <c r="J55" s="79" t="n">
        <v>0.07479166666666667</v>
      </c>
      <c r="K55" s="79" t="n">
        <v>0.07513888888888889</v>
      </c>
      <c r="L55" s="79" t="n">
        <v>0.1247685185185185</v>
      </c>
      <c r="M55" s="79" t="n">
        <v>0.06168981481481482</v>
      </c>
      <c r="N55" s="79" t="n">
        <v>0.08516203703703704</v>
      </c>
      <c r="O55" s="79" t="n">
        <v>0.07203703703703704</v>
      </c>
      <c r="P55" s="79" t="n">
        <v>0.06041666666666667</v>
      </c>
    </row>
    <row r="56" ht="15.75" customHeight="1" s="45">
      <c r="A56" s="57" t="n">
        <v>46270</v>
      </c>
      <c r="B56" s="81" t="inlineStr">
        <is>
          <t>Pós-Projeto</t>
        </is>
      </c>
      <c r="C56" s="59" t="inlineStr">
        <is>
          <t>Acolhim. + Atend. Urgência + Atend. UPA</t>
        </is>
      </c>
      <c r="D56" s="60">
        <f>SUM(D57:D59)</f>
        <v/>
      </c>
      <c r="E56" s="60">
        <f>SUM(E57:E59)</f>
        <v/>
      </c>
      <c r="F56" s="60">
        <f>SUM(F57:F59)</f>
        <v/>
      </c>
      <c r="G56" s="60">
        <f>SUM(G57:G59)</f>
        <v/>
      </c>
      <c r="H56" s="60">
        <f>SUM(H57:H59)</f>
        <v/>
      </c>
      <c r="I56" s="60">
        <f>SUM(I57:I59)</f>
        <v/>
      </c>
      <c r="J56" s="60">
        <f>SUM(J57:J59)</f>
        <v/>
      </c>
      <c r="K56" s="60">
        <f>SUM(K57:K59)</f>
        <v/>
      </c>
      <c r="L56" s="60">
        <f>SUM(L57:L59)</f>
        <v/>
      </c>
      <c r="M56" s="60">
        <f>SUM(M57:M59)</f>
        <v/>
      </c>
      <c r="N56" s="60">
        <f>SUM(N57:N59)</f>
        <v/>
      </c>
      <c r="O56" s="60">
        <f>SUM(O57:O59)</f>
        <v/>
      </c>
      <c r="P56" s="60">
        <f>SUM(P57:P59)</f>
        <v/>
      </c>
    </row>
    <row r="57" ht="15.75" customHeight="1" s="45">
      <c r="A57" s="61" t="n">
        <v>46270</v>
      </c>
      <c r="B57" s="82" t="inlineStr">
        <is>
          <t>Pós-Projeto</t>
        </is>
      </c>
      <c r="C57" s="83" t="inlineStr">
        <is>
          <t>Acolhimento c/ Classif. de Risco</t>
        </is>
      </c>
      <c r="D57" s="64" t="n">
        <v>159</v>
      </c>
      <c r="E57" s="64" t="n">
        <v>141</v>
      </c>
      <c r="F57" s="64" t="n">
        <v>134</v>
      </c>
      <c r="G57" s="64" t="n">
        <v>140</v>
      </c>
      <c r="H57" s="64" t="n">
        <v>129</v>
      </c>
      <c r="I57" s="64" t="n">
        <v>171</v>
      </c>
      <c r="J57" s="64" t="n">
        <v>115</v>
      </c>
      <c r="K57" s="64" t="n">
        <v>227</v>
      </c>
      <c r="L57" s="64" t="n">
        <v>114</v>
      </c>
      <c r="M57" s="64" t="n">
        <v>185</v>
      </c>
      <c r="N57" s="64" t="n">
        <v>149</v>
      </c>
      <c r="O57" s="64" t="n">
        <v>230</v>
      </c>
      <c r="P57" s="64" t="n">
        <v>194</v>
      </c>
    </row>
    <row r="58" ht="15.75" customHeight="1" s="45">
      <c r="A58" s="61" t="n">
        <v>46270</v>
      </c>
      <c r="B58" s="82" t="inlineStr">
        <is>
          <t>Pós-Projeto</t>
        </is>
      </c>
      <c r="C58" s="84" t="inlineStr">
        <is>
          <t>Atend. Urgência Obs. ≤ 24h</t>
        </is>
      </c>
      <c r="D58" s="66" t="n">
        <v>21</v>
      </c>
      <c r="E58" s="66" t="n">
        <v>23</v>
      </c>
      <c r="F58" s="66" t="n">
        <v>22</v>
      </c>
      <c r="G58" s="66" t="n">
        <v>22</v>
      </c>
      <c r="H58" s="66" t="n">
        <v>18</v>
      </c>
      <c r="I58" s="66" t="n">
        <v>14</v>
      </c>
      <c r="J58" s="66" t="n">
        <v>3</v>
      </c>
      <c r="K58" s="66" t="n">
        <v>50</v>
      </c>
      <c r="L58" s="66" t="n">
        <v>42</v>
      </c>
      <c r="M58" s="66" t="n">
        <v>19</v>
      </c>
      <c r="N58" s="66" t="n">
        <v>10</v>
      </c>
      <c r="O58" s="66" t="n">
        <v>14</v>
      </c>
      <c r="P58" s="66" t="n">
        <v>12</v>
      </c>
    </row>
    <row r="59" ht="15.75" customHeight="1" s="45">
      <c r="A59" s="61" t="n">
        <v>46270</v>
      </c>
      <c r="B59" s="82" t="inlineStr">
        <is>
          <t>Pós-Projeto</t>
        </is>
      </c>
      <c r="C59" s="83" t="inlineStr">
        <is>
          <t>Atend. Médico em UPA</t>
        </is>
      </c>
      <c r="D59" s="64" t="n">
        <v>144</v>
      </c>
      <c r="E59" s="64" t="n">
        <v>98</v>
      </c>
      <c r="F59" s="64" t="n">
        <v>102</v>
      </c>
      <c r="G59" s="64" t="n">
        <v>95</v>
      </c>
      <c r="H59" s="64" t="n">
        <v>89</v>
      </c>
      <c r="I59" s="64" t="n">
        <v>160</v>
      </c>
      <c r="J59" s="64" t="n">
        <v>43</v>
      </c>
      <c r="K59" s="64" t="n">
        <v>184</v>
      </c>
      <c r="L59" s="64" t="n">
        <v>96</v>
      </c>
      <c r="M59" s="64" t="n">
        <v>115</v>
      </c>
      <c r="N59" s="64" t="n">
        <v>101</v>
      </c>
      <c r="O59" s="64" t="n">
        <v>184</v>
      </c>
      <c r="P59" s="64" t="n">
        <v>163</v>
      </c>
    </row>
    <row r="60" ht="15.75" customHeight="1" s="45">
      <c r="A60" s="61" t="n">
        <v>46270</v>
      </c>
      <c r="B60" s="82" t="inlineStr">
        <is>
          <t>Pós-Projeto</t>
        </is>
      </c>
      <c r="C60" s="84" t="inlineStr">
        <is>
          <t>Exames Laboratoriais</t>
        </is>
      </c>
      <c r="D60" s="66" t="n">
        <v>542</v>
      </c>
      <c r="E60" s="66" t="n">
        <v>416</v>
      </c>
      <c r="F60" s="66" t="n">
        <v>385</v>
      </c>
      <c r="G60" s="66" t="n">
        <v>307</v>
      </c>
      <c r="H60" s="66" t="n">
        <v>403</v>
      </c>
      <c r="I60" s="66" t="n">
        <v>481</v>
      </c>
      <c r="J60" s="66" t="n">
        <v>321</v>
      </c>
      <c r="K60" s="66" t="n">
        <v>613</v>
      </c>
      <c r="L60" s="66" t="n">
        <v>622</v>
      </c>
      <c r="M60" s="66" t="n">
        <v>488</v>
      </c>
      <c r="N60" s="66" t="n">
        <v>577</v>
      </c>
      <c r="O60" s="66" t="n">
        <v>390</v>
      </c>
      <c r="P60" s="66" t="n">
        <v>462</v>
      </c>
    </row>
    <row r="61" ht="15.75" customHeight="1" s="45">
      <c r="A61" s="61" t="n">
        <v>46270</v>
      </c>
      <c r="B61" s="82" t="inlineStr">
        <is>
          <t>Pós-Projeto</t>
        </is>
      </c>
      <c r="C61" s="83" t="inlineStr">
        <is>
          <t>Radiografias</t>
        </is>
      </c>
      <c r="D61" s="64" t="n">
        <v>26</v>
      </c>
      <c r="E61" s="64" t="n">
        <v>17</v>
      </c>
      <c r="F61" s="67" t="n">
        <v>0</v>
      </c>
      <c r="G61" s="67" t="n">
        <v>0</v>
      </c>
      <c r="H61" s="64" t="n">
        <v>9</v>
      </c>
      <c r="I61" s="64" t="n">
        <v>15</v>
      </c>
      <c r="J61" s="64" t="n">
        <v>16</v>
      </c>
      <c r="K61" s="64" t="n">
        <v>31</v>
      </c>
      <c r="L61" s="64" t="n">
        <v>14</v>
      </c>
      <c r="M61" s="64" t="n">
        <v>24</v>
      </c>
      <c r="N61" s="64" t="n">
        <v>15</v>
      </c>
      <c r="O61" s="64" t="n">
        <v>39</v>
      </c>
      <c r="P61" s="64" t="n">
        <v>35</v>
      </c>
    </row>
    <row r="62" ht="15.75" customHeight="1" s="45">
      <c r="A62" s="61" t="n">
        <v>46270</v>
      </c>
      <c r="B62" s="82" t="inlineStr">
        <is>
          <t>Pós-Projeto</t>
        </is>
      </c>
      <c r="C62" s="84" t="inlineStr">
        <is>
          <t>Eletrocardiogramas</t>
        </is>
      </c>
      <c r="D62" s="67" t="n">
        <v>0</v>
      </c>
      <c r="E62" s="67" t="n">
        <v>0</v>
      </c>
      <c r="F62" s="67" t="n">
        <v>0</v>
      </c>
      <c r="G62" s="66" t="n">
        <v>4</v>
      </c>
      <c r="H62" s="67" t="n">
        <v>0</v>
      </c>
      <c r="I62" s="66" t="n">
        <v>2</v>
      </c>
      <c r="J62" s="67" t="n">
        <v>0</v>
      </c>
      <c r="K62" s="66" t="n">
        <v>7</v>
      </c>
      <c r="L62" s="67" t="n">
        <v>0</v>
      </c>
      <c r="M62" s="67" t="n">
        <v>0</v>
      </c>
      <c r="N62" s="67" t="n">
        <v>0</v>
      </c>
      <c r="O62" s="67" t="n">
        <v>0</v>
      </c>
      <c r="P62" s="66" t="n">
        <v>3</v>
      </c>
    </row>
    <row r="63" ht="15.75" customHeight="1" s="45">
      <c r="A63" s="61" t="n">
        <v>46270</v>
      </c>
      <c r="B63" s="82" t="inlineStr">
        <is>
          <t>Pós-Projeto</t>
        </is>
      </c>
      <c r="C63" s="85" t="inlineStr">
        <is>
          <t>GAEs Abertas</t>
        </is>
      </c>
      <c r="D63" s="69" t="n">
        <v>158</v>
      </c>
      <c r="E63" s="69" t="n">
        <v>147</v>
      </c>
      <c r="F63" s="69" t="n">
        <v>143</v>
      </c>
      <c r="G63" s="69" t="n">
        <v>145</v>
      </c>
      <c r="H63" s="69" t="n">
        <v>132</v>
      </c>
      <c r="I63" s="69" t="n">
        <v>182</v>
      </c>
      <c r="J63" s="69" t="n">
        <v>118</v>
      </c>
      <c r="K63" s="69" t="n">
        <v>257</v>
      </c>
      <c r="L63" s="69" t="n">
        <v>120</v>
      </c>
      <c r="M63" s="69" t="n">
        <v>194</v>
      </c>
      <c r="N63" s="69" t="n">
        <v>168</v>
      </c>
      <c r="O63" s="69" t="n">
        <v>237</v>
      </c>
      <c r="P63" s="69" t="n">
        <v>197</v>
      </c>
    </row>
    <row r="64" ht="15.75" customHeight="1" s="45">
      <c r="A64" s="61" t="n">
        <v>46270</v>
      </c>
      <c r="B64" s="82" t="inlineStr">
        <is>
          <t>Pós-Projeto</t>
        </is>
      </c>
      <c r="C64" s="85" t="inlineStr">
        <is>
          <t>GAEs Classificadas</t>
        </is>
      </c>
      <c r="D64" s="69" t="n">
        <v>156</v>
      </c>
      <c r="E64" s="69" t="n">
        <v>139</v>
      </c>
      <c r="F64" s="69" t="n">
        <v>134</v>
      </c>
      <c r="G64" s="69" t="n">
        <v>142</v>
      </c>
      <c r="H64" s="69" t="n">
        <v>130</v>
      </c>
      <c r="I64" s="69" t="n">
        <v>172</v>
      </c>
      <c r="J64" s="69" t="n">
        <v>114</v>
      </c>
      <c r="K64" s="69" t="n">
        <v>231</v>
      </c>
      <c r="L64" s="69" t="n">
        <v>115</v>
      </c>
      <c r="M64" s="69" t="n">
        <v>182</v>
      </c>
      <c r="N64" s="69" t="n">
        <v>149</v>
      </c>
      <c r="O64" s="69" t="n">
        <v>229</v>
      </c>
      <c r="P64" s="69" t="n">
        <v>194</v>
      </c>
    </row>
    <row r="65" ht="15.75" customHeight="1" s="45">
      <c r="A65" s="61" t="n">
        <v>46270</v>
      </c>
      <c r="B65" s="82" t="inlineStr">
        <is>
          <t>Pós-Projeto</t>
        </is>
      </c>
      <c r="C65" s="86" t="inlineStr">
        <is>
          <t>Percentual de GAEs abertas classificadas</t>
        </is>
      </c>
      <c r="D65" s="71">
        <f>IFERROR(D64/D63,"-")</f>
        <v/>
      </c>
      <c r="E65" s="71">
        <f>IFERROR(E64/E63,"-")</f>
        <v/>
      </c>
      <c r="F65" s="71">
        <f>IFERROR(F64/F63,"-")</f>
        <v/>
      </c>
      <c r="G65" s="71">
        <f>IFERROR(G64/G63,"-")</f>
        <v/>
      </c>
      <c r="H65" s="71">
        <f>IFERROR(H64/H63,"-")</f>
        <v/>
      </c>
      <c r="I65" s="71">
        <f>IFERROR(I64/I63,"-")</f>
        <v/>
      </c>
      <c r="J65" s="71">
        <f>IFERROR(J64/J63,"-")</f>
        <v/>
      </c>
      <c r="K65" s="71">
        <f>IFERROR(K64/K63,"-")</f>
        <v/>
      </c>
      <c r="L65" s="71">
        <f>IFERROR(L64/L63,"-")</f>
        <v/>
      </c>
      <c r="M65" s="71">
        <f>IFERROR(M64/M63,"-")</f>
        <v/>
      </c>
      <c r="N65" s="71">
        <f>IFERROR(N64/N63,"-")</f>
        <v/>
      </c>
      <c r="O65" s="71">
        <f>IFERROR(O64/O63,"-")</f>
        <v/>
      </c>
      <c r="P65" s="71">
        <f>IFERROR(P64/P63,"-")</f>
        <v/>
      </c>
    </row>
    <row r="66" ht="15.75" customHeight="1" s="45">
      <c r="A66" s="61" t="n">
        <v>46270</v>
      </c>
      <c r="B66" s="82" t="inlineStr">
        <is>
          <t>Pós-Projeto</t>
        </is>
      </c>
      <c r="C66" s="87" t="inlineStr">
        <is>
          <t>Tempo Médio — 🟡 Amarelo (hh:mm)</t>
        </is>
      </c>
      <c r="D66" s="73" t="n">
        <v>0.07299768518518518</v>
      </c>
      <c r="E66" s="73" t="n">
        <v>0.0700925925925926</v>
      </c>
      <c r="F66" s="73" t="n">
        <v>0.0343287037037037</v>
      </c>
      <c r="G66" s="73" t="n">
        <v>0.03762731481481481</v>
      </c>
      <c r="H66" s="73" t="n">
        <v>0.05099537037037037</v>
      </c>
      <c r="I66" s="73" t="n">
        <v>0.02193287037037037</v>
      </c>
      <c r="J66" s="73" t="n">
        <v>0.08266203703703703</v>
      </c>
      <c r="K66" s="73" t="n">
        <v>0.07745370370370371</v>
      </c>
      <c r="L66" s="73" t="n">
        <v>0.1029398148148148</v>
      </c>
      <c r="M66" s="73" t="n">
        <v>0.09606481481481481</v>
      </c>
      <c r="N66" s="73" t="n">
        <v>0.07368055555555555</v>
      </c>
      <c r="O66" s="73" t="n">
        <v>0.02633101851851852</v>
      </c>
      <c r="P66" s="73" t="n">
        <v>0.02971064814814815</v>
      </c>
    </row>
    <row r="67" ht="15.75" customHeight="1" s="45">
      <c r="A67" s="61" t="n">
        <v>46270</v>
      </c>
      <c r="B67" s="82" t="inlineStr">
        <is>
          <t>Pós-Projeto</t>
        </is>
      </c>
      <c r="C67" s="88" t="inlineStr">
        <is>
          <t>Tempo Médio — 🟠 Laranja (hh:mm)</t>
        </is>
      </c>
      <c r="D67" s="75" t="n">
        <v>0.008738425925925926</v>
      </c>
      <c r="E67" s="75" t="n">
        <v>0.0180787037037037</v>
      </c>
      <c r="F67" s="75" t="n">
        <v>0.01144675925925926</v>
      </c>
      <c r="G67" s="75" t="n">
        <v>0.01390046296296296</v>
      </c>
      <c r="H67" s="75" t="n">
        <v>0.003969907407407407</v>
      </c>
      <c r="I67" s="75" t="n">
        <v>0.002592592592592593</v>
      </c>
      <c r="J67" s="75" t="n">
        <v>0.01418981481481481</v>
      </c>
      <c r="K67" s="75" t="n">
        <v>0.01594907407407407</v>
      </c>
      <c r="L67" s="75" t="n">
        <v>0.01119212962962963</v>
      </c>
      <c r="M67" s="75" t="n">
        <v>0.009837962962962963</v>
      </c>
      <c r="N67" s="75" t="n">
        <v>0.01444444444444444</v>
      </c>
      <c r="O67" s="75" t="n">
        <v>0.007442129629629629</v>
      </c>
      <c r="P67" s="75" t="n">
        <v>0.009270833333333334</v>
      </c>
    </row>
    <row r="68" ht="15.75" customHeight="1" s="45">
      <c r="A68" s="76" t="n">
        <v>46270</v>
      </c>
      <c r="B68" s="82" t="inlineStr">
        <is>
          <t>Pós-Projeto</t>
        </is>
      </c>
      <c r="C68" s="91" t="inlineStr">
        <is>
          <t>Tempo Médio — 🟢 Verde   (hh:mm)</t>
        </is>
      </c>
      <c r="D68" s="79" t="n">
        <v>0.1296990740740741</v>
      </c>
      <c r="E68" s="79" t="n">
        <v>0.1999305555555556</v>
      </c>
      <c r="F68" s="79" t="n">
        <v>0.06428240740740741</v>
      </c>
      <c r="G68" s="79" t="n">
        <v>0.1106828703703704</v>
      </c>
      <c r="H68" s="79" t="n">
        <v>0.09737268518518519</v>
      </c>
      <c r="I68" s="79" t="n">
        <v>0.1353587962962963</v>
      </c>
      <c r="J68" s="79" t="n">
        <v>0.2125694444444444</v>
      </c>
      <c r="K68" s="79" t="n">
        <v>0.1109722222222222</v>
      </c>
      <c r="L68" s="79" t="n">
        <v>0.1625810185185185</v>
      </c>
      <c r="M68" s="79" t="n">
        <v>0.08733796296296296</v>
      </c>
      <c r="N68" s="79" t="n">
        <v>0.128912037037037</v>
      </c>
      <c r="O68" s="79" t="n">
        <v>0.07047453703703704</v>
      </c>
      <c r="P68" s="79" t="n">
        <v>0.0450462962962963</v>
      </c>
    </row>
    <row r="69" ht="15.75" customHeight="1" s="45">
      <c r="A69" s="57" t="n">
        <v>46271</v>
      </c>
      <c r="B69" s="81" t="inlineStr">
        <is>
          <t>Pós-Projeto</t>
        </is>
      </c>
      <c r="C69" s="59" t="inlineStr">
        <is>
          <t>Acolhim. + Atend. Urgência + Atend. UPA</t>
        </is>
      </c>
      <c r="D69" s="60">
        <f>SUM(D70:D72)</f>
        <v/>
      </c>
      <c r="E69" s="60">
        <f>SUM(E70:E72)</f>
        <v/>
      </c>
      <c r="F69" s="60">
        <f>SUM(F70:F72)</f>
        <v/>
      </c>
      <c r="G69" s="60">
        <f>SUM(G70:G72)</f>
        <v/>
      </c>
      <c r="H69" s="60">
        <f>SUM(H70:H72)</f>
        <v/>
      </c>
      <c r="I69" s="60">
        <f>SUM(I70:I72)</f>
        <v/>
      </c>
      <c r="J69" s="60">
        <f>SUM(J70:J72)</f>
        <v/>
      </c>
      <c r="K69" s="60">
        <f>SUM(K70:K72)</f>
        <v/>
      </c>
      <c r="L69" s="60">
        <f>SUM(L70:L72)</f>
        <v/>
      </c>
      <c r="M69" s="60">
        <f>SUM(M70:M72)</f>
        <v/>
      </c>
      <c r="N69" s="60">
        <f>SUM(N70:N72)</f>
        <v/>
      </c>
      <c r="O69" s="60">
        <f>SUM(O70:O72)</f>
        <v/>
      </c>
      <c r="P69" s="60">
        <f>SUM(P70:P72)</f>
        <v/>
      </c>
    </row>
    <row r="70" ht="15.75" customHeight="1" s="45">
      <c r="A70" s="61" t="n">
        <v>46271</v>
      </c>
      <c r="B70" s="82" t="inlineStr">
        <is>
          <t>Pós-Projeto</t>
        </is>
      </c>
      <c r="C70" s="83" t="inlineStr">
        <is>
          <t>Acolhimento c/ Classif. de Risco</t>
        </is>
      </c>
      <c r="D70" s="66" t="n">
        <v>146</v>
      </c>
      <c r="E70" s="66" t="n">
        <v>133</v>
      </c>
      <c r="F70" s="66" t="n">
        <v>131</v>
      </c>
      <c r="G70" s="66" t="n">
        <v>133</v>
      </c>
      <c r="H70" s="66" t="n">
        <v>105</v>
      </c>
      <c r="I70" s="66" t="n">
        <v>163</v>
      </c>
      <c r="J70" s="66" t="n">
        <v>79</v>
      </c>
      <c r="K70" s="66" t="n">
        <v>250</v>
      </c>
      <c r="L70" s="66" t="n">
        <v>113</v>
      </c>
      <c r="M70" s="66" t="n">
        <v>182</v>
      </c>
      <c r="N70" s="66" t="n">
        <v>169</v>
      </c>
      <c r="O70" s="66" t="n">
        <v>193</v>
      </c>
      <c r="P70" s="66" t="n">
        <v>162</v>
      </c>
    </row>
    <row r="71" ht="15.75" customHeight="1" s="45">
      <c r="A71" s="61" t="n">
        <v>46271</v>
      </c>
      <c r="B71" s="82" t="inlineStr">
        <is>
          <t>Pós-Projeto</t>
        </is>
      </c>
      <c r="C71" s="84" t="inlineStr">
        <is>
          <t>Atend. Urgência Obs. ≤ 24h</t>
        </is>
      </c>
      <c r="D71" s="64" t="n">
        <v>42</v>
      </c>
      <c r="E71" s="64" t="n">
        <v>12</v>
      </c>
      <c r="F71" s="64" t="n">
        <v>14</v>
      </c>
      <c r="G71" s="64" t="n">
        <v>21</v>
      </c>
      <c r="H71" s="64" t="n">
        <v>11</v>
      </c>
      <c r="I71" s="64" t="n">
        <v>21</v>
      </c>
      <c r="J71" s="64" t="n">
        <v>8</v>
      </c>
      <c r="K71" s="64" t="n">
        <v>50</v>
      </c>
      <c r="L71" s="64" t="n">
        <v>41</v>
      </c>
      <c r="M71" s="64" t="n">
        <v>33</v>
      </c>
      <c r="N71" s="64" t="n">
        <v>7</v>
      </c>
      <c r="O71" s="64" t="n">
        <v>10</v>
      </c>
      <c r="P71" s="64" t="n">
        <v>10</v>
      </c>
    </row>
    <row r="72" ht="15.75" customHeight="1" s="45">
      <c r="A72" s="61" t="n">
        <v>46271</v>
      </c>
      <c r="B72" s="82" t="inlineStr">
        <is>
          <t>Pós-Projeto</t>
        </is>
      </c>
      <c r="C72" s="83" t="inlineStr">
        <is>
          <t>Atend. Médico em UPA</t>
        </is>
      </c>
      <c r="D72" s="66" t="n">
        <v>96</v>
      </c>
      <c r="E72" s="66" t="n">
        <v>76</v>
      </c>
      <c r="F72" s="66" t="n">
        <v>117</v>
      </c>
      <c r="G72" s="66" t="n">
        <v>98</v>
      </c>
      <c r="H72" s="66" t="n">
        <v>72</v>
      </c>
      <c r="I72" s="66" t="n">
        <v>137</v>
      </c>
      <c r="J72" s="66" t="n">
        <v>75</v>
      </c>
      <c r="K72" s="66" t="n">
        <v>170</v>
      </c>
      <c r="L72" s="66" t="n">
        <v>93</v>
      </c>
      <c r="M72" s="66" t="n">
        <v>118</v>
      </c>
      <c r="N72" s="66" t="n">
        <v>144</v>
      </c>
      <c r="O72" s="66" t="n">
        <v>141</v>
      </c>
      <c r="P72" s="66" t="n">
        <v>111</v>
      </c>
    </row>
    <row r="73" ht="15.75" customHeight="1" s="45">
      <c r="A73" s="61" t="n">
        <v>46271</v>
      </c>
      <c r="B73" s="82" t="inlineStr">
        <is>
          <t>Pós-Projeto</t>
        </is>
      </c>
      <c r="C73" s="84" t="inlineStr">
        <is>
          <t>Exames Laboratoriais</t>
        </is>
      </c>
      <c r="D73" s="64" t="n">
        <v>507</v>
      </c>
      <c r="E73" s="64" t="n">
        <v>440</v>
      </c>
      <c r="F73" s="64" t="n">
        <v>284</v>
      </c>
      <c r="G73" s="64" t="n">
        <v>109</v>
      </c>
      <c r="H73" s="64" t="n">
        <v>324</v>
      </c>
      <c r="I73" s="64" t="n">
        <v>681</v>
      </c>
      <c r="J73" s="64" t="n">
        <v>190</v>
      </c>
      <c r="K73" s="64" t="n">
        <v>562</v>
      </c>
      <c r="L73" s="64" t="n">
        <v>543</v>
      </c>
      <c r="M73" s="64" t="n">
        <v>572</v>
      </c>
      <c r="N73" s="64" t="n">
        <v>343</v>
      </c>
      <c r="O73" s="64" t="n">
        <v>215</v>
      </c>
      <c r="P73" s="64" t="n">
        <v>443</v>
      </c>
    </row>
    <row r="74" ht="15.75" customHeight="1" s="45">
      <c r="A74" s="61" t="n">
        <v>46271</v>
      </c>
      <c r="B74" s="82" t="inlineStr">
        <is>
          <t>Pós-Projeto</t>
        </is>
      </c>
      <c r="C74" s="83" t="inlineStr">
        <is>
          <t>Radiografias</t>
        </is>
      </c>
      <c r="D74" s="66" t="n">
        <v>6</v>
      </c>
      <c r="E74" s="66" t="n">
        <v>17</v>
      </c>
      <c r="F74" s="67" t="n">
        <v>0</v>
      </c>
      <c r="G74" s="67" t="n">
        <v>0</v>
      </c>
      <c r="H74" s="66" t="n">
        <v>12</v>
      </c>
      <c r="I74" s="66" t="n">
        <v>23</v>
      </c>
      <c r="J74" s="66" t="n">
        <v>21</v>
      </c>
      <c r="K74" s="66" t="n">
        <v>29</v>
      </c>
      <c r="L74" s="66" t="n">
        <v>19</v>
      </c>
      <c r="M74" s="66" t="n">
        <v>37</v>
      </c>
      <c r="N74" s="66" t="n">
        <v>17</v>
      </c>
      <c r="O74" s="66" t="n">
        <v>26</v>
      </c>
      <c r="P74" s="66" t="n">
        <v>26</v>
      </c>
    </row>
    <row r="75" ht="15.75" customHeight="1" s="45">
      <c r="A75" s="61" t="n">
        <v>46271</v>
      </c>
      <c r="B75" s="82" t="inlineStr">
        <is>
          <t>Pós-Projeto</t>
        </is>
      </c>
      <c r="C75" s="84" t="inlineStr">
        <is>
          <t>Eletrocardiogramas</t>
        </is>
      </c>
      <c r="D75" s="64" t="n">
        <v>5</v>
      </c>
      <c r="E75" s="67" t="n">
        <v>0</v>
      </c>
      <c r="F75" s="67" t="n">
        <v>0</v>
      </c>
      <c r="G75" s="64" t="n">
        <v>4</v>
      </c>
      <c r="H75" s="67" t="n">
        <v>0</v>
      </c>
      <c r="I75" s="67" t="n">
        <v>0</v>
      </c>
      <c r="J75" s="67" t="n">
        <v>0</v>
      </c>
      <c r="K75" s="67" t="n">
        <v>0</v>
      </c>
      <c r="L75" s="67" t="n">
        <v>0</v>
      </c>
      <c r="M75" s="67" t="n">
        <v>0</v>
      </c>
      <c r="N75" s="64" t="n">
        <v>11</v>
      </c>
      <c r="O75" s="67" t="n">
        <v>0</v>
      </c>
      <c r="P75" s="67" t="n">
        <v>0</v>
      </c>
    </row>
    <row r="76" ht="15.75" customHeight="1" s="45">
      <c r="A76" s="61" t="n">
        <v>46271</v>
      </c>
      <c r="B76" s="82" t="inlineStr">
        <is>
          <t>Pós-Projeto</t>
        </is>
      </c>
      <c r="C76" s="85" t="inlineStr">
        <is>
          <t>GAEs Abertas</t>
        </is>
      </c>
      <c r="D76" s="69" t="n">
        <v>153</v>
      </c>
      <c r="E76" s="69" t="n">
        <v>135</v>
      </c>
      <c r="F76" s="69" t="n">
        <v>134</v>
      </c>
      <c r="G76" s="69" t="n">
        <v>133</v>
      </c>
      <c r="H76" s="69" t="n">
        <v>108</v>
      </c>
      <c r="I76" s="69" t="n">
        <v>169</v>
      </c>
      <c r="J76" s="69" t="n">
        <v>83</v>
      </c>
      <c r="K76" s="69" t="n">
        <v>268</v>
      </c>
      <c r="L76" s="69" t="n">
        <v>116</v>
      </c>
      <c r="M76" s="69" t="n">
        <v>196</v>
      </c>
      <c r="N76" s="69" t="n">
        <v>172</v>
      </c>
      <c r="O76" s="69" t="n">
        <v>203</v>
      </c>
      <c r="P76" s="69" t="n">
        <v>168</v>
      </c>
    </row>
    <row r="77" ht="15.75" customHeight="1" s="45">
      <c r="A77" s="61" t="n">
        <v>46271</v>
      </c>
      <c r="B77" s="82" t="inlineStr">
        <is>
          <t>Pós-Projeto</t>
        </is>
      </c>
      <c r="C77" s="85" t="inlineStr">
        <is>
          <t>GAEs Classificadas</t>
        </is>
      </c>
      <c r="D77" s="69" t="n">
        <v>145</v>
      </c>
      <c r="E77" s="69" t="n">
        <v>133</v>
      </c>
      <c r="F77" s="69" t="n">
        <v>131</v>
      </c>
      <c r="G77" s="69" t="n">
        <v>131</v>
      </c>
      <c r="H77" s="69" t="n">
        <v>104</v>
      </c>
      <c r="I77" s="69" t="n">
        <v>159</v>
      </c>
      <c r="J77" s="69" t="n">
        <v>79</v>
      </c>
      <c r="K77" s="69" t="n">
        <v>251</v>
      </c>
      <c r="L77" s="69" t="n">
        <v>112</v>
      </c>
      <c r="M77" s="69" t="n">
        <v>183</v>
      </c>
      <c r="N77" s="69" t="n">
        <v>169</v>
      </c>
      <c r="O77" s="69" t="n">
        <v>195</v>
      </c>
      <c r="P77" s="69" t="n">
        <v>162</v>
      </c>
    </row>
    <row r="78" ht="15.75" customHeight="1" s="45">
      <c r="A78" s="61" t="n">
        <v>46271</v>
      </c>
      <c r="B78" s="82" t="inlineStr">
        <is>
          <t>Pós-Projeto</t>
        </is>
      </c>
      <c r="C78" s="86" t="inlineStr">
        <is>
          <t>Percentual de GAEs abertas classificadas</t>
        </is>
      </c>
      <c r="D78" s="71">
        <f>IFERROR(D77/D76,"-")</f>
        <v/>
      </c>
      <c r="E78" s="71">
        <f>IFERROR(E77/E76,"-")</f>
        <v/>
      </c>
      <c r="F78" s="71">
        <f>IFERROR(F77/F76,"-")</f>
        <v/>
      </c>
      <c r="G78" s="71">
        <f>IFERROR(G77/G76,"-")</f>
        <v/>
      </c>
      <c r="H78" s="71">
        <f>IFERROR(H77/H76,"-")</f>
        <v/>
      </c>
      <c r="I78" s="71">
        <f>IFERROR(I77/I76,"-")</f>
        <v/>
      </c>
      <c r="J78" s="71">
        <f>IFERROR(J77/J76,"-")</f>
        <v/>
      </c>
      <c r="K78" s="71">
        <f>IFERROR(K77/K76,"-")</f>
        <v/>
      </c>
      <c r="L78" s="71">
        <f>IFERROR(L77/L76,"-")</f>
        <v/>
      </c>
      <c r="M78" s="71">
        <f>IFERROR(M77/M76,"-")</f>
        <v/>
      </c>
      <c r="N78" s="71">
        <f>IFERROR(N77/N76,"-")</f>
        <v/>
      </c>
      <c r="O78" s="71">
        <f>IFERROR(O77/O76,"-")</f>
        <v/>
      </c>
      <c r="P78" s="71">
        <f>IFERROR(P77/P76,"-")</f>
        <v/>
      </c>
    </row>
    <row r="79" ht="15.75" customHeight="1" s="45">
      <c r="A79" s="61" t="n">
        <v>46271</v>
      </c>
      <c r="B79" s="82" t="inlineStr">
        <is>
          <t>Pós-Projeto</t>
        </is>
      </c>
      <c r="C79" s="87" t="inlineStr">
        <is>
          <t>Tempo Médio — 🟡 Amarelo (hh:mm)</t>
        </is>
      </c>
      <c r="D79" s="73" t="n">
        <v>0.06878472222222222</v>
      </c>
      <c r="E79" s="73" t="n">
        <v>0.1384143518518519</v>
      </c>
      <c r="F79" s="73" t="n">
        <v>0.03450231481481481</v>
      </c>
      <c r="G79" s="73" t="n">
        <v>0.03574074074074074</v>
      </c>
      <c r="H79" s="73" t="n">
        <v>0.02577546296296296</v>
      </c>
      <c r="I79" s="73" t="n">
        <v>0.02743055555555556</v>
      </c>
      <c r="J79" s="73" t="n">
        <v>0.06402777777777778</v>
      </c>
      <c r="K79" s="73" t="n">
        <v>0.1058217592592593</v>
      </c>
      <c r="L79" s="73" t="n">
        <v>0.05162037037037037</v>
      </c>
      <c r="M79" s="73" t="n">
        <v>0.05282407407407407</v>
      </c>
      <c r="N79" s="73" t="n">
        <v>0.02583333333333333</v>
      </c>
      <c r="O79" s="73" t="n">
        <v>0.02065972222222222</v>
      </c>
      <c r="P79" s="73" t="n">
        <v>0.01083333333333333</v>
      </c>
    </row>
    <row r="80" ht="15.75" customHeight="1" s="45">
      <c r="A80" s="61" t="n">
        <v>46271</v>
      </c>
      <c r="B80" s="82" t="inlineStr">
        <is>
          <t>Pós-Projeto</t>
        </is>
      </c>
      <c r="C80" s="88" t="inlineStr">
        <is>
          <t>Tempo Médio — 🟠 Laranja (hh:mm)</t>
        </is>
      </c>
      <c r="D80" s="75" t="n">
        <v>0.01829861111111111</v>
      </c>
      <c r="E80" s="75" t="n">
        <v>0.01689814814814815</v>
      </c>
      <c r="F80" s="75" t="n">
        <v>0.004930555555555555</v>
      </c>
      <c r="G80" s="75" t="n">
        <v>0.002453703703703704</v>
      </c>
      <c r="H80" s="75" t="n">
        <v>0.007222222222222222</v>
      </c>
      <c r="I80" s="75" t="n">
        <v>0.004675925925925926</v>
      </c>
      <c r="J80" s="75" t="n">
        <v>0.01679398148148148</v>
      </c>
      <c r="K80" s="75" t="n">
        <v>0.01359953703703704</v>
      </c>
      <c r="L80" s="75" t="n">
        <v>0.009027777777777777</v>
      </c>
      <c r="M80" s="75" t="n">
        <v>0.0171875</v>
      </c>
      <c r="N80" s="75" t="n">
        <v>0.01290509259259259</v>
      </c>
      <c r="O80" s="75" t="n">
        <v>0.007060185185185185</v>
      </c>
      <c r="P80" s="75" t="n">
        <v>0.004629629629629629</v>
      </c>
    </row>
    <row r="81" ht="15.75" customHeight="1" s="45">
      <c r="A81" s="76" t="n">
        <v>46271</v>
      </c>
      <c r="B81" s="82" t="inlineStr">
        <is>
          <t>Pós-Projeto</t>
        </is>
      </c>
      <c r="C81" s="91" t="inlineStr">
        <is>
          <t>Tempo Médio — 🟢 Verde   (hh:mm)</t>
        </is>
      </c>
      <c r="D81" s="79" t="n">
        <v>0.09384259259259259</v>
      </c>
      <c r="E81" s="79" t="n">
        <v>0.2113425925925926</v>
      </c>
      <c r="F81" s="79" t="n">
        <v>0.07427083333333333</v>
      </c>
      <c r="G81" s="79" t="n">
        <v>0.1009027777777778</v>
      </c>
      <c r="H81" s="79" t="n">
        <v>0.08457175925925926</v>
      </c>
      <c r="I81" s="79" t="n">
        <v>0.09635416666666667</v>
      </c>
      <c r="J81" s="79" t="n">
        <v>0.122025462962963</v>
      </c>
      <c r="K81" s="79" t="n">
        <v>0.07994212962962963</v>
      </c>
      <c r="L81" s="79" t="n">
        <v>0.09325231481481482</v>
      </c>
      <c r="M81" s="79" t="n">
        <v>0.04837962962962963</v>
      </c>
      <c r="N81" s="79" t="n">
        <v>0.04479166666666667</v>
      </c>
      <c r="O81" s="79" t="n">
        <v>0.03918981481481482</v>
      </c>
      <c r="P81" s="79" t="n">
        <v>0.01818287037037037</v>
      </c>
    </row>
    <row r="82" ht="15.75" customHeight="1" s="45">
      <c r="A82" s="57" t="n">
        <v>46272</v>
      </c>
      <c r="B82" s="81" t="inlineStr">
        <is>
          <t>Pós-Projeto</t>
        </is>
      </c>
      <c r="C82" s="59" t="inlineStr">
        <is>
          <t>Acolhim. + Atend. Urgência + Atend. UPA</t>
        </is>
      </c>
      <c r="D82" s="60">
        <f>SUM(D83:D85)</f>
        <v/>
      </c>
      <c r="E82" s="60">
        <f>SUM(E83:E85)</f>
        <v/>
      </c>
      <c r="F82" s="60">
        <f>SUM(F83:F85)</f>
        <v/>
      </c>
      <c r="G82" s="60">
        <f>SUM(G83:G85)</f>
        <v/>
      </c>
      <c r="H82" s="60">
        <f>SUM(H83:H85)</f>
        <v/>
      </c>
      <c r="I82" s="60">
        <f>SUM(I83:I85)</f>
        <v/>
      </c>
      <c r="J82" s="60">
        <f>SUM(J83:J85)</f>
        <v/>
      </c>
      <c r="K82" s="60">
        <f>SUM(K83:K85)</f>
        <v/>
      </c>
      <c r="L82" s="60">
        <f>SUM(L83:L85)</f>
        <v/>
      </c>
      <c r="M82" s="60">
        <f>SUM(M83:M85)</f>
        <v/>
      </c>
      <c r="N82" s="60">
        <f>SUM(N83:N85)</f>
        <v/>
      </c>
      <c r="O82" s="60">
        <f>SUM(O83:O85)</f>
        <v/>
      </c>
      <c r="P82" s="60">
        <f>SUM(P83:P85)</f>
        <v/>
      </c>
    </row>
    <row r="83" ht="15.75" customHeight="1" s="45">
      <c r="A83" s="61" t="n">
        <v>46272</v>
      </c>
      <c r="B83" s="62" t="inlineStr">
        <is>
          <t>Pós-Projeto</t>
        </is>
      </c>
      <c r="C83" s="83" t="inlineStr">
        <is>
          <t>Acolhimento c/ Classif. de Risco</t>
        </is>
      </c>
      <c r="D83" s="64" t="n">
        <v>144</v>
      </c>
      <c r="E83" s="64" t="n">
        <v>143</v>
      </c>
      <c r="F83" s="64" t="n">
        <v>143</v>
      </c>
      <c r="G83" s="64" t="n">
        <v>152</v>
      </c>
      <c r="H83" s="64" t="n">
        <v>134</v>
      </c>
      <c r="I83" s="64" t="n">
        <v>170</v>
      </c>
      <c r="J83" s="64" t="n">
        <v>106</v>
      </c>
      <c r="K83" s="64" t="n">
        <v>279</v>
      </c>
      <c r="L83" s="64" t="n">
        <v>133</v>
      </c>
      <c r="M83" s="64" t="n">
        <v>193</v>
      </c>
      <c r="N83" s="64" t="n">
        <v>172</v>
      </c>
      <c r="O83" s="64" t="n">
        <v>243</v>
      </c>
      <c r="P83" s="64" t="n">
        <v>241</v>
      </c>
    </row>
    <row r="84" ht="15.75" customHeight="1" s="45">
      <c r="A84" s="61" t="n">
        <v>46272</v>
      </c>
      <c r="B84" s="82" t="inlineStr">
        <is>
          <t>Pós-Projeto</t>
        </is>
      </c>
      <c r="C84" s="84" t="inlineStr">
        <is>
          <t>Atend. Urgência Obs. ≤ 24h</t>
        </is>
      </c>
      <c r="D84" s="66" t="n">
        <v>34</v>
      </c>
      <c r="E84" s="66" t="n">
        <v>20</v>
      </c>
      <c r="F84" s="66" t="n">
        <v>15</v>
      </c>
      <c r="G84" s="66" t="n">
        <v>16</v>
      </c>
      <c r="H84" s="66" t="n">
        <v>9</v>
      </c>
      <c r="I84" s="66" t="n">
        <v>21</v>
      </c>
      <c r="J84" s="66" t="n">
        <v>9</v>
      </c>
      <c r="K84" s="66" t="n">
        <v>46</v>
      </c>
      <c r="L84" s="66" t="n">
        <v>59</v>
      </c>
      <c r="M84" s="66" t="n">
        <v>42</v>
      </c>
      <c r="N84" s="66" t="n">
        <v>14</v>
      </c>
      <c r="O84" s="66" t="n">
        <v>16</v>
      </c>
      <c r="P84" s="66" t="n">
        <v>11</v>
      </c>
    </row>
    <row r="85" ht="15.75" customHeight="1" s="45">
      <c r="A85" s="61" t="n">
        <v>46272</v>
      </c>
      <c r="B85" s="82" t="inlineStr">
        <is>
          <t>Pós-Projeto</t>
        </is>
      </c>
      <c r="C85" s="83" t="inlineStr">
        <is>
          <t>Atend. Médico em UPA</t>
        </is>
      </c>
      <c r="D85" s="64" t="n">
        <v>98</v>
      </c>
      <c r="E85" s="64" t="n">
        <v>112</v>
      </c>
      <c r="F85" s="64" t="n">
        <v>116</v>
      </c>
      <c r="G85" s="64" t="n">
        <v>112</v>
      </c>
      <c r="H85" s="64" t="n">
        <v>95</v>
      </c>
      <c r="I85" s="64" t="n">
        <v>127</v>
      </c>
      <c r="J85" s="64" t="n">
        <v>88</v>
      </c>
      <c r="K85" s="64" t="n">
        <v>243</v>
      </c>
      <c r="L85" s="64" t="n">
        <v>100</v>
      </c>
      <c r="M85" s="64" t="n">
        <v>128</v>
      </c>
      <c r="N85" s="64" t="n">
        <v>157</v>
      </c>
      <c r="O85" s="64" t="n">
        <v>182</v>
      </c>
      <c r="P85" s="64" t="n">
        <v>160</v>
      </c>
    </row>
    <row r="86" ht="15.75" customHeight="1" s="45">
      <c r="A86" s="61" t="n">
        <v>46272</v>
      </c>
      <c r="B86" s="82" t="inlineStr">
        <is>
          <t>Pós-Projeto</t>
        </is>
      </c>
      <c r="C86" s="84" t="inlineStr">
        <is>
          <t>Exames Laboratoriais</t>
        </is>
      </c>
      <c r="D86" s="66" t="n">
        <v>447</v>
      </c>
      <c r="E86" s="66" t="n">
        <v>475</v>
      </c>
      <c r="F86" s="66" t="n">
        <v>633</v>
      </c>
      <c r="G86" s="66" t="n">
        <v>135</v>
      </c>
      <c r="H86" s="66" t="n">
        <v>309</v>
      </c>
      <c r="I86" s="66" t="n">
        <v>660</v>
      </c>
      <c r="J86" s="66" t="n">
        <v>368</v>
      </c>
      <c r="K86" s="66" t="n">
        <v>715</v>
      </c>
      <c r="L86" s="66" t="n">
        <v>653</v>
      </c>
      <c r="M86" s="66" t="n">
        <v>515</v>
      </c>
      <c r="N86" s="66" t="n">
        <v>550</v>
      </c>
      <c r="O86" s="66" t="n">
        <v>404</v>
      </c>
      <c r="P86" s="66" t="n">
        <v>643</v>
      </c>
    </row>
    <row r="87" ht="15.75" customHeight="1" s="45">
      <c r="A87" s="61" t="n">
        <v>46272</v>
      </c>
      <c r="B87" s="82" t="inlineStr">
        <is>
          <t>Pós-Projeto</t>
        </is>
      </c>
      <c r="C87" s="83" t="inlineStr">
        <is>
          <t>Radiografias</t>
        </is>
      </c>
      <c r="D87" s="64" t="n">
        <v>7</v>
      </c>
      <c r="E87" s="64" t="n">
        <v>22</v>
      </c>
      <c r="F87" s="67" t="n">
        <v>0</v>
      </c>
      <c r="G87" s="67" t="n">
        <v>0</v>
      </c>
      <c r="H87" s="64" t="n">
        <v>19</v>
      </c>
      <c r="I87" s="64" t="n">
        <v>31</v>
      </c>
      <c r="J87" s="64" t="n">
        <v>21</v>
      </c>
      <c r="K87" s="64" t="n">
        <v>36</v>
      </c>
      <c r="L87" s="64" t="n">
        <v>24</v>
      </c>
      <c r="M87" s="64" t="n">
        <v>31</v>
      </c>
      <c r="N87" s="64" t="n">
        <v>24</v>
      </c>
      <c r="O87" s="64" t="n">
        <v>28</v>
      </c>
      <c r="P87" s="64" t="n">
        <v>46</v>
      </c>
    </row>
    <row r="88" ht="15.75" customHeight="1" s="45">
      <c r="A88" s="61" t="n">
        <v>46272</v>
      </c>
      <c r="B88" s="82" t="inlineStr">
        <is>
          <t>Pós-Projeto</t>
        </is>
      </c>
      <c r="C88" s="84" t="inlineStr">
        <is>
          <t>Eletrocardiogramas</t>
        </is>
      </c>
      <c r="D88" s="67" t="n">
        <v>0</v>
      </c>
      <c r="E88" s="67" t="n">
        <v>0</v>
      </c>
      <c r="F88" s="67" t="n">
        <v>0</v>
      </c>
      <c r="G88" s="67" t="n">
        <v>0</v>
      </c>
      <c r="H88" s="67" t="n">
        <v>0</v>
      </c>
      <c r="I88" s="66" t="n">
        <v>4</v>
      </c>
      <c r="J88" s="67" t="n">
        <v>0</v>
      </c>
      <c r="K88" s="66" t="n">
        <v>1</v>
      </c>
      <c r="L88" s="67" t="n">
        <v>0</v>
      </c>
      <c r="M88" s="67" t="n">
        <v>0</v>
      </c>
      <c r="N88" s="66" t="n">
        <v>13</v>
      </c>
      <c r="O88" s="67" t="n">
        <v>0</v>
      </c>
      <c r="P88" s="66" t="n">
        <v>3</v>
      </c>
    </row>
    <row r="89" ht="15.75" customHeight="1" s="45">
      <c r="A89" s="61" t="n">
        <v>46272</v>
      </c>
      <c r="B89" s="82" t="inlineStr">
        <is>
          <t>Pós-Projeto</t>
        </is>
      </c>
      <c r="C89" s="85" t="inlineStr">
        <is>
          <t>GAEs Abertas</t>
        </is>
      </c>
      <c r="D89" s="69" t="n">
        <v>161</v>
      </c>
      <c r="E89" s="69" t="n">
        <v>145</v>
      </c>
      <c r="F89" s="69" t="n">
        <v>151</v>
      </c>
      <c r="G89" s="69" t="n">
        <v>161</v>
      </c>
      <c r="H89" s="69" t="n">
        <v>135</v>
      </c>
      <c r="I89" s="69" t="n">
        <v>174</v>
      </c>
      <c r="J89" s="69" t="n">
        <v>107</v>
      </c>
      <c r="K89" s="69" t="n">
        <v>300</v>
      </c>
      <c r="L89" s="69" t="n">
        <v>141</v>
      </c>
      <c r="M89" s="69" t="n">
        <v>200</v>
      </c>
      <c r="N89" s="69" t="n">
        <v>179</v>
      </c>
      <c r="O89" s="69" t="n">
        <v>247</v>
      </c>
      <c r="P89" s="69" t="n">
        <v>247</v>
      </c>
    </row>
    <row r="90" ht="15.75" customHeight="1" s="45">
      <c r="A90" s="61" t="n">
        <v>46272</v>
      </c>
      <c r="B90" s="82" t="inlineStr">
        <is>
          <t>Pós-Projeto</t>
        </is>
      </c>
      <c r="C90" s="85" t="inlineStr">
        <is>
          <t>GAEs Classificadas</t>
        </is>
      </c>
      <c r="D90" s="69" t="n">
        <v>146</v>
      </c>
      <c r="E90" s="69" t="n">
        <v>144</v>
      </c>
      <c r="F90" s="69" t="n">
        <v>146</v>
      </c>
      <c r="G90" s="69" t="n">
        <v>152</v>
      </c>
      <c r="H90" s="69" t="n">
        <v>134</v>
      </c>
      <c r="I90" s="69" t="n">
        <v>170</v>
      </c>
      <c r="J90" s="69" t="n">
        <v>106</v>
      </c>
      <c r="K90" s="69" t="n">
        <v>278</v>
      </c>
      <c r="L90" s="69" t="n">
        <v>134</v>
      </c>
      <c r="M90" s="69" t="n">
        <v>192</v>
      </c>
      <c r="N90" s="69" t="n">
        <v>172</v>
      </c>
      <c r="O90" s="69" t="n">
        <v>241</v>
      </c>
      <c r="P90" s="69" t="n">
        <v>245</v>
      </c>
    </row>
    <row r="91" ht="15.75" customHeight="1" s="45">
      <c r="A91" s="61" t="n">
        <v>46272</v>
      </c>
      <c r="B91" s="82" t="inlineStr">
        <is>
          <t>Pós-Projeto</t>
        </is>
      </c>
      <c r="C91" s="86" t="inlineStr">
        <is>
          <t>Percentual de GAEs abertas classificadas</t>
        </is>
      </c>
      <c r="D91" s="71">
        <f>IFERROR(D90/D89,"-")</f>
        <v/>
      </c>
      <c r="E91" s="71">
        <f>IFERROR(E90/E89,"-")</f>
        <v/>
      </c>
      <c r="F91" s="71">
        <f>IFERROR(F90/F89,"-")</f>
        <v/>
      </c>
      <c r="G91" s="71">
        <f>IFERROR(G90/G89,"-")</f>
        <v/>
      </c>
      <c r="H91" s="71">
        <f>IFERROR(H90/H89,"-")</f>
        <v/>
      </c>
      <c r="I91" s="71">
        <f>IFERROR(I90/I89,"-")</f>
        <v/>
      </c>
      <c r="J91" s="71">
        <f>IFERROR(J90/J89,"-")</f>
        <v/>
      </c>
      <c r="K91" s="71">
        <f>IFERROR(K90/K89,"-")</f>
        <v/>
      </c>
      <c r="L91" s="71">
        <f>IFERROR(L90/L89,"-")</f>
        <v/>
      </c>
      <c r="M91" s="71">
        <f>IFERROR(M90/M89,"-")</f>
        <v/>
      </c>
      <c r="N91" s="71">
        <f>IFERROR(N90/N89,"-")</f>
        <v/>
      </c>
      <c r="O91" s="71">
        <f>IFERROR(O90/O89,"-")</f>
        <v/>
      </c>
      <c r="P91" s="71">
        <f>IFERROR(P90/P89,"-")</f>
        <v/>
      </c>
    </row>
    <row r="92" ht="15.75" customHeight="1" s="45">
      <c r="A92" s="61" t="n">
        <v>46272</v>
      </c>
      <c r="B92" s="82" t="inlineStr">
        <is>
          <t>Pós-Projeto</t>
        </is>
      </c>
      <c r="C92" s="87" t="inlineStr">
        <is>
          <t>Tempo Médio — 🟡 Amarelo (hh:mm)</t>
        </is>
      </c>
      <c r="D92" s="73" t="n">
        <v>0.05012731481481481</v>
      </c>
      <c r="E92" s="73" t="n">
        <v>0.02289351851851852</v>
      </c>
      <c r="F92" s="73" t="n">
        <v>0.01802083333333333</v>
      </c>
      <c r="G92" s="73" t="n">
        <v>0.03</v>
      </c>
      <c r="H92" s="73" t="n">
        <v>0.03128472222222222</v>
      </c>
      <c r="I92" s="73" t="n">
        <v>0.03905092592592593</v>
      </c>
      <c r="J92" s="73" t="n">
        <v>0.03835648148148148</v>
      </c>
      <c r="K92" s="73" t="n">
        <v>0.08873842592592593</v>
      </c>
      <c r="L92" s="73" t="n">
        <v>0.07115740740740741</v>
      </c>
      <c r="M92" s="73" t="n">
        <v>0.03349537037037037</v>
      </c>
      <c r="N92" s="73" t="n">
        <v>0.04840277777777778</v>
      </c>
      <c r="O92" s="73" t="n">
        <v>0.02197916666666667</v>
      </c>
      <c r="P92" s="73" t="n">
        <v>0.05381944444444445</v>
      </c>
    </row>
    <row r="93" ht="15.75" customHeight="1" s="45">
      <c r="A93" s="61" t="n">
        <v>46272</v>
      </c>
      <c r="B93" s="82" t="inlineStr">
        <is>
          <t>Pós-Projeto</t>
        </is>
      </c>
      <c r="C93" s="88" t="inlineStr">
        <is>
          <t>Tempo Médio — 🟠 Laranja (hh:mm)</t>
        </is>
      </c>
      <c r="D93" s="75" t="n">
        <v>0.02273148148148148</v>
      </c>
      <c r="E93" s="75" t="n">
        <v>0.01060185185185185</v>
      </c>
      <c r="F93" s="75" t="n">
        <v>0.004016203703703704</v>
      </c>
      <c r="G93" s="75" t="n">
        <v>0.003634259259259259</v>
      </c>
      <c r="H93" s="75" t="n">
        <v>0.009444444444444445</v>
      </c>
      <c r="I93" s="75" t="n">
        <v>0.00568287037037037</v>
      </c>
      <c r="J93" s="75" t="n">
        <v>0.01216435185185185</v>
      </c>
      <c r="K93" s="75" t="n">
        <v>0.01725694444444444</v>
      </c>
      <c r="L93" s="75" t="n">
        <v>0.014375</v>
      </c>
      <c r="M93" s="75" t="n">
        <v>0.01271990740740741</v>
      </c>
      <c r="N93" s="75" t="n">
        <v>0.01083333333333333</v>
      </c>
      <c r="O93" s="75" t="n">
        <v>0.009050925925925926</v>
      </c>
      <c r="P93" s="75" t="n">
        <v>0.007199074074074074</v>
      </c>
    </row>
    <row r="94" ht="15.75" customHeight="1" s="45">
      <c r="A94" s="76" t="n">
        <v>46272</v>
      </c>
      <c r="B94" s="82" t="inlineStr">
        <is>
          <t>Pós-Projeto</t>
        </is>
      </c>
      <c r="C94" s="91" t="inlineStr">
        <is>
          <t>Tempo Médio — 🟢 Verde   (hh:mm)</t>
        </is>
      </c>
      <c r="D94" s="79" t="n">
        <v>0.04496527777777778</v>
      </c>
      <c r="E94" s="79" t="n">
        <v>0.05577546296296296</v>
      </c>
      <c r="F94" s="79" t="n">
        <v>0.05337962962962963</v>
      </c>
      <c r="G94" s="79" t="n">
        <v>0.08050925925925925</v>
      </c>
      <c r="H94" s="79" t="n">
        <v>0.04694444444444444</v>
      </c>
      <c r="I94" s="79" t="n">
        <v>0.1076388888888889</v>
      </c>
      <c r="J94" s="79" t="n">
        <v>0.03819444444444445</v>
      </c>
      <c r="K94" s="79" t="n">
        <v>0.05533564814814815</v>
      </c>
      <c r="L94" s="79" t="n">
        <v>0.1341898148148148</v>
      </c>
      <c r="M94" s="79" t="n">
        <v>0.04556712962962963</v>
      </c>
      <c r="N94" s="79" t="n">
        <v>0.09444444444444444</v>
      </c>
      <c r="O94" s="79" t="n">
        <v>0.03092592592592593</v>
      </c>
      <c r="P94" s="79" t="n">
        <v>0.07151620370370371</v>
      </c>
    </row>
    <row r="95" ht="15.75" customHeight="1" s="45">
      <c r="A95" s="57" t="n">
        <v>46273</v>
      </c>
      <c r="B95" s="81" t="inlineStr">
        <is>
          <t>Pós-Projeto</t>
        </is>
      </c>
      <c r="C95" s="59" t="inlineStr">
        <is>
          <t>Acolhim. + Atend. Urgência + Atend. UPA</t>
        </is>
      </c>
      <c r="D95" s="60">
        <f>SUM(D96:D98)</f>
        <v/>
      </c>
      <c r="E95" s="60">
        <f>SUM(E96:E98)</f>
        <v/>
      </c>
      <c r="F95" s="60">
        <f>SUM(F96:F98)</f>
        <v/>
      </c>
      <c r="G95" s="60">
        <f>SUM(G96:G98)</f>
        <v/>
      </c>
      <c r="H95" s="60">
        <f>SUM(H96:H98)</f>
        <v/>
      </c>
      <c r="I95" s="60">
        <f>SUM(I96:I98)</f>
        <v/>
      </c>
      <c r="J95" s="60">
        <f>SUM(J96:J98)</f>
        <v/>
      </c>
      <c r="K95" s="60">
        <f>SUM(K96:K98)</f>
        <v/>
      </c>
      <c r="L95" s="60">
        <f>SUM(L96:L98)</f>
        <v/>
      </c>
      <c r="M95" s="60">
        <f>SUM(M96:M98)</f>
        <v/>
      </c>
      <c r="N95" s="60">
        <f>SUM(N96:N98)</f>
        <v/>
      </c>
      <c r="O95" s="60">
        <f>SUM(O96:O98)</f>
        <v/>
      </c>
      <c r="P95" s="60">
        <f>SUM(P96:P98)</f>
        <v/>
      </c>
    </row>
    <row r="96" ht="15.75" customHeight="1" s="45">
      <c r="A96" s="61" t="n">
        <v>46273</v>
      </c>
      <c r="B96" s="82" t="inlineStr">
        <is>
          <t>Pós-Projeto</t>
        </is>
      </c>
      <c r="C96" s="83" t="inlineStr">
        <is>
          <t>Acolhimento c/ Classif. de Risco</t>
        </is>
      </c>
      <c r="D96" s="66" t="n">
        <v>249</v>
      </c>
      <c r="E96" s="66" t="n">
        <v>175</v>
      </c>
      <c r="F96" s="66" t="n">
        <v>195</v>
      </c>
      <c r="G96" s="66" t="n">
        <v>200</v>
      </c>
      <c r="H96" s="66" t="n">
        <v>168</v>
      </c>
      <c r="I96" s="66" t="n">
        <v>220</v>
      </c>
      <c r="J96" s="66" t="n">
        <v>133</v>
      </c>
      <c r="K96" s="66" t="n">
        <v>333</v>
      </c>
      <c r="L96" s="66" t="n">
        <v>169</v>
      </c>
      <c r="M96" s="66" t="n">
        <v>266</v>
      </c>
      <c r="N96" s="66" t="n">
        <v>214</v>
      </c>
      <c r="O96" s="66" t="n">
        <v>281</v>
      </c>
      <c r="P96" s="66" t="n">
        <v>259</v>
      </c>
    </row>
    <row r="97" ht="15.75" customHeight="1" s="45">
      <c r="A97" s="61" t="n">
        <v>46273</v>
      </c>
      <c r="B97" s="82" t="inlineStr">
        <is>
          <t>Pós-Projeto</t>
        </is>
      </c>
      <c r="C97" s="84" t="inlineStr">
        <is>
          <t>Atend. Urgência Obs. ≤ 24h</t>
        </is>
      </c>
      <c r="D97" s="64" t="n">
        <v>28</v>
      </c>
      <c r="E97" s="64" t="n">
        <v>22</v>
      </c>
      <c r="F97" s="64" t="n">
        <v>24</v>
      </c>
      <c r="G97" s="64" t="n">
        <v>13</v>
      </c>
      <c r="H97" s="64" t="n">
        <v>9</v>
      </c>
      <c r="I97" s="64" t="n">
        <v>17</v>
      </c>
      <c r="J97" s="64" t="n">
        <v>6</v>
      </c>
      <c r="K97" s="64" t="n">
        <v>46</v>
      </c>
      <c r="L97" s="64" t="n">
        <v>35</v>
      </c>
      <c r="M97" s="64" t="n">
        <v>19</v>
      </c>
      <c r="N97" s="64" t="n">
        <v>17</v>
      </c>
      <c r="O97" s="64" t="n">
        <v>15</v>
      </c>
      <c r="P97" s="64" t="n">
        <v>8</v>
      </c>
    </row>
    <row r="98" ht="15.75" customHeight="1" s="45">
      <c r="A98" s="61" t="n">
        <v>46273</v>
      </c>
      <c r="B98" s="82" t="inlineStr">
        <is>
          <t>Pós-Projeto</t>
        </is>
      </c>
      <c r="C98" s="83" t="inlineStr">
        <is>
          <t>Atend. Médico em UPA</t>
        </is>
      </c>
      <c r="D98" s="66" t="n">
        <v>167</v>
      </c>
      <c r="E98" s="66" t="n">
        <v>147</v>
      </c>
      <c r="F98" s="66" t="n">
        <v>156</v>
      </c>
      <c r="G98" s="66" t="n">
        <v>115</v>
      </c>
      <c r="H98" s="66" t="n">
        <v>100</v>
      </c>
      <c r="I98" s="66" t="n">
        <v>182</v>
      </c>
      <c r="J98" s="66" t="n">
        <v>111</v>
      </c>
      <c r="K98" s="66" t="n">
        <v>297</v>
      </c>
      <c r="L98" s="66" t="n">
        <v>113</v>
      </c>
      <c r="M98" s="66" t="n">
        <v>230</v>
      </c>
      <c r="N98" s="66" t="n">
        <v>161</v>
      </c>
      <c r="O98" s="66" t="n">
        <v>156</v>
      </c>
      <c r="P98" s="66" t="n">
        <v>161</v>
      </c>
    </row>
    <row r="99" ht="15.75" customHeight="1" s="45">
      <c r="A99" s="61" t="n">
        <v>46273</v>
      </c>
      <c r="B99" s="82" t="inlineStr">
        <is>
          <t>Pós-Projeto</t>
        </is>
      </c>
      <c r="C99" s="84" t="inlineStr">
        <is>
          <t>Exames Laboratoriais</t>
        </is>
      </c>
      <c r="D99" s="64" t="n">
        <v>532</v>
      </c>
      <c r="E99" s="64" t="n">
        <v>524</v>
      </c>
      <c r="F99" s="64" t="n">
        <v>487</v>
      </c>
      <c r="G99" s="64" t="n">
        <v>221</v>
      </c>
      <c r="H99" s="64" t="n">
        <v>454</v>
      </c>
      <c r="I99" s="64" t="n">
        <v>636</v>
      </c>
      <c r="J99" s="64" t="n">
        <v>352</v>
      </c>
      <c r="K99" s="64" t="n">
        <v>1164</v>
      </c>
      <c r="L99" s="64" t="n">
        <v>597</v>
      </c>
      <c r="M99" s="64" t="n">
        <v>755</v>
      </c>
      <c r="N99" s="64" t="n">
        <v>571</v>
      </c>
      <c r="O99" s="64" t="n">
        <v>521</v>
      </c>
      <c r="P99" s="64" t="n">
        <v>757</v>
      </c>
    </row>
    <row r="100" ht="15.75" customHeight="1" s="45">
      <c r="A100" s="61" t="n">
        <v>46273</v>
      </c>
      <c r="B100" s="82" t="inlineStr">
        <is>
          <t>Pós-Projeto</t>
        </is>
      </c>
      <c r="C100" s="83" t="inlineStr">
        <is>
          <t>Radiografias</t>
        </is>
      </c>
      <c r="D100" s="66" t="n">
        <v>12</v>
      </c>
      <c r="E100" s="66" t="n">
        <v>23</v>
      </c>
      <c r="F100" s="66" t="n">
        <v>11</v>
      </c>
      <c r="G100" s="67" t="n">
        <v>0</v>
      </c>
      <c r="H100" s="66" t="n">
        <v>24</v>
      </c>
      <c r="I100" s="66" t="n">
        <v>23</v>
      </c>
      <c r="J100" s="66" t="n">
        <v>33</v>
      </c>
      <c r="K100" s="66" t="n">
        <v>56</v>
      </c>
      <c r="L100" s="66" t="n">
        <v>20</v>
      </c>
      <c r="M100" s="66" t="n">
        <v>32</v>
      </c>
      <c r="N100" s="66" t="n">
        <v>26</v>
      </c>
      <c r="O100" s="66" t="n">
        <v>29</v>
      </c>
      <c r="P100" s="66" t="n">
        <v>45</v>
      </c>
    </row>
    <row r="101" ht="15.75" customHeight="1" s="45">
      <c r="A101" s="61" t="n">
        <v>46273</v>
      </c>
      <c r="B101" s="82" t="inlineStr">
        <is>
          <t>Pós-Projeto</t>
        </is>
      </c>
      <c r="C101" s="84" t="inlineStr">
        <is>
          <t>Eletrocardiogramas</t>
        </is>
      </c>
      <c r="D101" s="64" t="n">
        <v>1</v>
      </c>
      <c r="E101" s="67" t="n">
        <v>0</v>
      </c>
      <c r="F101" s="64" t="n">
        <v>30</v>
      </c>
      <c r="G101" s="64" t="n">
        <v>2</v>
      </c>
      <c r="H101" s="67" t="n">
        <v>0</v>
      </c>
      <c r="I101" s="67" t="n">
        <v>0</v>
      </c>
      <c r="J101" s="67" t="n">
        <v>0</v>
      </c>
      <c r="K101" s="64" t="n">
        <v>4</v>
      </c>
      <c r="L101" s="67" t="n">
        <v>0</v>
      </c>
      <c r="M101" s="67" t="n">
        <v>0</v>
      </c>
      <c r="N101" s="64" t="n">
        <v>10</v>
      </c>
      <c r="O101" s="67" t="n">
        <v>0</v>
      </c>
      <c r="P101" s="64" t="n">
        <v>15</v>
      </c>
    </row>
    <row r="102" ht="15.75" customHeight="1" s="45">
      <c r="A102" s="61" t="n">
        <v>46273</v>
      </c>
      <c r="B102" s="82" t="inlineStr">
        <is>
          <t>Pós-Projeto</t>
        </is>
      </c>
      <c r="C102" s="85" t="inlineStr">
        <is>
          <t>GAEs Abertas</t>
        </is>
      </c>
      <c r="D102" s="69" t="n">
        <v>256</v>
      </c>
      <c r="E102" s="69" t="n">
        <v>182</v>
      </c>
      <c r="F102" s="69" t="n">
        <v>197</v>
      </c>
      <c r="G102" s="69" t="n">
        <v>205</v>
      </c>
      <c r="H102" s="69" t="n">
        <v>175</v>
      </c>
      <c r="I102" s="69" t="n">
        <v>233</v>
      </c>
      <c r="J102" s="69" t="n">
        <v>135</v>
      </c>
      <c r="K102" s="69" t="n">
        <v>373</v>
      </c>
      <c r="L102" s="69" t="n">
        <v>177</v>
      </c>
      <c r="M102" s="69" t="n">
        <v>277</v>
      </c>
      <c r="N102" s="69" t="n">
        <v>224</v>
      </c>
      <c r="O102" s="69" t="n">
        <v>286</v>
      </c>
      <c r="P102" s="69" t="n">
        <v>265</v>
      </c>
    </row>
    <row r="103" ht="15.75" customHeight="1" s="45">
      <c r="A103" s="61" t="n">
        <v>46273</v>
      </c>
      <c r="B103" s="82" t="inlineStr">
        <is>
          <t>Pós-Projeto</t>
        </is>
      </c>
      <c r="C103" s="85" t="inlineStr">
        <is>
          <t>GAEs Classificadas</t>
        </is>
      </c>
      <c r="D103" s="69" t="n">
        <v>247</v>
      </c>
      <c r="E103" s="69" t="n">
        <v>176</v>
      </c>
      <c r="F103" s="69" t="n">
        <v>192</v>
      </c>
      <c r="G103" s="69" t="n">
        <v>201</v>
      </c>
      <c r="H103" s="69" t="n">
        <v>170</v>
      </c>
      <c r="I103" s="69" t="n">
        <v>219</v>
      </c>
      <c r="J103" s="69" t="n">
        <v>133</v>
      </c>
      <c r="K103" s="69" t="n">
        <v>330</v>
      </c>
      <c r="L103" s="69" t="n">
        <v>171</v>
      </c>
      <c r="M103" s="69" t="n">
        <v>267</v>
      </c>
      <c r="N103" s="69" t="n">
        <v>215</v>
      </c>
      <c r="O103" s="69" t="n">
        <v>281</v>
      </c>
      <c r="P103" s="69" t="n">
        <v>256</v>
      </c>
    </row>
    <row r="104" ht="15.75" customHeight="1" s="45">
      <c r="A104" s="61" t="n">
        <v>46273</v>
      </c>
      <c r="B104" s="82" t="inlineStr">
        <is>
          <t>Pós-Projeto</t>
        </is>
      </c>
      <c r="C104" s="86" t="inlineStr">
        <is>
          <t>Percentual de GAEs abertas classificadas</t>
        </is>
      </c>
      <c r="D104" s="71">
        <f>IFERROR(D103/D102,"-")</f>
        <v/>
      </c>
      <c r="E104" s="71">
        <f>IFERROR(E103/E102,"-")</f>
        <v/>
      </c>
      <c r="F104" s="71">
        <f>IFERROR(F103/F102,"-")</f>
        <v/>
      </c>
      <c r="G104" s="71">
        <f>IFERROR(G103/G102,"-")</f>
        <v/>
      </c>
      <c r="H104" s="71">
        <f>IFERROR(H103/H102,"-")</f>
        <v/>
      </c>
      <c r="I104" s="71">
        <f>IFERROR(I103/I102,"-")</f>
        <v/>
      </c>
      <c r="J104" s="71">
        <f>IFERROR(J103/J102,"-")</f>
        <v/>
      </c>
      <c r="K104" s="71">
        <f>IFERROR(K103/K102,"-")</f>
        <v/>
      </c>
      <c r="L104" s="71">
        <f>IFERROR(L103/L102,"-")</f>
        <v/>
      </c>
      <c r="M104" s="71">
        <f>IFERROR(M103/M102,"-")</f>
        <v/>
      </c>
      <c r="N104" s="71">
        <f>IFERROR(N103/N102,"-")</f>
        <v/>
      </c>
      <c r="O104" s="71">
        <f>IFERROR(O103/O102,"-")</f>
        <v/>
      </c>
      <c r="P104" s="71">
        <f>IFERROR(P103/P102,"-")</f>
        <v/>
      </c>
    </row>
    <row r="105" ht="15.75" customHeight="1" s="45">
      <c r="A105" s="61" t="n">
        <v>46273</v>
      </c>
      <c r="B105" s="82" t="inlineStr">
        <is>
          <t>Pós-Projeto</t>
        </is>
      </c>
      <c r="C105" s="87" t="inlineStr">
        <is>
          <t>Tempo Médio — 🟡 Amarelo (hh:mm)</t>
        </is>
      </c>
      <c r="D105" s="73" t="n">
        <v>0.09065972222222222</v>
      </c>
      <c r="E105" s="73" t="n">
        <v>0.03726851851851852</v>
      </c>
      <c r="F105" s="73" t="n">
        <v>0.04178240740740741</v>
      </c>
      <c r="G105" s="73" t="n">
        <v>0.03476851851851852</v>
      </c>
      <c r="H105" s="73" t="n">
        <v>0.06761574074074074</v>
      </c>
      <c r="I105" s="73" t="n">
        <v>0.02715277777777778</v>
      </c>
      <c r="J105" s="73" t="n">
        <v>0.05775462962962963</v>
      </c>
      <c r="K105" s="73" t="n">
        <v>0.07187499999999999</v>
      </c>
      <c r="L105" s="73" t="n">
        <v>0.08451388888888889</v>
      </c>
      <c r="M105" s="73" t="n">
        <v>0.02840277777777778</v>
      </c>
      <c r="N105" s="73" t="n">
        <v>0.06751157407407407</v>
      </c>
      <c r="O105" s="73" t="n">
        <v>0.05923611111111111</v>
      </c>
      <c r="P105" s="73" t="n">
        <v>0.07797453703703704</v>
      </c>
    </row>
    <row r="106" ht="15.75" customHeight="1" s="45">
      <c r="A106" s="61" t="n">
        <v>46273</v>
      </c>
      <c r="B106" s="82" t="inlineStr">
        <is>
          <t>Pós-Projeto</t>
        </is>
      </c>
      <c r="C106" s="88" t="inlineStr">
        <is>
          <t>Tempo Médio — 🟠 Laranja (hh:mm)</t>
        </is>
      </c>
      <c r="D106" s="75" t="n">
        <v>0.01010416666666667</v>
      </c>
      <c r="E106" s="75" t="n">
        <v>0.006689814814814815</v>
      </c>
      <c r="F106" s="75" t="n">
        <v>0.009444444444444445</v>
      </c>
      <c r="G106" s="75" t="n">
        <v>0.00662037037037037</v>
      </c>
      <c r="H106" s="75" t="n">
        <v>0.0046875</v>
      </c>
      <c r="I106" s="75" t="n">
        <v>0.005902777777777778</v>
      </c>
      <c r="J106" s="75" t="n">
        <v>0.008657407407407407</v>
      </c>
      <c r="K106" s="75" t="n">
        <v>0.01230324074074074</v>
      </c>
      <c r="L106" s="75" t="n">
        <v>0.01253472222222222</v>
      </c>
      <c r="M106" s="75" t="n">
        <v>0.008240740740740741</v>
      </c>
      <c r="N106" s="75" t="n">
        <v>0.01768518518518519</v>
      </c>
      <c r="O106" s="75" t="n">
        <v>0.009155092592592593</v>
      </c>
      <c r="P106" s="75" t="n">
        <v>0.01462962962962963</v>
      </c>
    </row>
    <row r="107" ht="15.75" customHeight="1" s="45">
      <c r="A107" s="76" t="n">
        <v>46273</v>
      </c>
      <c r="B107" s="82" t="inlineStr">
        <is>
          <t>Pós-Projeto</t>
        </is>
      </c>
      <c r="C107" s="91" t="inlineStr">
        <is>
          <t>Tempo Médio — 🟢 Verde   (hh:mm)</t>
        </is>
      </c>
      <c r="D107" s="79" t="n">
        <v>0.1447106481481482</v>
      </c>
      <c r="E107" s="79" t="n">
        <v>0.04668981481481482</v>
      </c>
      <c r="F107" s="79" t="n">
        <v>0.05023148148148148</v>
      </c>
      <c r="G107" s="79" t="n">
        <v>0.1048263888888889</v>
      </c>
      <c r="H107" s="79" t="n">
        <v>0.1019328703703704</v>
      </c>
      <c r="I107" s="79" t="n">
        <v>0.06133101851851852</v>
      </c>
      <c r="J107" s="79" t="n">
        <v>0.04958333333333333</v>
      </c>
      <c r="K107" s="79" t="n">
        <v>0.06052083333333334</v>
      </c>
      <c r="L107" s="79" t="n">
        <v>0.09702546296296297</v>
      </c>
      <c r="M107" s="79" t="n">
        <v>0.05844907407407408</v>
      </c>
      <c r="N107" s="79" t="n">
        <v>0.09368055555555556</v>
      </c>
      <c r="O107" s="79" t="n">
        <v>0.08508101851851851</v>
      </c>
      <c r="P107" s="79" t="n">
        <v>0.08606481481481482</v>
      </c>
    </row>
    <row r="108" ht="15.75" customHeight="1" s="45">
      <c r="A108" s="57" t="n">
        <v>46274</v>
      </c>
      <c r="B108" s="81" t="inlineStr">
        <is>
          <t>Pós-Projeto</t>
        </is>
      </c>
      <c r="C108" s="59" t="inlineStr">
        <is>
          <t>Acolhim. + Atend. Urgência + Atend. UPA</t>
        </is>
      </c>
      <c r="D108" s="60">
        <f>SUM(D109:D111)</f>
        <v/>
      </c>
      <c r="E108" s="60">
        <f>SUM(E109:E111)</f>
        <v/>
      </c>
      <c r="F108" s="60">
        <f>SUM(F109:F111)</f>
        <v/>
      </c>
      <c r="G108" s="60">
        <f>SUM(G109:G111)</f>
        <v/>
      </c>
      <c r="H108" s="60">
        <f>SUM(H109:H111)</f>
        <v/>
      </c>
      <c r="I108" s="60">
        <f>SUM(I109:I111)</f>
        <v/>
      </c>
      <c r="J108" s="60">
        <f>SUM(J109:J111)</f>
        <v/>
      </c>
      <c r="K108" s="60">
        <f>SUM(K109:K111)</f>
        <v/>
      </c>
      <c r="L108" s="60">
        <f>SUM(L109:L111)</f>
        <v/>
      </c>
      <c r="M108" s="60">
        <f>SUM(M109:M111)</f>
        <v/>
      </c>
      <c r="N108" s="60">
        <f>SUM(N109:N111)</f>
        <v/>
      </c>
      <c r="O108" s="60">
        <f>SUM(O109:O111)</f>
        <v/>
      </c>
      <c r="P108" s="60">
        <f>SUM(P109:P111)</f>
        <v/>
      </c>
    </row>
    <row r="109" ht="15.75" customHeight="1" s="45">
      <c r="A109" s="61" t="n">
        <v>46274</v>
      </c>
      <c r="B109" s="82" t="inlineStr">
        <is>
          <t>Pós-Projeto</t>
        </is>
      </c>
      <c r="C109" s="83" t="inlineStr">
        <is>
          <t>Acolhimento c/ Classif. de Risco</t>
        </is>
      </c>
      <c r="D109" s="64" t="n">
        <v>227</v>
      </c>
      <c r="E109" s="64" t="n">
        <v>190</v>
      </c>
      <c r="F109" s="64" t="n">
        <v>192</v>
      </c>
      <c r="G109" s="64" t="n">
        <v>161</v>
      </c>
      <c r="H109" s="64" t="n">
        <v>143</v>
      </c>
      <c r="I109" s="64" t="n">
        <v>216</v>
      </c>
      <c r="J109" s="64" t="n">
        <v>124</v>
      </c>
      <c r="K109" s="64" t="n">
        <v>265</v>
      </c>
      <c r="L109" s="64" t="n">
        <v>172</v>
      </c>
      <c r="M109" s="116" t="n">
        <v>252</v>
      </c>
      <c r="N109" s="64" t="n">
        <v>226</v>
      </c>
      <c r="O109" s="64" t="n">
        <v>265</v>
      </c>
      <c r="P109" s="64" t="n">
        <v>263</v>
      </c>
    </row>
    <row r="110" ht="15.75" customHeight="1" s="45">
      <c r="A110" s="61" t="n">
        <v>46274</v>
      </c>
      <c r="B110" s="82" t="inlineStr">
        <is>
          <t>Pós-Projeto</t>
        </is>
      </c>
      <c r="C110" s="84" t="inlineStr">
        <is>
          <t>Atend. Urgência Obs. ≤ 24h</t>
        </is>
      </c>
      <c r="D110" s="66" t="n">
        <v>36</v>
      </c>
      <c r="E110" s="66" t="n">
        <v>17</v>
      </c>
      <c r="F110" s="66" t="n">
        <v>30</v>
      </c>
      <c r="G110" s="66" t="n">
        <v>18</v>
      </c>
      <c r="H110" s="66" t="n">
        <v>15</v>
      </c>
      <c r="I110" s="66" t="n">
        <v>24</v>
      </c>
      <c r="J110" s="66" t="n">
        <v>14</v>
      </c>
      <c r="K110" s="66" t="n">
        <v>58</v>
      </c>
      <c r="L110" s="66" t="n">
        <v>42</v>
      </c>
      <c r="M110" s="117" t="n">
        <v>27</v>
      </c>
      <c r="N110" s="66" t="n">
        <v>42</v>
      </c>
      <c r="O110" s="66" t="n">
        <v>35</v>
      </c>
      <c r="P110" s="66" t="n">
        <v>29</v>
      </c>
    </row>
    <row r="111" ht="15.75" customHeight="1" s="45">
      <c r="A111" s="61" t="n">
        <v>46274</v>
      </c>
      <c r="B111" s="82" t="inlineStr">
        <is>
          <t>Pós-Projeto</t>
        </is>
      </c>
      <c r="C111" s="83" t="inlineStr">
        <is>
          <t>Atend. Médico em UPA</t>
        </is>
      </c>
      <c r="D111" s="64" t="n">
        <v>193</v>
      </c>
      <c r="E111" s="64" t="n">
        <v>116</v>
      </c>
      <c r="F111" s="64" t="n">
        <v>141</v>
      </c>
      <c r="G111" s="64" t="n">
        <v>104</v>
      </c>
      <c r="H111" s="64" t="n">
        <v>100</v>
      </c>
      <c r="I111" s="64" t="n">
        <v>174</v>
      </c>
      <c r="J111" s="64" t="n">
        <v>106</v>
      </c>
      <c r="K111" s="64" t="n">
        <v>263</v>
      </c>
      <c r="L111" s="64" t="n">
        <v>150</v>
      </c>
      <c r="M111" s="116" t="n">
        <v>154</v>
      </c>
      <c r="N111" s="64" t="n">
        <v>198</v>
      </c>
      <c r="O111" s="64" t="n">
        <v>248</v>
      </c>
      <c r="P111" s="64" t="n">
        <v>152</v>
      </c>
    </row>
    <row r="112" ht="15.75" customHeight="1" s="45">
      <c r="A112" s="61" t="n">
        <v>46274</v>
      </c>
      <c r="B112" s="82" t="inlineStr">
        <is>
          <t>Pós-Projeto</t>
        </is>
      </c>
      <c r="C112" s="84" t="inlineStr">
        <is>
          <t>Exames Laboratoriais</t>
        </is>
      </c>
      <c r="D112" s="66" t="n">
        <v>717</v>
      </c>
      <c r="E112" s="66" t="n">
        <v>560</v>
      </c>
      <c r="F112" s="66" t="n">
        <v>812</v>
      </c>
      <c r="G112" s="66" t="n">
        <v>53</v>
      </c>
      <c r="H112" s="66" t="n">
        <v>444</v>
      </c>
      <c r="I112" s="66" t="n">
        <v>722</v>
      </c>
      <c r="J112" s="66" t="n">
        <v>442</v>
      </c>
      <c r="K112" s="66" t="n">
        <v>1067</v>
      </c>
      <c r="L112" s="66" t="n">
        <v>519</v>
      </c>
      <c r="M112" s="117" t="n">
        <v>673</v>
      </c>
      <c r="N112" s="66" t="n">
        <v>784</v>
      </c>
      <c r="O112" s="66" t="n">
        <v>491</v>
      </c>
      <c r="P112" s="66" t="n">
        <v>605</v>
      </c>
    </row>
    <row r="113" ht="15.75" customHeight="1" s="45">
      <c r="A113" s="61" t="n">
        <v>46274</v>
      </c>
      <c r="B113" s="82" t="inlineStr">
        <is>
          <t>Pós-Projeto</t>
        </is>
      </c>
      <c r="C113" s="83" t="inlineStr">
        <is>
          <t>Radiografias</t>
        </is>
      </c>
      <c r="D113" s="64" t="n">
        <v>19</v>
      </c>
      <c r="E113" s="64" t="n">
        <v>28</v>
      </c>
      <c r="F113" s="64" t="n">
        <v>9</v>
      </c>
      <c r="G113" s="67" t="n">
        <v>0</v>
      </c>
      <c r="H113" s="64" t="n">
        <v>20</v>
      </c>
      <c r="I113" s="64" t="n">
        <v>27</v>
      </c>
      <c r="J113" s="64" t="n">
        <v>19</v>
      </c>
      <c r="K113" s="64" t="n">
        <v>51</v>
      </c>
      <c r="L113" s="64" t="n">
        <v>25</v>
      </c>
      <c r="M113" s="116" t="n">
        <v>35</v>
      </c>
      <c r="N113" s="64" t="n">
        <v>31</v>
      </c>
      <c r="O113" s="64" t="n">
        <v>39</v>
      </c>
      <c r="P113" s="64" t="n">
        <v>22</v>
      </c>
    </row>
    <row r="114" ht="15.75" customHeight="1" s="45">
      <c r="A114" s="61" t="n">
        <v>46274</v>
      </c>
      <c r="B114" s="82" t="inlineStr">
        <is>
          <t>Pós-Projeto</t>
        </is>
      </c>
      <c r="C114" s="84" t="inlineStr">
        <is>
          <t>Eletrocardiogramas</t>
        </is>
      </c>
      <c r="D114" s="67" t="n">
        <v>0</v>
      </c>
      <c r="E114" s="67" t="n">
        <v>0</v>
      </c>
      <c r="F114" s="66" t="n">
        <v>7</v>
      </c>
      <c r="G114" s="67" t="n">
        <v>0</v>
      </c>
      <c r="H114" s="67" t="n">
        <v>0</v>
      </c>
      <c r="I114" s="66" t="n">
        <v>1</v>
      </c>
      <c r="J114" s="67" t="n">
        <v>0</v>
      </c>
      <c r="K114" s="67" t="n">
        <v>0</v>
      </c>
      <c r="L114" s="67" t="n">
        <v>0</v>
      </c>
      <c r="M114" s="117" t="n">
        <v>14</v>
      </c>
      <c r="N114" s="67" t="n">
        <v>0</v>
      </c>
      <c r="O114" s="67" t="n">
        <v>0</v>
      </c>
      <c r="P114" s="66" t="n">
        <v>5</v>
      </c>
    </row>
    <row r="115" ht="15.75" customHeight="1" s="45">
      <c r="A115" s="61" t="n">
        <v>46274</v>
      </c>
      <c r="B115" s="82" t="inlineStr">
        <is>
          <t>Pós-Projeto</t>
        </is>
      </c>
      <c r="C115" s="85" t="inlineStr">
        <is>
          <t>GAEs Abertas</t>
        </is>
      </c>
      <c r="D115" s="69" t="n">
        <v>242</v>
      </c>
      <c r="E115" s="69" t="n">
        <v>189</v>
      </c>
      <c r="F115" s="69" t="n">
        <v>194</v>
      </c>
      <c r="G115" s="69" t="n">
        <v>165</v>
      </c>
      <c r="H115" s="69" t="n">
        <v>145</v>
      </c>
      <c r="I115" s="69" t="n">
        <v>229</v>
      </c>
      <c r="J115" s="69" t="n">
        <v>126</v>
      </c>
      <c r="K115" s="69" t="n">
        <v>288</v>
      </c>
      <c r="L115" s="69" t="n">
        <v>175</v>
      </c>
      <c r="M115" s="69" t="n">
        <v>266</v>
      </c>
      <c r="N115" s="69" t="n">
        <v>232</v>
      </c>
      <c r="O115" s="69" t="n">
        <v>273</v>
      </c>
      <c r="P115" s="69" t="n">
        <v>266</v>
      </c>
    </row>
    <row r="116" ht="15.75" customHeight="1" s="45">
      <c r="A116" s="61" t="n">
        <v>46274</v>
      </c>
      <c r="B116" s="82" t="inlineStr">
        <is>
          <t>Pós-Projeto</t>
        </is>
      </c>
      <c r="C116" s="85" t="inlineStr">
        <is>
          <t>GAEs Classificadas</t>
        </is>
      </c>
      <c r="D116" s="69" t="n">
        <v>227</v>
      </c>
      <c r="E116" s="69" t="n">
        <v>188</v>
      </c>
      <c r="F116" s="69" t="n">
        <v>192</v>
      </c>
      <c r="G116" s="69" t="n">
        <v>160</v>
      </c>
      <c r="H116" s="69" t="n">
        <v>142</v>
      </c>
      <c r="I116" s="69" t="n">
        <v>217</v>
      </c>
      <c r="J116" s="69" t="n">
        <v>124</v>
      </c>
      <c r="K116" s="69" t="n">
        <v>264</v>
      </c>
      <c r="L116" s="69" t="n">
        <v>170</v>
      </c>
      <c r="M116" s="69" t="n">
        <v>254</v>
      </c>
      <c r="N116" s="69" t="n">
        <v>224</v>
      </c>
      <c r="O116" s="69" t="n">
        <v>268</v>
      </c>
      <c r="P116" s="69" t="n">
        <v>263</v>
      </c>
    </row>
    <row r="117" ht="15.75" customHeight="1" s="45">
      <c r="A117" s="61" t="n">
        <v>46274</v>
      </c>
      <c r="B117" s="82" t="inlineStr">
        <is>
          <t>Pós-Projeto</t>
        </is>
      </c>
      <c r="C117" s="86" t="inlineStr">
        <is>
          <t>Percentual de GAEs abertas classificadas</t>
        </is>
      </c>
      <c r="D117" s="71">
        <f>IFERROR(D116/D115,"-")</f>
        <v/>
      </c>
      <c r="E117" s="71">
        <f>IFERROR(E116/E115,"-")</f>
        <v/>
      </c>
      <c r="F117" s="71">
        <f>IFERROR(F116/F115,"-")</f>
        <v/>
      </c>
      <c r="G117" s="71">
        <f>IFERROR(G116/G115,"-")</f>
        <v/>
      </c>
      <c r="H117" s="71">
        <f>IFERROR(H116/H115,"-")</f>
        <v/>
      </c>
      <c r="I117" s="71">
        <f>IFERROR(I116/I115,"-")</f>
        <v/>
      </c>
      <c r="J117" s="71">
        <f>IFERROR(J116/J115,"-")</f>
        <v/>
      </c>
      <c r="K117" s="71">
        <f>IFERROR(K116/K115,"-")</f>
        <v/>
      </c>
      <c r="L117" s="71">
        <f>IFERROR(L116/L115,"-")</f>
        <v/>
      </c>
      <c r="M117" s="71">
        <f>IFERROR(M116/M115,"-")</f>
        <v/>
      </c>
      <c r="N117" s="71">
        <f>IFERROR(N116/N115,"-")</f>
        <v/>
      </c>
      <c r="O117" s="71">
        <f>IFERROR(O116/O115,"-")</f>
        <v/>
      </c>
      <c r="P117" s="71">
        <f>IFERROR(P116/P115,"-")</f>
        <v/>
      </c>
    </row>
    <row r="118" ht="15.75" customHeight="1" s="45">
      <c r="A118" s="61" t="n">
        <v>46274</v>
      </c>
      <c r="B118" s="82" t="inlineStr">
        <is>
          <t>Pós-Projeto</t>
        </is>
      </c>
      <c r="C118" s="87" t="inlineStr">
        <is>
          <t>Tempo Médio — 🟡 Amarelo (hh:mm)</t>
        </is>
      </c>
      <c r="D118" s="73" t="n">
        <v>0.04481481481481481</v>
      </c>
      <c r="E118" s="73" t="n">
        <v>0.04174768518518519</v>
      </c>
      <c r="F118" s="73" t="n">
        <v>0.03199074074074074</v>
      </c>
      <c r="G118" s="73" t="n">
        <v>0.1075810185185185</v>
      </c>
      <c r="H118" s="73" t="n">
        <v>0.0503125</v>
      </c>
      <c r="I118" s="73" t="n">
        <v>0.05271990740740741</v>
      </c>
      <c r="J118" s="73" t="n">
        <v>0.06890046296296297</v>
      </c>
      <c r="K118" s="73" t="n">
        <v>0.0633912037037037</v>
      </c>
      <c r="L118" s="73" t="n">
        <v>0.06559027777777778</v>
      </c>
      <c r="M118" s="73" t="n">
        <v>0.0244212962962963</v>
      </c>
      <c r="N118" s="73" t="n">
        <v>0.07442129629629629</v>
      </c>
      <c r="O118" s="73" t="n">
        <v>0.03873842592592593</v>
      </c>
      <c r="P118" s="73" t="n">
        <v>0.1058796296296296</v>
      </c>
    </row>
    <row r="119" ht="15.75" customHeight="1" s="45">
      <c r="A119" s="61" t="n">
        <v>46274</v>
      </c>
      <c r="B119" s="82" t="inlineStr">
        <is>
          <t>Pós-Projeto</t>
        </is>
      </c>
      <c r="C119" s="88" t="inlineStr">
        <is>
          <t>Tempo Médio — 🟠 Laranja (hh:mm)</t>
        </is>
      </c>
      <c r="D119" s="75" t="n">
        <v>0.006851851851851852</v>
      </c>
      <c r="E119" s="75" t="n">
        <v>0.004953703703703704</v>
      </c>
      <c r="F119" s="75" t="n">
        <v>0.005381944444444444</v>
      </c>
      <c r="G119" s="75" t="n">
        <v>0.005162037037037037</v>
      </c>
      <c r="H119" s="75" t="n">
        <v>0.006423611111111111</v>
      </c>
      <c r="I119" s="75" t="n">
        <v>0.01418981481481481</v>
      </c>
      <c r="J119" s="75" t="n">
        <v>0.008275462962962964</v>
      </c>
      <c r="K119" s="75" t="n">
        <v>0.01292824074074074</v>
      </c>
      <c r="L119" s="75" t="n">
        <v>0.008564814814814815</v>
      </c>
      <c r="M119" s="75" t="n">
        <v>0.00798611111111111</v>
      </c>
      <c r="N119" s="75" t="n">
        <v>0.01083333333333333</v>
      </c>
      <c r="O119" s="75" t="n">
        <v>0.009201388888888889</v>
      </c>
      <c r="P119" s="75" t="n">
        <v>0.01027777777777778</v>
      </c>
    </row>
    <row r="120" ht="15.75" customHeight="1" s="45">
      <c r="A120" s="76" t="n">
        <v>46274</v>
      </c>
      <c r="B120" s="82" t="inlineStr">
        <is>
          <t>Pós-Projeto</t>
        </is>
      </c>
      <c r="C120" s="91" t="inlineStr">
        <is>
          <t>Tempo Médio — 🟢 Verde   (hh:mm)</t>
        </is>
      </c>
      <c r="D120" s="79" t="n">
        <v>0.1020601851851852</v>
      </c>
      <c r="E120" s="79" t="n">
        <v>0.114525462962963</v>
      </c>
      <c r="F120" s="79" t="n">
        <v>0.1036226851851852</v>
      </c>
      <c r="G120" s="79" t="n">
        <v>0.1062384259259259</v>
      </c>
      <c r="H120" s="79" t="n">
        <v>0.05607638888888889</v>
      </c>
      <c r="I120" s="79" t="n">
        <v>0.1419444444444445</v>
      </c>
      <c r="J120" s="79" t="n">
        <v>0.0634837962962963</v>
      </c>
      <c r="K120" s="79" t="n">
        <v>0.08260416666666667</v>
      </c>
      <c r="L120" s="79" t="n">
        <v>0.1757986111111111</v>
      </c>
      <c r="M120" s="79" t="n">
        <v>0.07290509259259259</v>
      </c>
      <c r="N120" s="79" t="n">
        <v>0.07700231481481482</v>
      </c>
      <c r="O120" s="79" t="n">
        <v>0.0559375</v>
      </c>
      <c r="P120" s="79" t="n">
        <v>0.09400462962962963</v>
      </c>
    </row>
    <row r="121" ht="15.75" customHeight="1" s="45">
      <c r="A121" s="57" t="n">
        <v>46275</v>
      </c>
      <c r="B121" s="81" t="inlineStr">
        <is>
          <t>Pós-Projeto</t>
        </is>
      </c>
      <c r="C121" s="59" t="inlineStr">
        <is>
          <t>Acolhim. + Atend. Urgência + Atend. UPA</t>
        </is>
      </c>
      <c r="D121" s="60">
        <f>SUM(D122:D124)</f>
        <v/>
      </c>
      <c r="E121" s="60">
        <f>SUM(E122:E124)</f>
        <v/>
      </c>
      <c r="F121" s="60">
        <f>SUM(F122:F124)</f>
        <v/>
      </c>
      <c r="G121" s="60">
        <f>SUM(G122:G124)</f>
        <v/>
      </c>
      <c r="H121" s="60">
        <f>SUM(H122:H124)</f>
        <v/>
      </c>
      <c r="I121" s="60">
        <f>SUM(I122:I124)</f>
        <v/>
      </c>
      <c r="J121" s="60">
        <f>SUM(J122:J124)</f>
        <v/>
      </c>
      <c r="K121" s="60">
        <f>SUM(K122:K124)</f>
        <v/>
      </c>
      <c r="L121" s="60">
        <f>SUM(L122:L124)</f>
        <v/>
      </c>
      <c r="M121" s="60">
        <f>SUM(M122:M124)</f>
        <v/>
      </c>
      <c r="N121" s="60">
        <f>SUM(N122:N124)</f>
        <v/>
      </c>
      <c r="O121" s="60">
        <f>SUM(O122:O124)</f>
        <v/>
      </c>
      <c r="P121" s="60">
        <f>SUM(P122:P124)</f>
        <v/>
      </c>
    </row>
    <row r="122" ht="15.75" customHeight="1" s="45">
      <c r="A122" s="61" t="n">
        <v>46275</v>
      </c>
      <c r="B122" s="82" t="inlineStr">
        <is>
          <t>Pós-Projeto</t>
        </is>
      </c>
      <c r="C122" s="83" t="inlineStr">
        <is>
          <t>Acolhimento c/ Classif. de Risco</t>
        </is>
      </c>
      <c r="D122" s="66" t="n">
        <v>233</v>
      </c>
      <c r="E122" s="66" t="n">
        <v>177</v>
      </c>
      <c r="F122" s="66" t="n">
        <v>187</v>
      </c>
      <c r="G122" s="66" t="n">
        <v>175</v>
      </c>
      <c r="H122" s="66" t="n">
        <v>135</v>
      </c>
      <c r="I122" s="66" t="n">
        <v>223</v>
      </c>
      <c r="J122" s="66" t="n">
        <v>122</v>
      </c>
      <c r="K122" s="66" t="n">
        <v>263</v>
      </c>
      <c r="L122" s="66" t="n">
        <v>129</v>
      </c>
      <c r="M122" s="66" t="n">
        <v>242</v>
      </c>
      <c r="N122" s="66" t="n">
        <v>200</v>
      </c>
      <c r="O122" s="66" t="n">
        <v>293</v>
      </c>
      <c r="P122" s="66" t="n">
        <v>245</v>
      </c>
    </row>
    <row r="123" ht="15.75" customHeight="1" s="45">
      <c r="A123" s="61" t="n">
        <v>46275</v>
      </c>
      <c r="B123" s="82" t="inlineStr">
        <is>
          <t>Pós-Projeto</t>
        </is>
      </c>
      <c r="C123" s="84" t="inlineStr">
        <is>
          <t>Atend. Urgência Obs. ≤ 24h</t>
        </is>
      </c>
      <c r="D123" s="64" t="n">
        <v>28</v>
      </c>
      <c r="E123" s="64" t="n">
        <v>18</v>
      </c>
      <c r="F123" s="64" t="n">
        <v>21</v>
      </c>
      <c r="G123" s="64" t="n">
        <v>29</v>
      </c>
      <c r="H123" s="64" t="n">
        <v>22</v>
      </c>
      <c r="I123" s="64" t="n">
        <v>24</v>
      </c>
      <c r="J123" s="64" t="n">
        <v>13</v>
      </c>
      <c r="K123" s="64" t="n">
        <v>55</v>
      </c>
      <c r="L123" s="64" t="n">
        <v>46</v>
      </c>
      <c r="M123" s="64" t="n">
        <v>27</v>
      </c>
      <c r="N123" s="64" t="n">
        <v>71</v>
      </c>
      <c r="O123" s="64" t="n">
        <v>20</v>
      </c>
      <c r="P123" s="64" t="n">
        <v>34</v>
      </c>
    </row>
    <row r="124" ht="15.75" customHeight="1" s="45">
      <c r="A124" s="61" t="n">
        <v>46275</v>
      </c>
      <c r="B124" s="82" t="inlineStr">
        <is>
          <t>Pós-Projeto</t>
        </is>
      </c>
      <c r="C124" s="83" t="inlineStr">
        <is>
          <t>Atend. Médico em UPA</t>
        </is>
      </c>
      <c r="D124" s="66" t="n">
        <v>170</v>
      </c>
      <c r="E124" s="66" t="n">
        <v>88</v>
      </c>
      <c r="F124" s="66" t="n">
        <v>141</v>
      </c>
      <c r="G124" s="66" t="n">
        <v>154</v>
      </c>
      <c r="H124" s="66" t="n">
        <v>94</v>
      </c>
      <c r="I124" s="66" t="n">
        <v>179</v>
      </c>
      <c r="J124" s="66" t="n">
        <v>102</v>
      </c>
      <c r="K124" s="66" t="n">
        <v>207</v>
      </c>
      <c r="L124" s="66" t="n">
        <v>121</v>
      </c>
      <c r="M124" s="66" t="n">
        <v>193</v>
      </c>
      <c r="N124" s="66" t="n">
        <v>163</v>
      </c>
      <c r="O124" s="66" t="n">
        <v>248</v>
      </c>
      <c r="P124" s="66" t="n">
        <v>122</v>
      </c>
    </row>
    <row r="125" ht="15.75" customHeight="1" s="45">
      <c r="A125" s="61" t="n">
        <v>46275</v>
      </c>
      <c r="B125" s="82" t="inlineStr">
        <is>
          <t>Pós-Projeto</t>
        </is>
      </c>
      <c r="C125" s="84" t="inlineStr">
        <is>
          <t>Exames Laboratoriais</t>
        </is>
      </c>
      <c r="D125" s="64" t="n">
        <v>629</v>
      </c>
      <c r="E125" s="64" t="n">
        <v>443</v>
      </c>
      <c r="F125" s="64" t="n">
        <v>623</v>
      </c>
      <c r="G125" s="64" t="n">
        <v>424</v>
      </c>
      <c r="H125" s="64" t="n">
        <v>435</v>
      </c>
      <c r="I125" s="64" t="n">
        <v>887</v>
      </c>
      <c r="J125" s="64" t="n">
        <v>383</v>
      </c>
      <c r="K125" s="64" t="n">
        <v>771</v>
      </c>
      <c r="L125" s="64" t="n">
        <v>503</v>
      </c>
      <c r="M125" s="64" t="n">
        <v>595</v>
      </c>
      <c r="N125" s="64" t="n">
        <v>681</v>
      </c>
      <c r="O125" s="64" t="n">
        <v>480</v>
      </c>
      <c r="P125" s="64" t="n">
        <v>567</v>
      </c>
    </row>
    <row r="126" ht="15.75" customHeight="1" s="45">
      <c r="A126" s="61" t="n">
        <v>46275</v>
      </c>
      <c r="B126" s="82" t="inlineStr">
        <is>
          <t>Pós-Projeto</t>
        </is>
      </c>
      <c r="C126" s="83" t="inlineStr">
        <is>
          <t>Radiografias</t>
        </is>
      </c>
      <c r="D126" s="66" t="n">
        <v>36</v>
      </c>
      <c r="E126" s="66" t="n">
        <v>22</v>
      </c>
      <c r="F126" s="66" t="n">
        <v>14</v>
      </c>
      <c r="G126" s="67" t="n">
        <v>0</v>
      </c>
      <c r="H126" s="66" t="n">
        <v>14</v>
      </c>
      <c r="I126" s="66" t="n">
        <v>30</v>
      </c>
      <c r="J126" s="66" t="n">
        <v>13</v>
      </c>
      <c r="K126" s="66" t="n">
        <v>33</v>
      </c>
      <c r="L126" s="66" t="n">
        <v>16</v>
      </c>
      <c r="M126" s="66" t="n">
        <v>55</v>
      </c>
      <c r="N126" s="66" t="n">
        <v>27</v>
      </c>
      <c r="O126" s="66" t="n">
        <v>45</v>
      </c>
      <c r="P126" s="66" t="n">
        <v>37</v>
      </c>
    </row>
    <row r="127" ht="15.75" customHeight="1" s="45">
      <c r="A127" s="61" t="n">
        <v>46275</v>
      </c>
      <c r="B127" s="82" t="inlineStr">
        <is>
          <t>Pós-Projeto</t>
        </is>
      </c>
      <c r="C127" s="84" t="inlineStr">
        <is>
          <t>Eletrocardiogramas</t>
        </is>
      </c>
      <c r="D127" s="67" t="n">
        <v>0</v>
      </c>
      <c r="E127" s="67" t="n">
        <v>0</v>
      </c>
      <c r="F127" s="67" t="n">
        <v>0</v>
      </c>
      <c r="G127" s="64" t="n">
        <v>5</v>
      </c>
      <c r="H127" s="67" t="n">
        <v>0</v>
      </c>
      <c r="I127" s="67" t="n">
        <v>0</v>
      </c>
      <c r="J127" s="64" t="n">
        <v>4</v>
      </c>
      <c r="K127" s="64" t="n">
        <v>1</v>
      </c>
      <c r="L127" s="67" t="n">
        <v>0</v>
      </c>
      <c r="M127" s="67" t="n">
        <v>0</v>
      </c>
      <c r="N127" s="64" t="n">
        <v>17</v>
      </c>
      <c r="O127" s="67" t="n">
        <v>0</v>
      </c>
      <c r="P127" s="64" t="n">
        <v>3</v>
      </c>
    </row>
    <row r="128" ht="15.75" customHeight="1" s="45">
      <c r="A128" s="61" t="n">
        <v>46275</v>
      </c>
      <c r="B128" s="82" t="inlineStr">
        <is>
          <t>Pós-Projeto</t>
        </is>
      </c>
      <c r="C128" s="85" t="inlineStr">
        <is>
          <t>GAEs Abertas</t>
        </is>
      </c>
      <c r="D128" s="69" t="n">
        <v>261</v>
      </c>
      <c r="E128" s="69" t="n">
        <v>183</v>
      </c>
      <c r="F128" s="69" t="n">
        <v>194</v>
      </c>
      <c r="G128" s="69" t="n">
        <v>182</v>
      </c>
      <c r="H128" s="69" t="n">
        <v>137</v>
      </c>
      <c r="I128" s="69" t="n">
        <v>225</v>
      </c>
      <c r="J128" s="69" t="n">
        <v>126</v>
      </c>
      <c r="K128" s="69" t="n">
        <v>330</v>
      </c>
      <c r="L128" s="69" t="n">
        <v>137</v>
      </c>
      <c r="M128" s="69" t="n">
        <v>251</v>
      </c>
      <c r="N128" s="69" t="n">
        <v>208</v>
      </c>
      <c r="O128" s="69" t="n">
        <v>304</v>
      </c>
      <c r="P128" s="69" t="n">
        <v>255</v>
      </c>
    </row>
    <row r="129" ht="15.75" customHeight="1" s="45">
      <c r="A129" s="61" t="n">
        <v>46275</v>
      </c>
      <c r="B129" s="82" t="inlineStr">
        <is>
          <t>Pós-Projeto</t>
        </is>
      </c>
      <c r="C129" s="85" t="inlineStr">
        <is>
          <t>GAEs Classificadas</t>
        </is>
      </c>
      <c r="D129" s="69" t="n">
        <v>243</v>
      </c>
      <c r="E129" s="69" t="n">
        <v>179</v>
      </c>
      <c r="F129" s="69" t="n">
        <v>188</v>
      </c>
      <c r="G129" s="69" t="n">
        <v>176</v>
      </c>
      <c r="H129" s="69" t="n">
        <v>134</v>
      </c>
      <c r="I129" s="69" t="n">
        <v>222</v>
      </c>
      <c r="J129" s="69" t="n">
        <v>122</v>
      </c>
      <c r="K129" s="69" t="n">
        <v>267</v>
      </c>
      <c r="L129" s="69" t="n">
        <v>131</v>
      </c>
      <c r="M129" s="69" t="n">
        <v>239</v>
      </c>
      <c r="N129" s="69" t="n">
        <v>200</v>
      </c>
      <c r="O129" s="69" t="n">
        <v>296</v>
      </c>
      <c r="P129" s="69" t="n">
        <v>246</v>
      </c>
    </row>
    <row r="130" ht="15.75" customHeight="1" s="45">
      <c r="A130" s="61" t="n">
        <v>46275</v>
      </c>
      <c r="B130" s="82" t="inlineStr">
        <is>
          <t>Pós-Projeto</t>
        </is>
      </c>
      <c r="C130" s="86" t="inlineStr">
        <is>
          <t>Percentual de GAEs abertas classificadas</t>
        </is>
      </c>
      <c r="D130" s="71">
        <f>IFERROR(D129/D128,"-")</f>
        <v/>
      </c>
      <c r="E130" s="71">
        <f>IFERROR(E129/E128,"-")</f>
        <v/>
      </c>
      <c r="F130" s="71">
        <f>IFERROR(F129/F128,"-")</f>
        <v/>
      </c>
      <c r="G130" s="71">
        <f>IFERROR(G129/G128,"-")</f>
        <v/>
      </c>
      <c r="H130" s="71">
        <f>IFERROR(H129/H128,"-")</f>
        <v/>
      </c>
      <c r="I130" s="71">
        <f>IFERROR(I129/I128,"-")</f>
        <v/>
      </c>
      <c r="J130" s="71">
        <f>IFERROR(J129/J128,"-")</f>
        <v/>
      </c>
      <c r="K130" s="71">
        <f>IFERROR(K129/K128,"-")</f>
        <v/>
      </c>
      <c r="L130" s="71">
        <f>IFERROR(L129/L128,"-")</f>
        <v/>
      </c>
      <c r="M130" s="71">
        <f>IFERROR(M129/M128,"-")</f>
        <v/>
      </c>
      <c r="N130" s="71">
        <f>IFERROR(N129/N128,"-")</f>
        <v/>
      </c>
      <c r="O130" s="71">
        <f>IFERROR(O129/O128,"-")</f>
        <v/>
      </c>
      <c r="P130" s="71">
        <f>IFERROR(P129/P128,"-")</f>
        <v/>
      </c>
    </row>
    <row r="131" ht="15.75" customHeight="1" s="45">
      <c r="A131" s="61" t="n">
        <v>46275</v>
      </c>
      <c r="B131" s="82" t="inlineStr">
        <is>
          <t>Pós-Projeto</t>
        </is>
      </c>
      <c r="C131" s="87" t="inlineStr">
        <is>
          <t>Tempo Médio — 🟡 Amarelo (hh:mm)</t>
        </is>
      </c>
      <c r="D131" s="73" t="n">
        <v>0.09805555555555556</v>
      </c>
      <c r="E131" s="73" t="n">
        <v>0.06085648148148148</v>
      </c>
      <c r="F131" s="73" t="n">
        <v>0.06189814814814815</v>
      </c>
      <c r="G131" s="73" t="n">
        <v>0.03847222222222222</v>
      </c>
      <c r="H131" s="73" t="n">
        <v>0.02756944444444445</v>
      </c>
      <c r="I131" s="73" t="n">
        <v>0.03964120370370371</v>
      </c>
      <c r="J131" s="73" t="n">
        <v>0.0434375</v>
      </c>
      <c r="K131" s="73" t="n">
        <v>0.1207175925925926</v>
      </c>
      <c r="L131" s="73" t="n">
        <v>0.04957175925925926</v>
      </c>
      <c r="M131" s="73" t="n">
        <v>0.04331018518518519</v>
      </c>
      <c r="N131" s="73" t="n">
        <v>0.1082986111111111</v>
      </c>
      <c r="O131" s="73" t="n">
        <v>0.04523148148148148</v>
      </c>
      <c r="P131" s="73" t="n">
        <v>0.1344907407407407</v>
      </c>
    </row>
    <row r="132" ht="15.75" customHeight="1" s="45">
      <c r="A132" s="61" t="n">
        <v>46275</v>
      </c>
      <c r="B132" s="82" t="inlineStr">
        <is>
          <t>Pós-Projeto</t>
        </is>
      </c>
      <c r="C132" s="88" t="inlineStr">
        <is>
          <t>Tempo Médio — 🟠 Laranja (hh:mm)</t>
        </is>
      </c>
      <c r="D132" s="75" t="n">
        <v>0.01061342592592593</v>
      </c>
      <c r="E132" s="75" t="n">
        <v>0.005196759259259259</v>
      </c>
      <c r="F132" s="75" t="n">
        <v>0.007326388888888889</v>
      </c>
      <c r="G132" s="75" t="n">
        <v>0.008009259259259259</v>
      </c>
      <c r="H132" s="75" t="n">
        <v>0.008888888888888889</v>
      </c>
      <c r="I132" s="75" t="n">
        <v>0.006180555555555555</v>
      </c>
      <c r="J132" s="75" t="n">
        <v>0.008391203703703705</v>
      </c>
      <c r="K132" s="75" t="n">
        <v>0.02542824074074074</v>
      </c>
      <c r="L132" s="75" t="n">
        <v>0.01289351851851852</v>
      </c>
      <c r="M132" s="75" t="n">
        <v>0.006689814814814815</v>
      </c>
      <c r="N132" s="75" t="n">
        <v>0.01585648148148148</v>
      </c>
      <c r="O132" s="75" t="n">
        <v>0.01270833333333333</v>
      </c>
      <c r="P132" s="75" t="n">
        <v>0.01239583333333333</v>
      </c>
    </row>
    <row r="133" ht="15.75" customHeight="1" s="45">
      <c r="A133" s="76" t="n">
        <v>46275</v>
      </c>
      <c r="B133" s="82" t="inlineStr">
        <is>
          <t>Pós-Projeto</t>
        </is>
      </c>
      <c r="C133" s="91" t="inlineStr">
        <is>
          <t>Tempo Médio — 🟢 Verde   (hh:mm)</t>
        </is>
      </c>
      <c r="D133" s="79" t="n">
        <v>0.1213888888888889</v>
      </c>
      <c r="E133" s="79" t="n">
        <v>0.1230092592592593</v>
      </c>
      <c r="F133" s="79" t="n">
        <v>0.0624074074074074</v>
      </c>
      <c r="G133" s="79" t="n">
        <v>0.1111574074074074</v>
      </c>
      <c r="H133" s="79" t="n">
        <v>0.06905092592592593</v>
      </c>
      <c r="I133" s="79" t="n">
        <v>0.1176388888888889</v>
      </c>
      <c r="J133" s="79" t="n">
        <v>0.06528935185185185</v>
      </c>
      <c r="K133" s="79" t="n">
        <v>0.046875</v>
      </c>
      <c r="L133" s="79" t="n">
        <v>0.1493171296296296</v>
      </c>
      <c r="M133" s="79" t="n">
        <v>0.05143518518518519</v>
      </c>
      <c r="N133" s="79" t="n">
        <v>0.09614583333333333</v>
      </c>
      <c r="O133" s="79" t="n">
        <v>0.1012615740740741</v>
      </c>
      <c r="P133" s="79" t="n">
        <v>0.1102430555555556</v>
      </c>
    </row>
    <row r="134" ht="15.75" customHeight="1" s="45">
      <c r="A134" s="57" t="n">
        <v>46276</v>
      </c>
      <c r="B134" s="81" t="inlineStr">
        <is>
          <t>Pós-Projeto</t>
        </is>
      </c>
      <c r="C134" s="59" t="inlineStr">
        <is>
          <t>Acolhim. + Atend. Urgência + Atend. UPA</t>
        </is>
      </c>
      <c r="D134" s="60">
        <f>SUM(D135:D137)</f>
        <v/>
      </c>
      <c r="E134" s="60">
        <f>SUM(E135:E137)</f>
        <v/>
      </c>
      <c r="F134" s="60">
        <f>SUM(F135:F137)</f>
        <v/>
      </c>
      <c r="G134" s="60">
        <f>SUM(G135:G137)</f>
        <v/>
      </c>
      <c r="H134" s="60">
        <f>SUM(H135:H137)</f>
        <v/>
      </c>
      <c r="I134" s="60">
        <f>SUM(I135:I137)</f>
        <v/>
      </c>
      <c r="J134" s="60">
        <f>SUM(J135:J137)</f>
        <v/>
      </c>
      <c r="K134" s="60">
        <f>SUM(K135:K137)</f>
        <v/>
      </c>
      <c r="L134" s="60">
        <f>SUM(L135:L137)</f>
        <v/>
      </c>
      <c r="M134" s="60">
        <f>SUM(M135:M137)</f>
        <v/>
      </c>
      <c r="N134" s="60">
        <f>SUM(N135:N137)</f>
        <v/>
      </c>
      <c r="O134" s="60">
        <f>SUM(O135:O137)</f>
        <v/>
      </c>
      <c r="P134" s="60">
        <f>SUM(P135:P137)</f>
        <v/>
      </c>
    </row>
    <row r="135" ht="15.75" customHeight="1" s="45">
      <c r="A135" s="61" t="n">
        <v>46276</v>
      </c>
      <c r="B135" s="82" t="inlineStr">
        <is>
          <t>Pós-Projeto</t>
        </is>
      </c>
      <c r="C135" s="83" t="inlineStr">
        <is>
          <t>Acolhimento c/ Classif. de Risco</t>
        </is>
      </c>
      <c r="D135" s="64" t="n">
        <v>201</v>
      </c>
      <c r="E135" s="64" t="n">
        <v>174</v>
      </c>
      <c r="F135" s="64" t="n">
        <v>175</v>
      </c>
      <c r="G135" s="64" t="n">
        <v>136</v>
      </c>
      <c r="H135" s="64" t="n">
        <v>139</v>
      </c>
      <c r="I135" s="64" t="n">
        <v>206</v>
      </c>
      <c r="J135" s="64" t="n">
        <v>115</v>
      </c>
      <c r="K135" s="64" t="n">
        <v>275</v>
      </c>
      <c r="L135" s="64" t="n">
        <v>146</v>
      </c>
      <c r="M135" s="64" t="n">
        <v>196</v>
      </c>
      <c r="N135" s="64" t="n">
        <v>206</v>
      </c>
      <c r="O135" s="64" t="n">
        <v>282</v>
      </c>
      <c r="P135" s="64" t="n">
        <v>242</v>
      </c>
    </row>
    <row r="136" ht="15.75" customHeight="1" s="45">
      <c r="A136" s="61" t="n">
        <v>46276</v>
      </c>
      <c r="B136" s="82" t="inlineStr">
        <is>
          <t>Pós-Projeto</t>
        </is>
      </c>
      <c r="C136" s="84" t="inlineStr">
        <is>
          <t>Atend. Urgência Obs. ≤ 24h</t>
        </is>
      </c>
      <c r="D136" s="66" t="n">
        <v>26</v>
      </c>
      <c r="E136" s="66" t="n">
        <v>12</v>
      </c>
      <c r="F136" s="66" t="n">
        <v>21</v>
      </c>
      <c r="G136" s="66" t="n">
        <v>17</v>
      </c>
      <c r="H136" s="66" t="n">
        <v>20</v>
      </c>
      <c r="I136" s="66" t="n">
        <v>20</v>
      </c>
      <c r="J136" s="66" t="n">
        <v>9</v>
      </c>
      <c r="K136" s="66" t="n">
        <v>40</v>
      </c>
      <c r="L136" s="66" t="n">
        <v>37</v>
      </c>
      <c r="M136" s="66" t="n">
        <v>19</v>
      </c>
      <c r="N136" s="66" t="n">
        <v>50</v>
      </c>
      <c r="O136" s="66" t="n">
        <v>11</v>
      </c>
      <c r="P136" s="66" t="n">
        <v>25</v>
      </c>
    </row>
    <row r="137" ht="15.75" customHeight="1" s="45">
      <c r="A137" s="61" t="n">
        <v>46276</v>
      </c>
      <c r="B137" s="82" t="inlineStr">
        <is>
          <t>Pós-Projeto</t>
        </is>
      </c>
      <c r="C137" s="83" t="inlineStr">
        <is>
          <t>Atend. Médico em UPA</t>
        </is>
      </c>
      <c r="D137" s="64" t="n">
        <v>167</v>
      </c>
      <c r="E137" s="64" t="n">
        <v>93</v>
      </c>
      <c r="F137" s="64" t="n">
        <v>123</v>
      </c>
      <c r="G137" s="64" t="n">
        <v>97</v>
      </c>
      <c r="H137" s="64" t="n">
        <v>89</v>
      </c>
      <c r="I137" s="64" t="n">
        <v>165</v>
      </c>
      <c r="J137" s="64" t="n">
        <v>70</v>
      </c>
      <c r="K137" s="64" t="n">
        <v>245</v>
      </c>
      <c r="L137" s="64" t="n">
        <v>104</v>
      </c>
      <c r="M137" s="64" t="n">
        <v>153</v>
      </c>
      <c r="N137" s="64" t="n">
        <v>151</v>
      </c>
      <c r="O137" s="64" t="n">
        <v>244</v>
      </c>
      <c r="P137" s="64" t="n">
        <v>171</v>
      </c>
    </row>
    <row r="138" ht="15.75" customHeight="1" s="45">
      <c r="A138" s="61" t="n">
        <v>46276</v>
      </c>
      <c r="B138" s="82" t="inlineStr">
        <is>
          <t>Pós-Projeto</t>
        </is>
      </c>
      <c r="C138" s="84" t="inlineStr">
        <is>
          <t>Exames Laboratoriais</t>
        </is>
      </c>
      <c r="D138" s="66" t="n">
        <v>634</v>
      </c>
      <c r="E138" s="66" t="n">
        <v>422</v>
      </c>
      <c r="F138" s="66" t="n">
        <v>547</v>
      </c>
      <c r="G138" s="66" t="n">
        <v>195</v>
      </c>
      <c r="H138" s="66" t="n">
        <v>477</v>
      </c>
      <c r="I138" s="66" t="n">
        <v>495</v>
      </c>
      <c r="J138" s="66" t="n">
        <v>361</v>
      </c>
      <c r="K138" s="66" t="n">
        <v>873</v>
      </c>
      <c r="L138" s="66" t="n">
        <v>618</v>
      </c>
      <c r="M138" s="66" t="n">
        <v>543</v>
      </c>
      <c r="N138" s="66" t="n">
        <v>537</v>
      </c>
      <c r="O138" s="66" t="n">
        <v>461</v>
      </c>
      <c r="P138" s="66" t="n">
        <v>531</v>
      </c>
    </row>
    <row r="139" ht="15.75" customHeight="1" s="45">
      <c r="A139" s="61" t="n">
        <v>46276</v>
      </c>
      <c r="B139" s="82" t="inlineStr">
        <is>
          <t>Pós-Projeto</t>
        </is>
      </c>
      <c r="C139" s="83" t="inlineStr">
        <is>
          <t>Radiografias</t>
        </is>
      </c>
      <c r="D139" s="64" t="n">
        <v>25</v>
      </c>
      <c r="E139" s="64" t="n">
        <v>19</v>
      </c>
      <c r="F139" s="64" t="n">
        <v>5</v>
      </c>
      <c r="G139" s="67" t="n">
        <v>0</v>
      </c>
      <c r="H139" s="64" t="n">
        <v>24</v>
      </c>
      <c r="I139" s="64" t="n">
        <v>23</v>
      </c>
      <c r="J139" s="64" t="n">
        <v>15</v>
      </c>
      <c r="K139" s="64" t="n">
        <v>41</v>
      </c>
      <c r="L139" s="64" t="n">
        <v>11</v>
      </c>
      <c r="M139" s="64" t="n">
        <v>24</v>
      </c>
      <c r="N139" s="64" t="n">
        <v>32</v>
      </c>
      <c r="O139" s="64" t="n">
        <v>35</v>
      </c>
      <c r="P139" s="64" t="n">
        <v>43</v>
      </c>
    </row>
    <row r="140" ht="15.75" customHeight="1" s="45">
      <c r="A140" s="61" t="n">
        <v>46276</v>
      </c>
      <c r="B140" s="82" t="inlineStr">
        <is>
          <t>Pós-Projeto</t>
        </is>
      </c>
      <c r="C140" s="84" t="inlineStr">
        <is>
          <t>Eletrocardiogramas</t>
        </is>
      </c>
      <c r="D140" s="66" t="n">
        <v>1</v>
      </c>
      <c r="E140" s="67" t="n">
        <v>0</v>
      </c>
      <c r="F140" s="67" t="n">
        <v>0</v>
      </c>
      <c r="G140" s="66" t="n">
        <v>2</v>
      </c>
      <c r="H140" s="67" t="n">
        <v>0</v>
      </c>
      <c r="I140" s="67" t="n">
        <v>0</v>
      </c>
      <c r="J140" s="67" t="n">
        <v>0</v>
      </c>
      <c r="K140" s="66" t="n">
        <v>6</v>
      </c>
      <c r="L140" s="67" t="n">
        <v>0</v>
      </c>
      <c r="M140" s="67" t="n">
        <v>0</v>
      </c>
      <c r="N140" s="66" t="n">
        <v>14</v>
      </c>
      <c r="O140" s="67" t="n">
        <v>0</v>
      </c>
      <c r="P140" s="66" t="n">
        <v>3</v>
      </c>
    </row>
    <row r="141" ht="15.75" customHeight="1" s="45">
      <c r="A141" s="61" t="n">
        <v>46276</v>
      </c>
      <c r="B141" s="82" t="inlineStr">
        <is>
          <t>Pós-Projeto</t>
        </is>
      </c>
      <c r="C141" s="85" t="inlineStr">
        <is>
          <t>GAEs Abertas</t>
        </is>
      </c>
      <c r="D141" s="69" t="n">
        <v>215</v>
      </c>
      <c r="E141" s="69" t="n">
        <v>180</v>
      </c>
      <c r="F141" s="69" t="n">
        <v>180</v>
      </c>
      <c r="G141" s="69" t="n">
        <v>138</v>
      </c>
      <c r="H141" s="69" t="n">
        <v>146</v>
      </c>
      <c r="I141" s="69" t="n">
        <v>218</v>
      </c>
      <c r="J141" s="69" t="n">
        <v>120</v>
      </c>
      <c r="K141" s="69" t="n">
        <v>298</v>
      </c>
      <c r="L141" s="69" t="n">
        <v>150</v>
      </c>
      <c r="M141" s="69" t="n">
        <v>206</v>
      </c>
      <c r="N141" s="69" t="n">
        <v>214</v>
      </c>
      <c r="O141" s="69" t="n">
        <v>301</v>
      </c>
      <c r="P141" s="69" t="n">
        <v>250</v>
      </c>
    </row>
    <row r="142" ht="15.75" customHeight="1" s="45">
      <c r="A142" s="61" t="n">
        <v>46276</v>
      </c>
      <c r="B142" s="82" t="inlineStr">
        <is>
          <t>Pós-Projeto</t>
        </is>
      </c>
      <c r="C142" s="85" t="inlineStr">
        <is>
          <t>GAEs Classificadas</t>
        </is>
      </c>
      <c r="D142" s="69" t="n">
        <v>192</v>
      </c>
      <c r="E142" s="69" t="n">
        <v>177</v>
      </c>
      <c r="F142" s="69" t="n">
        <v>174</v>
      </c>
      <c r="G142" s="69" t="n">
        <v>135</v>
      </c>
      <c r="H142" s="69" t="n">
        <v>139</v>
      </c>
      <c r="I142" s="69" t="n">
        <v>208</v>
      </c>
      <c r="J142" s="69" t="n">
        <v>114</v>
      </c>
      <c r="K142" s="69" t="n">
        <v>271</v>
      </c>
      <c r="L142" s="69" t="n">
        <v>143</v>
      </c>
      <c r="M142" s="69" t="n">
        <v>201</v>
      </c>
      <c r="N142" s="69" t="n">
        <v>207</v>
      </c>
      <c r="O142" s="69" t="n">
        <v>286</v>
      </c>
      <c r="P142" s="69" t="n">
        <v>241</v>
      </c>
    </row>
    <row r="143" ht="15.75" customHeight="1" s="45">
      <c r="A143" s="61" t="n">
        <v>46276</v>
      </c>
      <c r="B143" s="82" t="inlineStr">
        <is>
          <t>Pós-Projeto</t>
        </is>
      </c>
      <c r="C143" s="86" t="inlineStr">
        <is>
          <t>Percentual de GAEs abertas classificadas</t>
        </is>
      </c>
      <c r="D143" s="71">
        <f>IFERROR(D142/D141,"-")</f>
        <v/>
      </c>
      <c r="E143" s="71">
        <f>IFERROR(E142/E141,"-")</f>
        <v/>
      </c>
      <c r="F143" s="71">
        <f>IFERROR(F142/F141,"-")</f>
        <v/>
      </c>
      <c r="G143" s="71">
        <f>IFERROR(G142/G141,"-")</f>
        <v/>
      </c>
      <c r="H143" s="71">
        <f>IFERROR(H142/H141,"-")</f>
        <v/>
      </c>
      <c r="I143" s="71">
        <f>IFERROR(I142/I141,"-")</f>
        <v/>
      </c>
      <c r="J143" s="71">
        <f>IFERROR(J142/J141,"-")</f>
        <v/>
      </c>
      <c r="K143" s="71">
        <f>IFERROR(K142/K141,"-")</f>
        <v/>
      </c>
      <c r="L143" s="71">
        <f>IFERROR(L142/L141,"-")</f>
        <v/>
      </c>
      <c r="M143" s="71">
        <f>IFERROR(M142/M141,"-")</f>
        <v/>
      </c>
      <c r="N143" s="71">
        <f>IFERROR(N142/N141,"-")</f>
        <v/>
      </c>
      <c r="O143" s="71">
        <f>IFERROR(O142/O141,"-")</f>
        <v/>
      </c>
      <c r="P143" s="71">
        <f>IFERROR(P142/P141,"-")</f>
        <v/>
      </c>
    </row>
    <row r="144" ht="15.75" customHeight="1" s="45">
      <c r="A144" s="61" t="n">
        <v>46276</v>
      </c>
      <c r="B144" s="82" t="inlineStr">
        <is>
          <t>Pós-Projeto</t>
        </is>
      </c>
      <c r="C144" s="87" t="inlineStr">
        <is>
          <t>Tempo Médio — 🟡 Amarelo (hh:mm)</t>
        </is>
      </c>
      <c r="D144" s="73" t="n">
        <v>0.04616898148148148</v>
      </c>
      <c r="E144" s="73" t="n">
        <v>0.1151736111111111</v>
      </c>
      <c r="F144" s="73" t="n">
        <v>0.05258101851851852</v>
      </c>
      <c r="G144" s="73" t="n">
        <v>0.01597222222222222</v>
      </c>
      <c r="H144" s="73" t="n">
        <v>0.08758101851851852</v>
      </c>
      <c r="I144" s="73" t="n">
        <v>0.03262731481481482</v>
      </c>
      <c r="J144" s="73" t="n">
        <v>0.05328703703703704</v>
      </c>
      <c r="K144" s="73" t="n">
        <v>0.06180555555555556</v>
      </c>
      <c r="L144" s="73" t="n">
        <v>0.02856481481481481</v>
      </c>
      <c r="M144" s="73" t="n">
        <v>0.02390046296296296</v>
      </c>
      <c r="N144" s="73" t="n">
        <v>0.08121527777777778</v>
      </c>
      <c r="O144" s="73" t="n">
        <v>0.0400462962962963</v>
      </c>
      <c r="P144" s="73" t="n">
        <v>0.03667824074074074</v>
      </c>
    </row>
    <row r="145" ht="15.75" customHeight="1" s="45">
      <c r="A145" s="61" t="n">
        <v>46276</v>
      </c>
      <c r="B145" s="82" t="inlineStr">
        <is>
          <t>Pós-Projeto</t>
        </is>
      </c>
      <c r="C145" s="88" t="inlineStr">
        <is>
          <t>Tempo Médio — 🟠 Laranja (hh:mm)</t>
        </is>
      </c>
      <c r="D145" s="75" t="n">
        <v>0.005543981481481481</v>
      </c>
      <c r="E145" s="75" t="n">
        <v>0.01221064814814815</v>
      </c>
      <c r="F145" s="75" t="n">
        <v>0.00349537037037037</v>
      </c>
      <c r="G145" s="75" t="n">
        <v>0.007650462962962963</v>
      </c>
      <c r="H145" s="75" t="n">
        <v>0.005972222222222223</v>
      </c>
      <c r="I145" s="75" t="n">
        <v>0.005069444444444444</v>
      </c>
      <c r="J145" s="75" t="n">
        <v>0.01365740740740741</v>
      </c>
      <c r="K145" s="75" t="n">
        <v>0.01599537037037037</v>
      </c>
      <c r="L145" s="75" t="n">
        <v>0.01005787037037037</v>
      </c>
      <c r="M145" s="75" t="n">
        <v>0.007650462962962963</v>
      </c>
      <c r="N145" s="75" t="n">
        <v>0.02039351851851852</v>
      </c>
      <c r="O145" s="75" t="n">
        <v>0.008101851851851851</v>
      </c>
      <c r="P145" s="75" t="n">
        <v>0.007337962962962963</v>
      </c>
    </row>
    <row r="146" ht="15.75" customHeight="1" s="45">
      <c r="A146" s="76" t="n">
        <v>46276</v>
      </c>
      <c r="B146" s="82" t="inlineStr">
        <is>
          <t>Pós-Projeto</t>
        </is>
      </c>
      <c r="C146" s="91" t="inlineStr">
        <is>
          <t>Tempo Médio — 🟢 Verde   (hh:mm)</t>
        </is>
      </c>
      <c r="D146" s="79" t="n">
        <v>0.06116898148148148</v>
      </c>
      <c r="E146" s="79" t="n">
        <v>0.1182407407407407</v>
      </c>
      <c r="F146" s="79" t="n">
        <v>0.07969907407407407</v>
      </c>
      <c r="G146" s="79" t="n">
        <v>0.07390046296296296</v>
      </c>
      <c r="H146" s="79" t="n">
        <v>0.09576388888888888</v>
      </c>
      <c r="I146" s="79" t="n">
        <v>0.1105092592592593</v>
      </c>
      <c r="J146" s="79" t="n">
        <v>0.06605324074074075</v>
      </c>
      <c r="K146" s="79" t="n">
        <v>0.04353009259259259</v>
      </c>
      <c r="L146" s="79" t="n">
        <v>0.05946759259259259</v>
      </c>
      <c r="M146" s="79" t="n">
        <v>0.03273148148148148</v>
      </c>
      <c r="N146" s="79" t="n">
        <v>0.09623842592592592</v>
      </c>
      <c r="O146" s="79" t="n">
        <v>0.09200231481481481</v>
      </c>
      <c r="P146" s="79" t="n">
        <v>0.04931712962962963</v>
      </c>
    </row>
    <row r="147" ht="15.75" customHeight="1" s="45">
      <c r="A147" s="57" t="n">
        <v>46277</v>
      </c>
      <c r="B147" s="81" t="inlineStr">
        <is>
          <t>Pós-Projeto</t>
        </is>
      </c>
      <c r="C147" s="59" t="inlineStr">
        <is>
          <t>Acolhim. + Atend. Urgência + Atend. UPA</t>
        </is>
      </c>
      <c r="D147" s="60">
        <f>SUM(D148:D150)</f>
        <v/>
      </c>
      <c r="E147" s="60">
        <f>SUM(E148:E150)</f>
        <v/>
      </c>
      <c r="F147" s="60">
        <f>SUM(F148:F150)</f>
        <v/>
      </c>
      <c r="G147" s="60">
        <f>SUM(G148:G150)</f>
        <v/>
      </c>
      <c r="H147" s="60">
        <f>SUM(H148:H150)</f>
        <v/>
      </c>
      <c r="I147" s="60">
        <f>SUM(I148:I150)</f>
        <v/>
      </c>
      <c r="J147" s="60">
        <f>SUM(J148:J150)</f>
        <v/>
      </c>
      <c r="K147" s="60">
        <f>SUM(K148:K150)</f>
        <v/>
      </c>
      <c r="L147" s="60">
        <f>SUM(L148:L150)</f>
        <v/>
      </c>
      <c r="M147" s="60">
        <f>SUM(M148:M150)</f>
        <v/>
      </c>
      <c r="N147" s="60">
        <f>SUM(N148:N150)</f>
        <v/>
      </c>
      <c r="O147" s="60">
        <f>SUM(O148:O150)</f>
        <v/>
      </c>
      <c r="P147" s="60">
        <f>SUM(P148:P150)</f>
        <v/>
      </c>
    </row>
    <row r="148" ht="15.75" customHeight="1" s="45">
      <c r="A148" s="61" t="n">
        <v>46277</v>
      </c>
      <c r="B148" s="82" t="inlineStr">
        <is>
          <t>Pós-Projeto</t>
        </is>
      </c>
      <c r="C148" s="83" t="inlineStr">
        <is>
          <t>Acolhimento c/ Classif. de Risco</t>
        </is>
      </c>
      <c r="D148" s="66" t="n">
        <v>179</v>
      </c>
      <c r="E148" s="66" t="n">
        <v>150</v>
      </c>
      <c r="F148" s="66" t="n">
        <v>142</v>
      </c>
      <c r="G148" s="66" t="n">
        <v>139</v>
      </c>
      <c r="H148" s="66" t="n">
        <v>127</v>
      </c>
      <c r="I148" s="66" t="n">
        <v>162</v>
      </c>
      <c r="J148" s="66" t="n">
        <v>108</v>
      </c>
      <c r="K148" s="66" t="n">
        <v>245</v>
      </c>
      <c r="L148" s="66" t="n">
        <v>105</v>
      </c>
      <c r="M148" s="66" t="n">
        <v>185</v>
      </c>
      <c r="N148" s="66" t="n">
        <v>204</v>
      </c>
      <c r="O148" s="66" t="n">
        <v>230</v>
      </c>
      <c r="P148" s="66" t="n">
        <v>212</v>
      </c>
    </row>
    <row r="149" ht="15.75" customHeight="1" s="45">
      <c r="A149" s="61" t="n">
        <v>46277</v>
      </c>
      <c r="B149" s="82" t="inlineStr">
        <is>
          <t>Pós-Projeto</t>
        </is>
      </c>
      <c r="C149" s="84" t="inlineStr">
        <is>
          <t>Atend. Urgência Obs. ≤ 24h</t>
        </is>
      </c>
      <c r="D149" s="64" t="n">
        <v>42</v>
      </c>
      <c r="E149" s="64" t="n">
        <v>33</v>
      </c>
      <c r="F149" s="64" t="n">
        <v>22</v>
      </c>
      <c r="G149" s="64" t="n">
        <v>19</v>
      </c>
      <c r="H149" s="64" t="n">
        <v>15</v>
      </c>
      <c r="I149" s="64" t="n">
        <v>20</v>
      </c>
      <c r="J149" s="64" t="n">
        <v>35</v>
      </c>
      <c r="K149" s="64" t="n">
        <v>52</v>
      </c>
      <c r="L149" s="64" t="n">
        <v>39</v>
      </c>
      <c r="M149" s="64" t="n">
        <v>20</v>
      </c>
      <c r="N149" s="64" t="n">
        <v>46</v>
      </c>
      <c r="O149" s="64" t="n">
        <v>5</v>
      </c>
      <c r="P149" s="64" t="n">
        <v>30</v>
      </c>
    </row>
    <row r="150" ht="15.75" customHeight="1" s="45">
      <c r="A150" s="61" t="n">
        <v>46277</v>
      </c>
      <c r="B150" s="82" t="inlineStr">
        <is>
          <t>Pós-Projeto</t>
        </is>
      </c>
      <c r="C150" s="83" t="inlineStr">
        <is>
          <t>Atend. Médico em UPA</t>
        </is>
      </c>
      <c r="D150" s="66" t="n">
        <v>150</v>
      </c>
      <c r="E150" s="66" t="n">
        <v>82</v>
      </c>
      <c r="F150" s="66" t="n">
        <v>134</v>
      </c>
      <c r="G150" s="66" t="n">
        <v>88</v>
      </c>
      <c r="H150" s="66" t="n">
        <v>107</v>
      </c>
      <c r="I150" s="66" t="n">
        <v>123</v>
      </c>
      <c r="J150" s="66" t="n">
        <v>44</v>
      </c>
      <c r="K150" s="66" t="n">
        <v>185</v>
      </c>
      <c r="L150" s="66" t="n">
        <v>83</v>
      </c>
      <c r="M150" s="66" t="n">
        <v>136</v>
      </c>
      <c r="N150" s="66" t="n">
        <v>165</v>
      </c>
      <c r="O150" s="66" t="n">
        <v>166</v>
      </c>
      <c r="P150" s="66" t="n">
        <v>121</v>
      </c>
    </row>
    <row r="151" ht="15.75" customHeight="1" s="45">
      <c r="A151" s="61" t="n">
        <v>46277</v>
      </c>
      <c r="B151" s="82" t="inlineStr">
        <is>
          <t>Pós-Projeto</t>
        </is>
      </c>
      <c r="C151" s="84" t="inlineStr">
        <is>
          <t>Exames Laboratoriais</t>
        </is>
      </c>
      <c r="D151" s="64" t="n">
        <v>651</v>
      </c>
      <c r="E151" s="64" t="n">
        <v>512</v>
      </c>
      <c r="F151" s="64" t="n">
        <v>335</v>
      </c>
      <c r="G151" s="64" t="n">
        <v>292</v>
      </c>
      <c r="H151" s="64" t="n">
        <v>331</v>
      </c>
      <c r="I151" s="64" t="n">
        <v>598</v>
      </c>
      <c r="J151" s="64" t="n">
        <v>249</v>
      </c>
      <c r="K151" s="64" t="n">
        <v>903</v>
      </c>
      <c r="L151" s="64" t="n">
        <v>411</v>
      </c>
      <c r="M151" s="64" t="n">
        <v>536</v>
      </c>
      <c r="N151" s="64" t="n">
        <v>729</v>
      </c>
      <c r="O151" s="64" t="n">
        <v>363</v>
      </c>
      <c r="P151" s="64" t="n">
        <v>410</v>
      </c>
    </row>
    <row r="152" ht="15.75" customHeight="1" s="45">
      <c r="A152" s="61" t="n">
        <v>46277</v>
      </c>
      <c r="B152" s="82" t="inlineStr">
        <is>
          <t>Pós-Projeto</t>
        </is>
      </c>
      <c r="C152" s="83" t="inlineStr">
        <is>
          <t>Radiografias</t>
        </is>
      </c>
      <c r="D152" s="66" t="n">
        <v>27</v>
      </c>
      <c r="E152" s="66" t="n">
        <v>25</v>
      </c>
      <c r="F152" s="66" t="n">
        <v>15</v>
      </c>
      <c r="G152" s="67" t="n">
        <v>0</v>
      </c>
      <c r="H152" s="66" t="n">
        <v>14</v>
      </c>
      <c r="I152" s="66" t="n">
        <v>21</v>
      </c>
      <c r="J152" s="66" t="n">
        <v>10</v>
      </c>
      <c r="K152" s="66" t="n">
        <v>22</v>
      </c>
      <c r="L152" s="66" t="n">
        <v>8</v>
      </c>
      <c r="M152" s="66" t="n">
        <v>32</v>
      </c>
      <c r="N152" s="66" t="n">
        <v>24</v>
      </c>
      <c r="O152" s="66" t="n">
        <v>26</v>
      </c>
      <c r="P152" s="66" t="n">
        <v>32</v>
      </c>
    </row>
    <row r="153" ht="15.75" customHeight="1" s="45">
      <c r="A153" s="61" t="n">
        <v>46277</v>
      </c>
      <c r="B153" s="82" t="inlineStr">
        <is>
          <t>Pós-Projeto</t>
        </is>
      </c>
      <c r="C153" s="84" t="inlineStr">
        <is>
          <t>Eletrocardiogramas</t>
        </is>
      </c>
      <c r="D153" s="64" t="n">
        <v>4</v>
      </c>
      <c r="E153" s="67" t="n">
        <v>0</v>
      </c>
      <c r="F153" s="67" t="n">
        <v>0</v>
      </c>
      <c r="G153" s="67" t="n">
        <v>0</v>
      </c>
      <c r="H153" s="67" t="n">
        <v>0</v>
      </c>
      <c r="I153" s="67" t="n">
        <v>0</v>
      </c>
      <c r="J153" s="67" t="n">
        <v>0</v>
      </c>
      <c r="K153" s="64" t="n">
        <v>1</v>
      </c>
      <c r="L153" s="67" t="n">
        <v>0</v>
      </c>
      <c r="M153" s="67" t="n">
        <v>0</v>
      </c>
      <c r="N153" s="64" t="n">
        <v>10</v>
      </c>
      <c r="O153" s="67" t="n">
        <v>0</v>
      </c>
      <c r="P153" s="64" t="n">
        <v>4</v>
      </c>
    </row>
    <row r="154" ht="15.75" customHeight="1" s="45">
      <c r="A154" s="61" t="n">
        <v>46277</v>
      </c>
      <c r="B154" s="82" t="inlineStr">
        <is>
          <t>Pós-Projeto</t>
        </is>
      </c>
      <c r="C154" s="85" t="inlineStr">
        <is>
          <t>GAEs Abertas</t>
        </is>
      </c>
      <c r="D154" s="69" t="n">
        <v>187</v>
      </c>
      <c r="E154" s="69" t="n">
        <v>152</v>
      </c>
      <c r="F154" s="69" t="n">
        <v>151</v>
      </c>
      <c r="G154" s="69" t="n">
        <v>143</v>
      </c>
      <c r="H154" s="69" t="n">
        <v>130</v>
      </c>
      <c r="I154" s="69" t="n">
        <v>172</v>
      </c>
      <c r="J154" s="69" t="n">
        <v>114</v>
      </c>
      <c r="K154" s="69" t="n">
        <v>264</v>
      </c>
      <c r="L154" s="69" t="n">
        <v>120</v>
      </c>
      <c r="M154" s="69" t="n">
        <v>195</v>
      </c>
      <c r="N154" s="69" t="n">
        <v>212</v>
      </c>
      <c r="O154" s="69" t="n">
        <v>228</v>
      </c>
      <c r="P154" s="69" t="n">
        <v>221</v>
      </c>
    </row>
    <row r="155" ht="15.75" customHeight="1" s="45">
      <c r="A155" s="61" t="n">
        <v>46277</v>
      </c>
      <c r="B155" s="82" t="inlineStr">
        <is>
          <t>Pós-Projeto</t>
        </is>
      </c>
      <c r="C155" s="85" t="inlineStr">
        <is>
          <t>GAEs Classificadas</t>
        </is>
      </c>
      <c r="D155" s="69" t="n">
        <v>180</v>
      </c>
      <c r="E155" s="69" t="n">
        <v>147</v>
      </c>
      <c r="F155" s="69" t="n">
        <v>142</v>
      </c>
      <c r="G155" s="69" t="n">
        <v>139</v>
      </c>
      <c r="H155" s="69" t="n">
        <v>128</v>
      </c>
      <c r="I155" s="69" t="n">
        <v>161</v>
      </c>
      <c r="J155" s="69" t="n">
        <v>108</v>
      </c>
      <c r="K155" s="69" t="n">
        <v>247</v>
      </c>
      <c r="L155" s="69" t="n">
        <v>105</v>
      </c>
      <c r="M155" s="69" t="n">
        <v>181</v>
      </c>
      <c r="N155" s="69" t="n">
        <v>203</v>
      </c>
      <c r="O155" s="69" t="n">
        <v>222</v>
      </c>
      <c r="P155" s="69" t="n">
        <v>211</v>
      </c>
    </row>
    <row r="156" ht="15.75" customHeight="1" s="45">
      <c r="A156" s="61" t="n">
        <v>46277</v>
      </c>
      <c r="B156" s="82" t="inlineStr">
        <is>
          <t>Pós-Projeto</t>
        </is>
      </c>
      <c r="C156" s="86" t="inlineStr">
        <is>
          <t>Percentual de GAEs abertas classificadas</t>
        </is>
      </c>
      <c r="D156" s="71">
        <f>IFERROR(D155/D154,"-")</f>
        <v/>
      </c>
      <c r="E156" s="71">
        <f>IFERROR(E155/E154,"-")</f>
        <v/>
      </c>
      <c r="F156" s="71">
        <f>IFERROR(F155/F154,"-")</f>
        <v/>
      </c>
      <c r="G156" s="71">
        <f>IFERROR(G155/G154,"-")</f>
        <v/>
      </c>
      <c r="H156" s="71">
        <f>IFERROR(H155/H154,"-")</f>
        <v/>
      </c>
      <c r="I156" s="71">
        <f>IFERROR(I155/I154,"-")</f>
        <v/>
      </c>
      <c r="J156" s="71">
        <f>IFERROR(J155/J154,"-")</f>
        <v/>
      </c>
      <c r="K156" s="71">
        <f>IFERROR(K155/K154,"-")</f>
        <v/>
      </c>
      <c r="L156" s="71">
        <f>IFERROR(L155/L154,"-")</f>
        <v/>
      </c>
      <c r="M156" s="71">
        <f>IFERROR(M155/M154,"-")</f>
        <v/>
      </c>
      <c r="N156" s="71">
        <f>IFERROR(N155/N154,"-")</f>
        <v/>
      </c>
      <c r="O156" s="71">
        <f>IFERROR(O155/O154,"-")</f>
        <v/>
      </c>
      <c r="P156" s="71">
        <f>IFERROR(P155/P154,"-")</f>
        <v/>
      </c>
    </row>
    <row r="157" ht="15.75" customHeight="1" s="45">
      <c r="A157" s="61" t="n">
        <v>46277</v>
      </c>
      <c r="B157" s="82" t="inlineStr">
        <is>
          <t>Pós-Projeto</t>
        </is>
      </c>
      <c r="C157" s="87" t="inlineStr">
        <is>
          <t>Tempo Médio — 🟡 Amarelo (hh:mm)</t>
        </is>
      </c>
      <c r="D157" s="73" t="n">
        <v>0.03403935185185185</v>
      </c>
      <c r="E157" s="73" t="n">
        <v>0.1350925925925926</v>
      </c>
      <c r="F157" s="73" t="n">
        <v>0.007002314814814815</v>
      </c>
      <c r="G157" s="73" t="n">
        <v>0.1216782407407407</v>
      </c>
      <c r="H157" s="73" t="n">
        <v>0.01681712962962963</v>
      </c>
      <c r="I157" s="73" t="n">
        <v>0.0418287037037037</v>
      </c>
      <c r="J157" s="73" t="n">
        <v>0.4367013888888889</v>
      </c>
      <c r="K157" s="73" t="n">
        <v>0.07422453703703703</v>
      </c>
      <c r="L157" s="73" t="n">
        <v>0.02737268518518518</v>
      </c>
      <c r="M157" s="73" t="n">
        <v>0.02912037037037037</v>
      </c>
      <c r="N157" s="73" t="n">
        <v>0.04824074074074074</v>
      </c>
      <c r="O157" s="73" t="n">
        <v>0.03293981481481482</v>
      </c>
      <c r="P157" s="73" t="n">
        <v>0.02652777777777778</v>
      </c>
    </row>
    <row r="158" ht="15.75" customHeight="1" s="45">
      <c r="A158" s="61" t="n">
        <v>46277</v>
      </c>
      <c r="B158" s="82" t="inlineStr">
        <is>
          <t>Pós-Projeto</t>
        </is>
      </c>
      <c r="C158" s="88" t="inlineStr">
        <is>
          <t>Tempo Médio — 🟠 Laranja (hh:mm)</t>
        </is>
      </c>
      <c r="D158" s="75" t="n">
        <v>0.00900462962962963</v>
      </c>
      <c r="E158" s="75" t="n">
        <v>0.00730324074074074</v>
      </c>
      <c r="F158" s="75" t="n">
        <v>0.003020833333333333</v>
      </c>
      <c r="G158" s="75" t="n">
        <v>0.004050925925925926</v>
      </c>
      <c r="H158" s="75" t="n">
        <v>0.005115740740740741</v>
      </c>
      <c r="I158" s="75" t="n">
        <v>0.003344907407407408</v>
      </c>
      <c r="J158" s="75" t="n">
        <v>0.1703703703703704</v>
      </c>
      <c r="K158" s="75" t="n">
        <v>0.02991898148148148</v>
      </c>
      <c r="L158" s="75" t="n">
        <v>0.009976851851851851</v>
      </c>
      <c r="M158" s="75" t="n">
        <v>0.01212962962962963</v>
      </c>
      <c r="N158" s="75" t="n">
        <v>0.01329861111111111</v>
      </c>
      <c r="O158" s="75" t="n">
        <v>0.008819444444444444</v>
      </c>
      <c r="P158" s="75" t="n">
        <v>0.007372685185185185</v>
      </c>
    </row>
    <row r="159" ht="15.75" customHeight="1" s="45">
      <c r="A159" s="76" t="n">
        <v>46277</v>
      </c>
      <c r="B159" s="82" t="inlineStr">
        <is>
          <t>Pós-Projeto</t>
        </is>
      </c>
      <c r="C159" s="91" t="inlineStr">
        <is>
          <t>Tempo Médio — 🟢 Verde   (hh:mm)</t>
        </is>
      </c>
      <c r="D159" s="79" t="n">
        <v>0.05649305555555555</v>
      </c>
      <c r="E159" s="79" t="n">
        <v>0.1893865740740741</v>
      </c>
      <c r="F159" s="79" t="n">
        <v>0.0540625</v>
      </c>
      <c r="G159" s="79" t="n">
        <v>0.1174884259259259</v>
      </c>
      <c r="H159" s="79" t="n">
        <v>0.04446759259259259</v>
      </c>
      <c r="I159" s="79" t="n">
        <v>0.06958333333333333</v>
      </c>
      <c r="J159" s="79" t="n">
        <v>0.1527662037037037</v>
      </c>
      <c r="K159" s="79" t="n">
        <v>0.1093865740740741</v>
      </c>
      <c r="L159" s="79" t="n">
        <v>0.05611111111111111</v>
      </c>
      <c r="M159" s="79" t="n">
        <v>0.07203703703703704</v>
      </c>
      <c r="N159" s="79" t="n">
        <v>0.0840625</v>
      </c>
      <c r="O159" s="79" t="n">
        <v>0.03600694444444445</v>
      </c>
      <c r="P159" s="79" t="n">
        <v>0.07627314814814815</v>
      </c>
    </row>
    <row r="160" ht="15.75" customHeight="1" s="45">
      <c r="A160" s="57" t="n">
        <v>46278</v>
      </c>
      <c r="B160" s="81" t="inlineStr">
        <is>
          <t>Pós-Projeto</t>
        </is>
      </c>
      <c r="C160" s="59" t="inlineStr">
        <is>
          <t>Acolhim. + Atend. Urgência + Atend. UPA</t>
        </is>
      </c>
      <c r="D160" s="60">
        <f>SUM(D161:D163)</f>
        <v/>
      </c>
      <c r="E160" s="60">
        <f>SUM(E161:E163)</f>
        <v/>
      </c>
      <c r="F160" s="60">
        <f>SUM(F161:F163)</f>
        <v/>
      </c>
      <c r="G160" s="60">
        <f>SUM(G161:G163)</f>
        <v/>
      </c>
      <c r="H160" s="60">
        <f>SUM(H161:H163)</f>
        <v/>
      </c>
      <c r="I160" s="60">
        <f>SUM(I161:I163)</f>
        <v/>
      </c>
      <c r="J160" s="60">
        <f>SUM(J161:J163)</f>
        <v/>
      </c>
      <c r="K160" s="60">
        <f>SUM(K161:K163)</f>
        <v/>
      </c>
      <c r="L160" s="60">
        <f>SUM(L161:L163)</f>
        <v/>
      </c>
      <c r="M160" s="60">
        <f>SUM(M161:M163)</f>
        <v/>
      </c>
      <c r="N160" s="60">
        <f>SUM(N161:N163)</f>
        <v/>
      </c>
      <c r="O160" s="60">
        <f>SUM(O161:O163)</f>
        <v/>
      </c>
      <c r="P160" s="60">
        <f>SUM(P161:P163)</f>
        <v/>
      </c>
    </row>
    <row r="161" ht="15.75" customHeight="1" s="45">
      <c r="A161" s="61" t="n">
        <v>46278</v>
      </c>
      <c r="B161" s="82" t="inlineStr">
        <is>
          <t>Pós-Projeto</t>
        </is>
      </c>
      <c r="C161" s="83" t="inlineStr">
        <is>
          <t>Acolhimento c/ Classif. de Risco</t>
        </is>
      </c>
      <c r="D161" s="64" t="n">
        <v>82</v>
      </c>
      <c r="E161" s="64" t="n">
        <v>138</v>
      </c>
      <c r="F161" s="64" t="n">
        <v>129</v>
      </c>
      <c r="G161" s="64" t="n">
        <v>129</v>
      </c>
      <c r="H161" s="64" t="n">
        <v>130</v>
      </c>
      <c r="I161" s="64" t="n">
        <v>194</v>
      </c>
      <c r="J161" s="64" t="n">
        <v>114</v>
      </c>
      <c r="K161" s="64" t="n">
        <v>226</v>
      </c>
      <c r="L161" s="64" t="n">
        <v>108</v>
      </c>
      <c r="M161" s="64" t="n">
        <v>196</v>
      </c>
      <c r="N161" s="64" t="n">
        <v>153</v>
      </c>
      <c r="O161" s="64" t="n">
        <v>212</v>
      </c>
      <c r="P161" s="64" t="n">
        <v>217</v>
      </c>
    </row>
    <row r="162" ht="15.75" customHeight="1" s="45">
      <c r="A162" s="61" t="n">
        <v>46278</v>
      </c>
      <c r="B162" s="82" t="inlineStr">
        <is>
          <t>Pós-Projeto</t>
        </is>
      </c>
      <c r="C162" s="84" t="inlineStr">
        <is>
          <t>Atend. Urgência Obs. ≤ 24h</t>
        </is>
      </c>
      <c r="D162" s="66" t="n">
        <v>22</v>
      </c>
      <c r="E162" s="66" t="n">
        <v>45</v>
      </c>
      <c r="F162" s="66" t="n">
        <v>18</v>
      </c>
      <c r="G162" s="66" t="n">
        <v>22</v>
      </c>
      <c r="H162" s="66" t="n">
        <v>9</v>
      </c>
      <c r="I162" s="66" t="n">
        <v>21</v>
      </c>
      <c r="J162" s="66" t="n">
        <v>7</v>
      </c>
      <c r="K162" s="66" t="n">
        <v>54</v>
      </c>
      <c r="L162" s="66" t="n">
        <v>35</v>
      </c>
      <c r="M162" s="66" t="n">
        <v>27</v>
      </c>
      <c r="N162" s="66" t="n">
        <v>40</v>
      </c>
      <c r="O162" s="66" t="n">
        <v>11</v>
      </c>
      <c r="P162" s="66" t="n">
        <v>13</v>
      </c>
    </row>
    <row r="163" ht="15.75" customHeight="1" s="45">
      <c r="A163" s="61" t="n">
        <v>46278</v>
      </c>
      <c r="B163" s="82" t="inlineStr">
        <is>
          <t>Pós-Projeto</t>
        </is>
      </c>
      <c r="C163" s="83" t="inlineStr">
        <is>
          <t>Atend. Médico em UPA</t>
        </is>
      </c>
      <c r="D163" s="64" t="n">
        <v>48</v>
      </c>
      <c r="E163" s="64" t="n">
        <v>97</v>
      </c>
      <c r="F163" s="64" t="n">
        <v>103</v>
      </c>
      <c r="G163" s="64" t="n">
        <v>63</v>
      </c>
      <c r="H163" s="64" t="n">
        <v>112</v>
      </c>
      <c r="I163" s="64" t="n">
        <v>149</v>
      </c>
      <c r="J163" s="64" t="n">
        <v>131</v>
      </c>
      <c r="K163" s="64" t="n">
        <v>167</v>
      </c>
      <c r="L163" s="64" t="n">
        <v>87</v>
      </c>
      <c r="M163" s="64" t="n">
        <v>116</v>
      </c>
      <c r="N163" s="64" t="n">
        <v>117</v>
      </c>
      <c r="O163" s="64" t="n">
        <v>113</v>
      </c>
      <c r="P163" s="64" t="n">
        <v>138</v>
      </c>
    </row>
    <row r="164" ht="15.75" customHeight="1" s="45">
      <c r="A164" s="61" t="n">
        <v>46278</v>
      </c>
      <c r="B164" s="82" t="inlineStr">
        <is>
          <t>Pós-Projeto</t>
        </is>
      </c>
      <c r="C164" s="84" t="inlineStr">
        <is>
          <t>Exames Laboratoriais</t>
        </is>
      </c>
      <c r="D164" s="66" t="n">
        <v>362</v>
      </c>
      <c r="E164" s="66" t="n">
        <v>394</v>
      </c>
      <c r="F164" s="66" t="n">
        <v>509</v>
      </c>
      <c r="G164" s="66" t="n">
        <v>201</v>
      </c>
      <c r="H164" s="66" t="n">
        <v>332</v>
      </c>
      <c r="I164" s="66" t="n">
        <v>535</v>
      </c>
      <c r="J164" s="66" t="n">
        <v>278</v>
      </c>
      <c r="K164" s="66" t="n">
        <v>900</v>
      </c>
      <c r="L164" s="66" t="n">
        <v>438</v>
      </c>
      <c r="M164" s="66" t="n">
        <v>695</v>
      </c>
      <c r="N164" s="66" t="n">
        <v>645</v>
      </c>
      <c r="O164" s="66" t="n">
        <v>507</v>
      </c>
      <c r="P164" s="66" t="n">
        <v>494</v>
      </c>
    </row>
    <row r="165" ht="15.75" customHeight="1" s="45">
      <c r="A165" s="61" t="n">
        <v>46278</v>
      </c>
      <c r="B165" s="82" t="inlineStr">
        <is>
          <t>Pós-Projeto</t>
        </is>
      </c>
      <c r="C165" s="83" t="inlineStr">
        <is>
          <t>Radiografias</t>
        </is>
      </c>
      <c r="D165" s="64" t="n">
        <v>7</v>
      </c>
      <c r="E165" s="64" t="n">
        <v>17</v>
      </c>
      <c r="F165" s="64" t="n">
        <v>16</v>
      </c>
      <c r="G165" s="67" t="n">
        <v>0</v>
      </c>
      <c r="H165" s="64" t="n">
        <v>10</v>
      </c>
      <c r="I165" s="64" t="n">
        <v>19</v>
      </c>
      <c r="J165" s="64" t="n">
        <v>9</v>
      </c>
      <c r="K165" s="64" t="n">
        <v>45</v>
      </c>
      <c r="L165" s="64" t="n">
        <v>5</v>
      </c>
      <c r="M165" s="64" t="n">
        <v>28</v>
      </c>
      <c r="N165" s="64" t="n">
        <v>17</v>
      </c>
      <c r="O165" s="64" t="n">
        <v>32</v>
      </c>
      <c r="P165" s="64" t="n">
        <v>42</v>
      </c>
    </row>
    <row r="166" ht="15.75" customHeight="1" s="45">
      <c r="A166" s="61" t="n">
        <v>46278</v>
      </c>
      <c r="B166" s="82" t="inlineStr">
        <is>
          <t>Pós-Projeto</t>
        </is>
      </c>
      <c r="C166" s="84" t="inlineStr">
        <is>
          <t>Eletrocardiogramas</t>
        </is>
      </c>
      <c r="D166" s="67" t="n">
        <v>0</v>
      </c>
      <c r="E166" s="67" t="n">
        <v>0</v>
      </c>
      <c r="F166" s="67" t="n">
        <v>0</v>
      </c>
      <c r="G166" s="66" t="n">
        <v>1</v>
      </c>
      <c r="H166" s="67" t="n">
        <v>0</v>
      </c>
      <c r="I166" s="67" t="n">
        <v>0</v>
      </c>
      <c r="J166" s="67" t="n">
        <v>0</v>
      </c>
      <c r="K166" s="66" t="n">
        <v>1</v>
      </c>
      <c r="L166" s="67" t="n">
        <v>0</v>
      </c>
      <c r="M166" s="67" t="n">
        <v>0</v>
      </c>
      <c r="N166" s="66" t="n">
        <v>12</v>
      </c>
      <c r="O166" s="67" t="n">
        <v>0</v>
      </c>
      <c r="P166" s="66" t="n">
        <v>1</v>
      </c>
    </row>
    <row r="167" ht="15.75" customHeight="1" s="45">
      <c r="A167" s="61" t="n">
        <v>46278</v>
      </c>
      <c r="B167" s="82" t="inlineStr">
        <is>
          <t>Pós-Projeto</t>
        </is>
      </c>
      <c r="C167" s="85" t="inlineStr">
        <is>
          <t>GAEs Abertas</t>
        </is>
      </c>
      <c r="D167" s="69" t="n">
        <v>84</v>
      </c>
      <c r="E167" s="69" t="n">
        <v>141</v>
      </c>
      <c r="F167" s="69" t="n">
        <v>134</v>
      </c>
      <c r="G167" s="69" t="n">
        <v>137</v>
      </c>
      <c r="H167" s="69" t="n">
        <v>136</v>
      </c>
      <c r="I167" s="69" t="n">
        <v>203</v>
      </c>
      <c r="J167" s="69" t="n">
        <v>116</v>
      </c>
      <c r="K167" s="69" t="n">
        <v>247</v>
      </c>
      <c r="L167" s="69" t="n">
        <v>112</v>
      </c>
      <c r="M167" s="69" t="n">
        <v>201</v>
      </c>
      <c r="N167" s="69" t="n">
        <v>157</v>
      </c>
      <c r="O167" s="69" t="n">
        <v>217</v>
      </c>
      <c r="P167" s="69" t="n">
        <v>221</v>
      </c>
    </row>
    <row r="168" ht="15.75" customHeight="1" s="45">
      <c r="A168" s="61" t="n">
        <v>46278</v>
      </c>
      <c r="B168" s="82" t="inlineStr">
        <is>
          <t>Pós-Projeto</t>
        </is>
      </c>
      <c r="C168" s="85" t="inlineStr">
        <is>
          <t>GAEs Classificadas</t>
        </is>
      </c>
      <c r="D168" s="69" t="n">
        <v>81</v>
      </c>
      <c r="E168" s="69" t="n">
        <v>137</v>
      </c>
      <c r="F168" s="69" t="n">
        <v>131</v>
      </c>
      <c r="G168" s="69" t="n">
        <v>130</v>
      </c>
      <c r="H168" s="69" t="n">
        <v>130</v>
      </c>
      <c r="I168" s="69" t="n">
        <v>191</v>
      </c>
      <c r="J168" s="69" t="n">
        <v>114</v>
      </c>
      <c r="K168" s="69" t="n">
        <v>227</v>
      </c>
      <c r="L168" s="69" t="n">
        <v>108</v>
      </c>
      <c r="M168" s="69" t="n">
        <v>199</v>
      </c>
      <c r="N168" s="69" t="n">
        <v>154</v>
      </c>
      <c r="O168" s="69" t="n">
        <v>213</v>
      </c>
      <c r="P168" s="69" t="n">
        <v>219</v>
      </c>
    </row>
    <row r="169" ht="15.75" customHeight="1" s="45">
      <c r="A169" s="61" t="n">
        <v>46278</v>
      </c>
      <c r="B169" s="82" t="inlineStr">
        <is>
          <t>Pós-Projeto</t>
        </is>
      </c>
      <c r="C169" s="86" t="inlineStr">
        <is>
          <t>Percentual de GAEs abertas classificadas</t>
        </is>
      </c>
      <c r="D169" s="71">
        <f>IFERROR(D168/D167,"-")</f>
        <v/>
      </c>
      <c r="E169" s="71">
        <f>IFERROR(E168/E167,"-")</f>
        <v/>
      </c>
      <c r="F169" s="71">
        <f>IFERROR(F168/F167,"-")</f>
        <v/>
      </c>
      <c r="G169" s="71">
        <f>IFERROR(G168/G167,"-")</f>
        <v/>
      </c>
      <c r="H169" s="71">
        <f>IFERROR(H168/H167,"-")</f>
        <v/>
      </c>
      <c r="I169" s="71">
        <f>IFERROR(I168/I167,"-")</f>
        <v/>
      </c>
      <c r="J169" s="71">
        <f>IFERROR(J168/J167,"-")</f>
        <v/>
      </c>
      <c r="K169" s="71">
        <f>IFERROR(K168/K167,"-")</f>
        <v/>
      </c>
      <c r="L169" s="71">
        <f>IFERROR(L168/L167,"-")</f>
        <v/>
      </c>
      <c r="M169" s="71">
        <f>IFERROR(M168/M167,"-")</f>
        <v/>
      </c>
      <c r="N169" s="71">
        <f>IFERROR(N168/N167,"-")</f>
        <v/>
      </c>
      <c r="O169" s="71">
        <f>IFERROR(O168/O167,"-")</f>
        <v/>
      </c>
      <c r="P169" s="71">
        <f>IFERROR(P168/P167,"-")</f>
        <v/>
      </c>
    </row>
    <row r="170" ht="15.75" customHeight="1" s="45">
      <c r="A170" s="61" t="n">
        <v>46278</v>
      </c>
      <c r="B170" s="82" t="inlineStr">
        <is>
          <t>Pós-Projeto</t>
        </is>
      </c>
      <c r="C170" s="87" t="inlineStr">
        <is>
          <t>Tempo Médio — 🟡 Amarelo (hh:mm)</t>
        </is>
      </c>
      <c r="D170" s="73" t="n">
        <v>0.0634837962962963</v>
      </c>
      <c r="E170" s="73" t="n">
        <v>0.06438657407407407</v>
      </c>
      <c r="F170" s="73" t="n">
        <v>0.06275462962962963</v>
      </c>
      <c r="G170" s="73" t="n">
        <v>0.06818287037037037</v>
      </c>
      <c r="H170" s="73" t="n">
        <v>0.02252314814814815</v>
      </c>
      <c r="I170" s="73" t="n">
        <v>0.03256944444444444</v>
      </c>
      <c r="J170" s="73" t="n">
        <v>0.08578703703703704</v>
      </c>
      <c r="K170" s="73" t="n">
        <v>0.08809027777777778</v>
      </c>
      <c r="L170" s="73" t="n">
        <v>0.0528125</v>
      </c>
      <c r="M170" s="73" t="n">
        <v>0.0578125</v>
      </c>
      <c r="N170" s="73" t="n">
        <v>0.07916666666666666</v>
      </c>
      <c r="O170" s="73" t="n">
        <v>0.03216435185185185</v>
      </c>
      <c r="P170" s="73" t="n">
        <v>0.02035879629629629</v>
      </c>
    </row>
    <row r="171" ht="15.75" customHeight="1" s="45">
      <c r="A171" s="61" t="n">
        <v>46278</v>
      </c>
      <c r="B171" s="82" t="inlineStr">
        <is>
          <t>Pós-Projeto</t>
        </is>
      </c>
      <c r="C171" s="88" t="inlineStr">
        <is>
          <t>Tempo Médio — 🟠 Laranja (hh:mm)</t>
        </is>
      </c>
      <c r="D171" s="75" t="n">
        <v>0.08003472222222222</v>
      </c>
      <c r="E171" s="75" t="n">
        <v>0.01159722222222222</v>
      </c>
      <c r="F171" s="75" t="n">
        <v>0.006400462962962963</v>
      </c>
      <c r="G171" s="75" t="n">
        <v>0.003472222222222222</v>
      </c>
      <c r="H171" s="75" t="n">
        <v>0.004791666666666666</v>
      </c>
      <c r="I171" s="75" t="n">
        <v>0.00375</v>
      </c>
      <c r="J171" s="75" t="n">
        <v>0.01081018518518518</v>
      </c>
      <c r="K171" s="75" t="n">
        <v>0.03136574074074074</v>
      </c>
      <c r="L171" s="75" t="n">
        <v>0.008067129629629629</v>
      </c>
      <c r="M171" s="75" t="n">
        <v>0.0122337962962963</v>
      </c>
      <c r="N171" s="75" t="n">
        <v>0.01686342592592593</v>
      </c>
      <c r="O171" s="75" t="n">
        <v>0.009189814814814816</v>
      </c>
      <c r="P171" s="75" t="n">
        <v>0.003622685185185185</v>
      </c>
    </row>
    <row r="172" ht="15.75" customHeight="1" s="45">
      <c r="A172" s="76" t="n">
        <v>46278</v>
      </c>
      <c r="B172" s="82" t="inlineStr">
        <is>
          <t>Pós-Projeto</t>
        </is>
      </c>
      <c r="C172" s="91" t="inlineStr">
        <is>
          <t>Tempo Médio — 🟢 Verde   (hh:mm)</t>
        </is>
      </c>
      <c r="D172" s="79" t="n">
        <v>0.2890972222222222</v>
      </c>
      <c r="E172" s="79" t="n">
        <v>0.1632175925925926</v>
      </c>
      <c r="F172" s="79" t="n">
        <v>0.07237268518518518</v>
      </c>
      <c r="G172" s="79" t="n">
        <v>0.1343402777777778</v>
      </c>
      <c r="H172" s="79" t="n">
        <v>0.0888425925925926</v>
      </c>
      <c r="I172" s="79" t="n">
        <v>0.08679398148148149</v>
      </c>
      <c r="J172" s="79" t="n">
        <v>0.1542476851851852</v>
      </c>
      <c r="K172" s="79" t="n">
        <v>0.1288541666666667</v>
      </c>
      <c r="L172" s="79" t="n">
        <v>0.09149305555555555</v>
      </c>
      <c r="M172" s="79" t="n">
        <v>0.09961805555555556</v>
      </c>
      <c r="N172" s="79" t="n">
        <v>0.1444907407407408</v>
      </c>
      <c r="O172" s="79" t="n">
        <v>0.08824074074074074</v>
      </c>
      <c r="P172" s="79" t="n">
        <v>0.08076388888888889</v>
      </c>
    </row>
    <row r="173" ht="15.75" customHeight="1" s="45">
      <c r="A173" s="57" t="n">
        <v>46279</v>
      </c>
      <c r="B173" s="81" t="inlineStr">
        <is>
          <t>Pós-Projeto</t>
        </is>
      </c>
      <c r="C173" s="59" t="inlineStr">
        <is>
          <t>Acolhim. + Atend. Urgência + Atend. UPA</t>
        </is>
      </c>
      <c r="D173" s="60">
        <f>SUM(D174:D176)</f>
        <v/>
      </c>
      <c r="E173" s="60">
        <f>SUM(E174:E176)</f>
        <v/>
      </c>
      <c r="F173" s="60">
        <f>SUM(F174:F176)</f>
        <v/>
      </c>
      <c r="G173" s="60">
        <f>SUM(G174:G176)</f>
        <v/>
      </c>
      <c r="H173" s="60">
        <f>SUM(H174:H176)</f>
        <v/>
      </c>
      <c r="I173" s="60">
        <f>SUM(I174:I176)</f>
        <v/>
      </c>
      <c r="J173" s="60">
        <f>SUM(J174:J176)</f>
        <v/>
      </c>
      <c r="K173" s="60">
        <f>SUM(K174:K176)</f>
        <v/>
      </c>
      <c r="L173" s="60">
        <f>SUM(L174:L176)</f>
        <v/>
      </c>
      <c r="M173" s="60">
        <f>SUM(M174:M176)</f>
        <v/>
      </c>
      <c r="N173" s="60">
        <f>SUM(N174:N176)</f>
        <v/>
      </c>
      <c r="O173" s="60">
        <f>SUM(O174:O176)</f>
        <v/>
      </c>
      <c r="P173" s="60">
        <f>SUM(P174:P176)</f>
        <v/>
      </c>
    </row>
    <row r="174" ht="15.75" customHeight="1" s="45">
      <c r="A174" s="61" t="n">
        <v>46279</v>
      </c>
      <c r="B174" s="82" t="inlineStr">
        <is>
          <t>Pós-Projeto</t>
        </is>
      </c>
      <c r="C174" s="83" t="inlineStr">
        <is>
          <t>Acolhimento c/ Classif. de Risco</t>
        </is>
      </c>
      <c r="D174" s="66" t="n">
        <v>242</v>
      </c>
      <c r="E174" s="66" t="n">
        <v>190</v>
      </c>
      <c r="F174" s="66" t="n">
        <v>215</v>
      </c>
      <c r="G174" s="66" t="n">
        <v>201</v>
      </c>
      <c r="H174" s="66" t="n">
        <v>185</v>
      </c>
      <c r="I174" s="66" t="n">
        <v>229</v>
      </c>
      <c r="J174" s="66" t="n">
        <v>148</v>
      </c>
      <c r="K174" s="66" t="n">
        <v>321</v>
      </c>
      <c r="L174" s="66" t="n">
        <v>153</v>
      </c>
      <c r="M174" s="66" t="n">
        <v>294</v>
      </c>
      <c r="N174" s="66" t="n">
        <v>233</v>
      </c>
      <c r="O174" s="66" t="n">
        <v>298</v>
      </c>
      <c r="P174" s="66" t="n">
        <v>286</v>
      </c>
    </row>
    <row r="175" ht="15.75" customHeight="1" s="45">
      <c r="A175" s="61" t="n">
        <v>46279</v>
      </c>
      <c r="B175" s="62" t="inlineStr">
        <is>
          <t>Pós-Projeto</t>
        </is>
      </c>
      <c r="C175" s="84" t="inlineStr">
        <is>
          <t>Atend. Urgência Obs. ≤ 24h</t>
        </is>
      </c>
      <c r="D175" s="64" t="n">
        <v>22</v>
      </c>
      <c r="E175" s="64" t="n">
        <v>26</v>
      </c>
      <c r="F175" s="64" t="n">
        <v>15</v>
      </c>
      <c r="G175" s="64" t="n">
        <v>16</v>
      </c>
      <c r="H175" s="64" t="n">
        <v>14</v>
      </c>
      <c r="I175" s="64" t="n">
        <v>26</v>
      </c>
      <c r="J175" s="64" t="n">
        <v>5</v>
      </c>
      <c r="K175" s="64" t="n">
        <v>48</v>
      </c>
      <c r="L175" s="64" t="n">
        <v>29</v>
      </c>
      <c r="M175" s="64" t="n">
        <v>33</v>
      </c>
      <c r="N175" s="64" t="n">
        <v>22</v>
      </c>
      <c r="O175" s="64" t="n">
        <v>7</v>
      </c>
      <c r="P175" s="64" t="n">
        <v>32</v>
      </c>
    </row>
    <row r="176" ht="15.75" customHeight="1" s="45">
      <c r="A176" s="61" t="n">
        <v>46279</v>
      </c>
      <c r="B176" s="82" t="inlineStr">
        <is>
          <t>Pós-Projeto</t>
        </is>
      </c>
      <c r="C176" s="83" t="inlineStr">
        <is>
          <t>Atend. Médico em UPA</t>
        </is>
      </c>
      <c r="D176" s="66" t="n">
        <v>188</v>
      </c>
      <c r="E176" s="66" t="n">
        <v>110</v>
      </c>
      <c r="F176" s="66" t="n">
        <v>171</v>
      </c>
      <c r="G176" s="66" t="n">
        <v>119</v>
      </c>
      <c r="H176" s="66" t="n">
        <v>121</v>
      </c>
      <c r="I176" s="66" t="n">
        <v>189</v>
      </c>
      <c r="J176" s="66" t="n">
        <v>120</v>
      </c>
      <c r="K176" s="66" t="n">
        <v>251</v>
      </c>
      <c r="L176" s="66" t="n">
        <v>95</v>
      </c>
      <c r="M176" s="66" t="n">
        <v>200</v>
      </c>
      <c r="N176" s="66" t="n">
        <v>162</v>
      </c>
      <c r="O176" s="66" t="n">
        <v>213</v>
      </c>
      <c r="P176" s="66" t="n">
        <v>144</v>
      </c>
    </row>
    <row r="177" ht="15.75" customHeight="1" s="45">
      <c r="A177" s="61" t="n">
        <v>46279</v>
      </c>
      <c r="B177" s="82" t="inlineStr">
        <is>
          <t>Pós-Projeto</t>
        </is>
      </c>
      <c r="C177" s="84" t="inlineStr">
        <is>
          <t>Exames Laboratoriais</t>
        </is>
      </c>
      <c r="D177" s="64" t="n">
        <v>764</v>
      </c>
      <c r="E177" s="64" t="n">
        <v>521</v>
      </c>
      <c r="F177" s="64" t="n">
        <v>615</v>
      </c>
      <c r="G177" s="64" t="n">
        <v>460</v>
      </c>
      <c r="H177" s="64" t="n">
        <v>373</v>
      </c>
      <c r="I177" s="64" t="n">
        <v>866</v>
      </c>
      <c r="J177" s="64" t="n">
        <v>457</v>
      </c>
      <c r="K177" s="64" t="n">
        <v>886</v>
      </c>
      <c r="L177" s="64" t="n">
        <v>547</v>
      </c>
      <c r="M177" s="64" t="n">
        <v>697</v>
      </c>
      <c r="N177" s="64" t="n">
        <v>834</v>
      </c>
      <c r="O177" s="64" t="n">
        <v>403</v>
      </c>
      <c r="P177" s="64" t="n">
        <v>442</v>
      </c>
    </row>
    <row r="178" ht="15.75" customHeight="1" s="45">
      <c r="A178" s="61" t="n">
        <v>46279</v>
      </c>
      <c r="B178" s="82" t="inlineStr">
        <is>
          <t>Pós-Projeto</t>
        </is>
      </c>
      <c r="C178" s="83" t="inlineStr">
        <is>
          <t>Radiografias</t>
        </is>
      </c>
      <c r="D178" s="66" t="n">
        <v>21</v>
      </c>
      <c r="E178" s="66" t="n">
        <v>16</v>
      </c>
      <c r="F178" s="67" t="n">
        <v>0</v>
      </c>
      <c r="G178" s="67" t="n">
        <v>0</v>
      </c>
      <c r="H178" s="66" t="n">
        <v>31</v>
      </c>
      <c r="I178" s="66" t="n">
        <v>38</v>
      </c>
      <c r="J178" s="66" t="n">
        <v>15</v>
      </c>
      <c r="K178" s="66" t="n">
        <v>34</v>
      </c>
      <c r="L178" s="66" t="n">
        <v>10</v>
      </c>
      <c r="M178" s="66" t="n">
        <v>28</v>
      </c>
      <c r="N178" s="66" t="n">
        <v>34</v>
      </c>
      <c r="O178" s="66" t="n">
        <v>39</v>
      </c>
      <c r="P178" s="66" t="n">
        <v>46</v>
      </c>
    </row>
    <row r="179" ht="15.75" customHeight="1" s="45">
      <c r="A179" s="61" t="n">
        <v>46279</v>
      </c>
      <c r="B179" s="82" t="inlineStr">
        <is>
          <t>Pós-Projeto</t>
        </is>
      </c>
      <c r="C179" s="84" t="inlineStr">
        <is>
          <t>Eletrocardiogramas</t>
        </is>
      </c>
      <c r="D179" s="67" t="n">
        <v>0</v>
      </c>
      <c r="E179" s="64" t="n">
        <v>2</v>
      </c>
      <c r="F179" s="64" t="n">
        <v>17</v>
      </c>
      <c r="G179" s="64" t="n">
        <v>2</v>
      </c>
      <c r="H179" s="67" t="n">
        <v>0</v>
      </c>
      <c r="I179" s="67" t="n">
        <v>0</v>
      </c>
      <c r="J179" s="67" t="n">
        <v>0</v>
      </c>
      <c r="K179" s="64" t="n">
        <v>1</v>
      </c>
      <c r="L179" s="67" t="n">
        <v>0</v>
      </c>
      <c r="M179" s="67" t="n">
        <v>0</v>
      </c>
      <c r="N179" s="64" t="n">
        <v>9</v>
      </c>
      <c r="O179" s="64" t="n">
        <v>4</v>
      </c>
      <c r="P179" s="64" t="n">
        <v>18</v>
      </c>
    </row>
    <row r="180" ht="15.75" customHeight="1" s="45">
      <c r="A180" s="61" t="n">
        <v>46279</v>
      </c>
      <c r="B180" s="82" t="inlineStr">
        <is>
          <t>Pós-Projeto</t>
        </is>
      </c>
      <c r="C180" s="85" t="inlineStr">
        <is>
          <t>GAEs Abertas</t>
        </is>
      </c>
      <c r="D180" s="69" t="n">
        <v>302</v>
      </c>
      <c r="E180" s="69" t="n">
        <v>210</v>
      </c>
      <c r="F180" s="69" t="n">
        <v>217</v>
      </c>
      <c r="G180" s="69" t="n">
        <v>214</v>
      </c>
      <c r="H180" s="69" t="n">
        <v>202</v>
      </c>
      <c r="I180" s="69" t="n">
        <v>239</v>
      </c>
      <c r="J180" s="69" t="n">
        <v>152</v>
      </c>
      <c r="K180" s="69" t="n">
        <v>352</v>
      </c>
      <c r="L180" s="69" t="n">
        <v>160</v>
      </c>
      <c r="M180" s="69" t="n">
        <v>311</v>
      </c>
      <c r="N180" s="69" t="n">
        <v>242</v>
      </c>
      <c r="O180" s="69" t="n">
        <v>310</v>
      </c>
      <c r="P180" s="69" t="n">
        <v>300</v>
      </c>
    </row>
    <row r="181" ht="15.75" customHeight="1" s="45">
      <c r="A181" s="61" t="n">
        <v>46279</v>
      </c>
      <c r="B181" s="82" t="inlineStr">
        <is>
          <t>Pós-Projeto</t>
        </is>
      </c>
      <c r="C181" s="85" t="inlineStr">
        <is>
          <t>GAEs Classificadas</t>
        </is>
      </c>
      <c r="D181" s="69" t="n">
        <v>247</v>
      </c>
      <c r="E181" s="69" t="n">
        <v>192</v>
      </c>
      <c r="F181" s="69" t="n">
        <v>213</v>
      </c>
      <c r="G181" s="69" t="n">
        <v>200</v>
      </c>
      <c r="H181" s="69" t="n">
        <v>185</v>
      </c>
      <c r="I181" s="69" t="n">
        <v>230</v>
      </c>
      <c r="J181" s="69" t="n">
        <v>148</v>
      </c>
      <c r="K181" s="69" t="n">
        <v>325</v>
      </c>
      <c r="L181" s="69" t="n">
        <v>154</v>
      </c>
      <c r="M181" s="69" t="n">
        <v>290</v>
      </c>
      <c r="N181" s="69" t="n">
        <v>234</v>
      </c>
      <c r="O181" s="69" t="n">
        <v>297</v>
      </c>
      <c r="P181" s="69" t="n">
        <v>287</v>
      </c>
    </row>
    <row r="182" ht="15.75" customHeight="1" s="45">
      <c r="A182" s="61" t="n">
        <v>46279</v>
      </c>
      <c r="B182" s="82" t="inlineStr">
        <is>
          <t>Pós-Projeto</t>
        </is>
      </c>
      <c r="C182" s="86" t="inlineStr">
        <is>
          <t>Percentual de GAEs abertas classificadas</t>
        </is>
      </c>
      <c r="D182" s="71">
        <f>IFERROR(D181/D180,"-")</f>
        <v/>
      </c>
      <c r="E182" s="71">
        <f>IFERROR(E181/E180,"-")</f>
        <v/>
      </c>
      <c r="F182" s="71">
        <f>IFERROR(F181/F180,"-")</f>
        <v/>
      </c>
      <c r="G182" s="71">
        <f>IFERROR(G181/G180,"-")</f>
        <v/>
      </c>
      <c r="H182" s="71">
        <f>IFERROR(H181/H180,"-")</f>
        <v/>
      </c>
      <c r="I182" s="71">
        <f>IFERROR(I181/I180,"-")</f>
        <v/>
      </c>
      <c r="J182" s="71">
        <f>IFERROR(J181/J180,"-")</f>
        <v/>
      </c>
      <c r="K182" s="71">
        <f>IFERROR(K181/K180,"-")</f>
        <v/>
      </c>
      <c r="L182" s="71">
        <f>IFERROR(L181/L180,"-")</f>
        <v/>
      </c>
      <c r="M182" s="71">
        <f>IFERROR(M181/M180,"-")</f>
        <v/>
      </c>
      <c r="N182" s="71">
        <f>IFERROR(N181/N180,"-")</f>
        <v/>
      </c>
      <c r="O182" s="71">
        <f>IFERROR(O181/O180,"-")</f>
        <v/>
      </c>
      <c r="P182" s="71">
        <f>IFERROR(P181/P180,"-")</f>
        <v/>
      </c>
    </row>
    <row r="183" ht="15.75" customHeight="1" s="45">
      <c r="A183" s="61" t="n">
        <v>46279</v>
      </c>
      <c r="B183" s="82" t="inlineStr">
        <is>
          <t>Pós-Projeto</t>
        </is>
      </c>
      <c r="C183" s="87" t="inlineStr">
        <is>
          <t>Tempo Médio — 🟡 Amarelo (hh:mm)</t>
        </is>
      </c>
      <c r="D183" s="73" t="n">
        <v>0.06270833333333334</v>
      </c>
      <c r="E183" s="73" t="n">
        <v>0.1215972222222222</v>
      </c>
      <c r="F183" s="73" t="n">
        <v>0.04314814814814815</v>
      </c>
      <c r="G183" s="73" t="n">
        <v>0.05829861111111111</v>
      </c>
      <c r="H183" s="73" t="n">
        <v>0.01665509259259259</v>
      </c>
      <c r="I183" s="73" t="n">
        <v>0.04024305555555555</v>
      </c>
      <c r="J183" s="73" t="n">
        <v>0.02237268518518519</v>
      </c>
      <c r="K183" s="73" t="n">
        <v>0.1018865740740741</v>
      </c>
      <c r="L183" s="73" t="n">
        <v>0.09730324074074075</v>
      </c>
      <c r="M183" s="73" t="n">
        <v>0.04332175925925926</v>
      </c>
      <c r="N183" s="73" t="n">
        <v>0.08880787037037037</v>
      </c>
      <c r="O183" s="73" t="n">
        <v>0.02945601851851852</v>
      </c>
      <c r="P183" s="73" t="n">
        <v>0.04252314814814815</v>
      </c>
    </row>
    <row r="184" ht="15.75" customHeight="1" s="45">
      <c r="A184" s="61" t="n">
        <v>46279</v>
      </c>
      <c r="B184" s="82" t="inlineStr">
        <is>
          <t>Pós-Projeto</t>
        </is>
      </c>
      <c r="C184" s="88" t="inlineStr">
        <is>
          <t>Tempo Médio — 🟠 Laranja (hh:mm)</t>
        </is>
      </c>
      <c r="D184" s="75" t="n">
        <v>0.009479166666666667</v>
      </c>
      <c r="E184" s="75" t="n">
        <v>0.01971064814814815</v>
      </c>
      <c r="F184" s="75" t="n">
        <v>0.003530092592592592</v>
      </c>
      <c r="G184" s="75" t="n">
        <v>0.004409722222222222</v>
      </c>
      <c r="H184" s="75" t="n">
        <v>0.00449074074074074</v>
      </c>
      <c r="I184" s="75" t="n">
        <v>0.005462962962962963</v>
      </c>
      <c r="J184" s="75" t="n">
        <v>0.01173611111111111</v>
      </c>
      <c r="K184" s="75" t="n">
        <v>0.01158564814814815</v>
      </c>
      <c r="L184" s="75" t="n">
        <v>0.01769675925925926</v>
      </c>
      <c r="M184" s="75" t="n">
        <v>0.01034722222222222</v>
      </c>
      <c r="N184" s="75" t="n">
        <v>0.009525462962962963</v>
      </c>
      <c r="O184" s="75" t="n">
        <v>0.006643518518518518</v>
      </c>
      <c r="P184" s="75" t="n">
        <v>0.007326388888888889</v>
      </c>
    </row>
    <row r="185" ht="15.75" customHeight="1" s="45">
      <c r="A185" s="76" t="n">
        <v>46279</v>
      </c>
      <c r="B185" s="82" t="inlineStr">
        <is>
          <t>Pós-Projeto</t>
        </is>
      </c>
      <c r="C185" s="91" t="inlineStr">
        <is>
          <t>Tempo Médio — 🟢 Verde   (hh:mm)</t>
        </is>
      </c>
      <c r="D185" s="79" t="n">
        <v>0.08274305555555556</v>
      </c>
      <c r="E185" s="79" t="n">
        <v>0.1913078703703704</v>
      </c>
      <c r="F185" s="79" t="n">
        <v>0.07150462962962963</v>
      </c>
      <c r="G185" s="79" t="n">
        <v>0.1158796296296296</v>
      </c>
      <c r="H185" s="79" t="n">
        <v>0.09015046296296296</v>
      </c>
      <c r="I185" s="79" t="n">
        <v>0.06482638888888889</v>
      </c>
      <c r="J185" s="79" t="n">
        <v>0.03785879629629629</v>
      </c>
      <c r="K185" s="79" t="n">
        <v>0.08395833333333333</v>
      </c>
      <c r="L185" s="79" t="n">
        <v>0.08641203703703704</v>
      </c>
      <c r="M185" s="79" t="n">
        <v>0.06587962962962964</v>
      </c>
      <c r="N185" s="79" t="n">
        <v>0.08751157407407407</v>
      </c>
      <c r="O185" s="79" t="n">
        <v>0.05353009259259259</v>
      </c>
      <c r="P185" s="79" t="n">
        <v>0.0569212962962963</v>
      </c>
    </row>
    <row r="186" ht="15.75" customHeight="1" s="45">
      <c r="A186" s="57" t="n">
        <v>46280</v>
      </c>
      <c r="B186" s="81" t="inlineStr">
        <is>
          <t>Pós-Projeto</t>
        </is>
      </c>
      <c r="C186" s="59" t="inlineStr">
        <is>
          <t>Acolhim. + Atend. Urgência + Atend. UPA</t>
        </is>
      </c>
      <c r="D186" s="60">
        <f>SUM(D187:D189)</f>
        <v/>
      </c>
      <c r="E186" s="60">
        <f>SUM(E187:E189)</f>
        <v/>
      </c>
      <c r="F186" s="60">
        <f>SUM(F187:F189)</f>
        <v/>
      </c>
      <c r="G186" s="60">
        <f>SUM(G187:G189)</f>
        <v/>
      </c>
      <c r="H186" s="60">
        <f>SUM(H187:H189)</f>
        <v/>
      </c>
      <c r="I186" s="60">
        <f>SUM(I187:I189)</f>
        <v/>
      </c>
      <c r="J186" s="60">
        <f>SUM(J187:J189)</f>
        <v/>
      </c>
      <c r="K186" s="60">
        <f>SUM(K187:K189)</f>
        <v/>
      </c>
      <c r="L186" s="60">
        <f>SUM(L187:L189)</f>
        <v/>
      </c>
      <c r="M186" s="60">
        <f>SUM(M187:M189)</f>
        <v/>
      </c>
      <c r="N186" s="60">
        <f>SUM(N187:N189)</f>
        <v/>
      </c>
      <c r="O186" s="60">
        <f>SUM(O187:O189)</f>
        <v/>
      </c>
      <c r="P186" s="60">
        <f>SUM(P187:P189)</f>
        <v/>
      </c>
    </row>
    <row r="187" ht="15.75" customHeight="1" s="45">
      <c r="A187" s="61" t="n">
        <v>46280</v>
      </c>
      <c r="B187" s="82" t="inlineStr">
        <is>
          <t>Pós-Projeto</t>
        </is>
      </c>
      <c r="C187" s="83" t="inlineStr">
        <is>
          <t>Acolhimento c/ Classif. de Risco</t>
        </is>
      </c>
      <c r="D187" s="64" t="n">
        <v>266</v>
      </c>
      <c r="E187" s="64" t="n">
        <v>209</v>
      </c>
      <c r="F187" s="64" t="n">
        <v>176</v>
      </c>
      <c r="G187" s="64" t="n">
        <v>163</v>
      </c>
      <c r="H187" s="64" t="n">
        <v>165</v>
      </c>
      <c r="I187" s="64" t="n">
        <v>209</v>
      </c>
      <c r="J187" s="64" t="n">
        <v>132</v>
      </c>
      <c r="K187" s="64" t="n">
        <v>291</v>
      </c>
      <c r="L187" s="64" t="n">
        <v>153</v>
      </c>
      <c r="M187" s="64" t="n">
        <v>250</v>
      </c>
      <c r="N187" s="64" t="n">
        <v>210</v>
      </c>
      <c r="O187" s="64" t="n">
        <v>261</v>
      </c>
      <c r="P187" s="64" t="n">
        <v>243</v>
      </c>
    </row>
    <row r="188" ht="15.75" customHeight="1" s="45">
      <c r="A188" s="61" t="n">
        <v>46280</v>
      </c>
      <c r="B188" s="82" t="inlineStr">
        <is>
          <t>Pós-Projeto</t>
        </is>
      </c>
      <c r="C188" s="84" t="inlineStr">
        <is>
          <t>Atend. Urgência Obs. ≤ 24h</t>
        </is>
      </c>
      <c r="D188" s="66" t="n">
        <v>32</v>
      </c>
      <c r="E188" s="66" t="n">
        <v>31</v>
      </c>
      <c r="F188" s="66" t="n">
        <v>16</v>
      </c>
      <c r="G188" s="66" t="n">
        <v>12</v>
      </c>
      <c r="H188" s="66" t="n">
        <v>13</v>
      </c>
      <c r="I188" s="66" t="n">
        <v>28</v>
      </c>
      <c r="J188" s="66" t="n">
        <v>1</v>
      </c>
      <c r="K188" s="66" t="n">
        <v>50</v>
      </c>
      <c r="L188" s="66" t="n">
        <v>36</v>
      </c>
      <c r="M188" s="66" t="n">
        <v>63</v>
      </c>
      <c r="N188" s="66" t="n">
        <v>38</v>
      </c>
      <c r="O188" s="66" t="n">
        <v>16</v>
      </c>
      <c r="P188" s="66" t="n">
        <v>18</v>
      </c>
    </row>
    <row r="189" ht="15.75" customHeight="1" s="45">
      <c r="A189" s="61" t="n">
        <v>46280</v>
      </c>
      <c r="B189" s="82" t="inlineStr">
        <is>
          <t>Pós-Projeto</t>
        </is>
      </c>
      <c r="C189" s="83" t="inlineStr">
        <is>
          <t>Atend. Médico em UPA</t>
        </is>
      </c>
      <c r="D189" s="64" t="n">
        <v>219</v>
      </c>
      <c r="E189" s="64" t="n">
        <v>162</v>
      </c>
      <c r="F189" s="64" t="n">
        <v>134</v>
      </c>
      <c r="G189" s="64" t="n">
        <v>92</v>
      </c>
      <c r="H189" s="64" t="n">
        <v>128</v>
      </c>
      <c r="I189" s="64" t="n">
        <v>188</v>
      </c>
      <c r="J189" s="64" t="n">
        <v>113</v>
      </c>
      <c r="K189" s="64" t="n">
        <v>257</v>
      </c>
      <c r="L189" s="64" t="n">
        <v>120</v>
      </c>
      <c r="M189" s="64" t="n">
        <v>201</v>
      </c>
      <c r="N189" s="64" t="n">
        <v>177</v>
      </c>
      <c r="O189" s="64" t="n">
        <v>196</v>
      </c>
      <c r="P189" s="64" t="n">
        <v>138</v>
      </c>
    </row>
    <row r="190" ht="15.75" customHeight="1" s="45">
      <c r="A190" s="61" t="n">
        <v>46280</v>
      </c>
      <c r="B190" s="82" t="inlineStr">
        <is>
          <t>Pós-Projeto</t>
        </is>
      </c>
      <c r="C190" s="84" t="inlineStr">
        <is>
          <t>Exames Laboratoriais</t>
        </is>
      </c>
      <c r="D190" s="66" t="n">
        <v>611</v>
      </c>
      <c r="E190" s="66" t="n">
        <v>471</v>
      </c>
      <c r="F190" s="66" t="n">
        <v>701</v>
      </c>
      <c r="G190" s="66" t="n">
        <v>113</v>
      </c>
      <c r="H190" s="66" t="n">
        <v>428</v>
      </c>
      <c r="I190" s="66" t="n">
        <v>650</v>
      </c>
      <c r="J190" s="66" t="n">
        <v>310</v>
      </c>
      <c r="K190" s="66" t="n">
        <v>1140</v>
      </c>
      <c r="L190" s="66" t="n">
        <v>660</v>
      </c>
      <c r="M190" s="66" t="n">
        <v>852</v>
      </c>
      <c r="N190" s="66" t="n">
        <v>547</v>
      </c>
      <c r="O190" s="66" t="n">
        <v>551</v>
      </c>
      <c r="P190" s="66" t="n">
        <v>440</v>
      </c>
    </row>
    <row r="191" ht="15.75" customHeight="1" s="45">
      <c r="A191" s="61" t="n">
        <v>46280</v>
      </c>
      <c r="B191" s="82" t="inlineStr">
        <is>
          <t>Pós-Projeto</t>
        </is>
      </c>
      <c r="C191" s="83" t="inlineStr">
        <is>
          <t>Radiografias</t>
        </is>
      </c>
      <c r="D191" s="64" t="n">
        <v>23</v>
      </c>
      <c r="E191" s="64" t="n">
        <v>11</v>
      </c>
      <c r="F191" s="64" t="n">
        <v>31</v>
      </c>
      <c r="G191" s="67" t="n">
        <v>0</v>
      </c>
      <c r="H191" s="64" t="n">
        <v>17</v>
      </c>
      <c r="I191" s="64" t="n">
        <v>22</v>
      </c>
      <c r="J191" s="64" t="n">
        <v>13</v>
      </c>
      <c r="K191" s="64" t="n">
        <v>65</v>
      </c>
      <c r="L191" s="64" t="n">
        <v>21</v>
      </c>
      <c r="M191" s="64" t="n">
        <v>37</v>
      </c>
      <c r="N191" s="64" t="n">
        <v>22</v>
      </c>
      <c r="O191" s="64" t="n">
        <v>27</v>
      </c>
      <c r="P191" s="64" t="n">
        <v>40</v>
      </c>
    </row>
    <row r="192" ht="15.75" customHeight="1" s="45">
      <c r="A192" s="61" t="n">
        <v>46280</v>
      </c>
      <c r="B192" s="82" t="inlineStr">
        <is>
          <t>Pós-Projeto</t>
        </is>
      </c>
      <c r="C192" s="84" t="inlineStr">
        <is>
          <t>Eletrocardiogramas</t>
        </is>
      </c>
      <c r="D192" s="67" t="n">
        <v>0</v>
      </c>
      <c r="E192" s="67" t="n">
        <v>0</v>
      </c>
      <c r="F192" s="66" t="n">
        <v>24</v>
      </c>
      <c r="G192" s="67" t="n">
        <v>0</v>
      </c>
      <c r="H192" s="67" t="n">
        <v>0</v>
      </c>
      <c r="I192" s="67" t="n">
        <v>0</v>
      </c>
      <c r="J192" s="67" t="n">
        <v>0</v>
      </c>
      <c r="K192" s="66" t="n">
        <v>3</v>
      </c>
      <c r="L192" s="67" t="n">
        <v>0</v>
      </c>
      <c r="M192" s="67" t="n">
        <v>0</v>
      </c>
      <c r="N192" s="66" t="n">
        <v>4</v>
      </c>
      <c r="O192" s="67" t="n">
        <v>0</v>
      </c>
      <c r="P192" s="66" t="n">
        <v>1</v>
      </c>
    </row>
    <row r="193" ht="15.75" customHeight="1" s="45">
      <c r="A193" s="61" t="n">
        <v>46280</v>
      </c>
      <c r="B193" s="82" t="inlineStr">
        <is>
          <t>Pós-Projeto</t>
        </is>
      </c>
      <c r="C193" s="85" t="inlineStr">
        <is>
          <t>GAEs Abertas</t>
        </is>
      </c>
      <c r="D193" s="69" t="n">
        <v>276</v>
      </c>
      <c r="E193" s="69" t="n">
        <v>211</v>
      </c>
      <c r="F193" s="69" t="n">
        <v>180</v>
      </c>
      <c r="G193" s="69" t="n">
        <v>170</v>
      </c>
      <c r="H193" s="69" t="n">
        <v>167</v>
      </c>
      <c r="I193" s="69" t="n">
        <v>219</v>
      </c>
      <c r="J193" s="69" t="n">
        <v>134</v>
      </c>
      <c r="K193" s="69" t="n">
        <v>304</v>
      </c>
      <c r="L193" s="69" t="n">
        <v>160</v>
      </c>
      <c r="M193" s="69" t="n">
        <v>272</v>
      </c>
      <c r="N193" s="69" t="n">
        <v>217</v>
      </c>
      <c r="O193" s="69" t="n">
        <v>274</v>
      </c>
      <c r="P193" s="69" t="n">
        <v>245</v>
      </c>
    </row>
    <row r="194" ht="15.75" customHeight="1" s="45">
      <c r="A194" s="61" t="n">
        <v>46280</v>
      </c>
      <c r="B194" s="82" t="inlineStr">
        <is>
          <t>Pós-Projeto</t>
        </is>
      </c>
      <c r="C194" s="85" t="inlineStr">
        <is>
          <t>GAEs Classificadas</t>
        </is>
      </c>
      <c r="D194" s="69" t="n">
        <v>259</v>
      </c>
      <c r="E194" s="69" t="n">
        <v>208</v>
      </c>
      <c r="F194" s="69" t="n">
        <v>176</v>
      </c>
      <c r="G194" s="69" t="n">
        <v>164</v>
      </c>
      <c r="H194" s="69" t="n">
        <v>163</v>
      </c>
      <c r="I194" s="69" t="n">
        <v>209</v>
      </c>
      <c r="J194" s="69" t="n">
        <v>133</v>
      </c>
      <c r="K194" s="69" t="n">
        <v>284</v>
      </c>
      <c r="L194" s="69" t="n">
        <v>154</v>
      </c>
      <c r="M194" s="69" t="n">
        <v>253</v>
      </c>
      <c r="N194" s="69" t="n">
        <v>208</v>
      </c>
      <c r="O194" s="69" t="n">
        <v>261</v>
      </c>
      <c r="P194" s="69" t="n">
        <v>240</v>
      </c>
    </row>
    <row r="195" ht="15.75" customHeight="1" s="45">
      <c r="A195" s="61" t="n">
        <v>46280</v>
      </c>
      <c r="B195" s="82" t="inlineStr">
        <is>
          <t>Pós-Projeto</t>
        </is>
      </c>
      <c r="C195" s="86" t="inlineStr">
        <is>
          <t>Percentual de GAEs abertas classificadas</t>
        </is>
      </c>
      <c r="D195" s="71">
        <f>IFERROR(D194/D193,"-")</f>
        <v/>
      </c>
      <c r="E195" s="71">
        <f>IFERROR(E194/E193,"-")</f>
        <v/>
      </c>
      <c r="F195" s="71">
        <f>IFERROR(F194/F193,"-")</f>
        <v/>
      </c>
      <c r="G195" s="71">
        <f>IFERROR(G194/G193,"-")</f>
        <v/>
      </c>
      <c r="H195" s="71">
        <f>IFERROR(H194/H193,"-")</f>
        <v/>
      </c>
      <c r="I195" s="71">
        <f>IFERROR(I194/I193,"-")</f>
        <v/>
      </c>
      <c r="J195" s="71">
        <f>IFERROR(J194/J193,"-")</f>
        <v/>
      </c>
      <c r="K195" s="71">
        <f>IFERROR(K194/K193,"-")</f>
        <v/>
      </c>
      <c r="L195" s="71">
        <f>IFERROR(L194/L193,"-")</f>
        <v/>
      </c>
      <c r="M195" s="71">
        <f>IFERROR(M194/M193,"-")</f>
        <v/>
      </c>
      <c r="N195" s="71">
        <f>IFERROR(N194/N193,"-")</f>
        <v/>
      </c>
      <c r="O195" s="71">
        <f>IFERROR(O194/O193,"-")</f>
        <v/>
      </c>
      <c r="P195" s="71">
        <f>IFERROR(P194/P193,"-")</f>
        <v/>
      </c>
    </row>
    <row r="196" ht="15.75" customHeight="1" s="45">
      <c r="A196" s="61" t="n">
        <v>46280</v>
      </c>
      <c r="B196" s="82" t="inlineStr">
        <is>
          <t>Pós-Projeto</t>
        </is>
      </c>
      <c r="C196" s="87" t="inlineStr">
        <is>
          <t>Tempo Médio — 🟡 Amarelo (hh:mm)</t>
        </is>
      </c>
      <c r="D196" s="73" t="n">
        <v>0.09814814814814815</v>
      </c>
      <c r="E196" s="73" t="n">
        <v>0.02325231481481482</v>
      </c>
      <c r="F196" s="73" t="n">
        <v>0.03417824074074074</v>
      </c>
      <c r="G196" s="73" t="n">
        <v>0.04909722222222222</v>
      </c>
      <c r="H196" s="73" t="n">
        <v>0.1071064814814815</v>
      </c>
      <c r="I196" s="73" t="n">
        <v>0.0337037037037037</v>
      </c>
      <c r="J196" s="73" t="n">
        <v>0.03209490740740741</v>
      </c>
      <c r="K196" s="73" t="n">
        <v>0.0574537037037037</v>
      </c>
      <c r="L196" s="73" t="n">
        <v>0.0980324074074074</v>
      </c>
      <c r="M196" s="73" t="n">
        <v>0.05557870370370371</v>
      </c>
      <c r="N196" s="73" t="n">
        <v>0.07685185185185185</v>
      </c>
      <c r="O196" s="73" t="n">
        <v>0.06033564814814815</v>
      </c>
      <c r="P196" s="73" t="n">
        <v>0.03116898148148148</v>
      </c>
    </row>
    <row r="197" ht="15.75" customHeight="1" s="45">
      <c r="A197" s="61" t="n">
        <v>46280</v>
      </c>
      <c r="B197" s="82" t="inlineStr">
        <is>
          <t>Pós-Projeto</t>
        </is>
      </c>
      <c r="C197" s="88" t="inlineStr">
        <is>
          <t>Tempo Médio — 🟠 Laranja (hh:mm)</t>
        </is>
      </c>
      <c r="D197" s="75" t="n">
        <v>0.005636574074074074</v>
      </c>
      <c r="E197" s="75" t="n">
        <v>0.005127314814814815</v>
      </c>
      <c r="F197" s="75" t="n">
        <v>0.004016203703703704</v>
      </c>
      <c r="G197" s="75" t="n">
        <v>0.00832175925925926</v>
      </c>
      <c r="H197" s="75" t="n">
        <v>0.005324074074074074</v>
      </c>
      <c r="I197" s="75" t="n">
        <v>0.004791666666666666</v>
      </c>
      <c r="J197" s="75" t="n">
        <v>0.008831018518518519</v>
      </c>
      <c r="K197" s="75" t="n">
        <v>0.01164351851851852</v>
      </c>
      <c r="L197" s="75" t="n">
        <v>0.01783564814814815</v>
      </c>
      <c r="M197" s="75" t="n">
        <v>0.01054398148148148</v>
      </c>
      <c r="N197" s="75" t="n">
        <v>0.01418981481481481</v>
      </c>
      <c r="O197" s="75" t="n">
        <v>0.006990740740740741</v>
      </c>
      <c r="P197" s="75" t="n">
        <v>0.008599537037037037</v>
      </c>
    </row>
    <row r="198" ht="15.75" customHeight="1" s="45">
      <c r="A198" s="76" t="n">
        <v>46280</v>
      </c>
      <c r="B198" s="82" t="inlineStr">
        <is>
          <t>Pós-Projeto</t>
        </is>
      </c>
      <c r="C198" s="91" t="inlineStr">
        <is>
          <t>Tempo Médio — 🟢 Verde   (hh:mm)</t>
        </is>
      </c>
      <c r="D198" s="79" t="n">
        <v>0.07228009259259259</v>
      </c>
      <c r="E198" s="79" t="n">
        <v>0.1105324074074074</v>
      </c>
      <c r="F198" s="79" t="n">
        <v>0.1191898148148148</v>
      </c>
      <c r="G198" s="79" t="n">
        <v>0.09921296296296296</v>
      </c>
      <c r="H198" s="79" t="n">
        <v>0.1084259259259259</v>
      </c>
      <c r="I198" s="79" t="n">
        <v>0.08217592592592593</v>
      </c>
      <c r="J198" s="79" t="n">
        <v>0.04376157407407407</v>
      </c>
      <c r="K198" s="79" t="n">
        <v>0.07939814814814815</v>
      </c>
      <c r="L198" s="79" t="n">
        <v>0.1378587962962963</v>
      </c>
      <c r="M198" s="79" t="n">
        <v>0.08471064814814815</v>
      </c>
      <c r="N198" s="79" t="n">
        <v>0.09041666666666667</v>
      </c>
      <c r="O198" s="79" t="n">
        <v>0.1568518518518519</v>
      </c>
      <c r="P198" s="79" t="n">
        <v>0.05099537037037037</v>
      </c>
    </row>
    <row r="199" ht="15.75" customHeight="1" s="45">
      <c r="A199" s="57" t="n">
        <v>46281</v>
      </c>
      <c r="B199" s="81" t="inlineStr">
        <is>
          <t>Pós-Projeto</t>
        </is>
      </c>
      <c r="C199" s="59" t="inlineStr">
        <is>
          <t>Acolhim. + Atend. Urgência + Atend. UPA</t>
        </is>
      </c>
      <c r="D199" s="60">
        <f>SUM(D200:D202)</f>
        <v/>
      </c>
      <c r="E199" s="60">
        <f>SUM(E200:E202)</f>
        <v/>
      </c>
      <c r="F199" s="60">
        <f>SUM(F200:F202)</f>
        <v/>
      </c>
      <c r="G199" s="60">
        <f>SUM(G200:G202)</f>
        <v/>
      </c>
      <c r="H199" s="60">
        <f>SUM(H200:H202)</f>
        <v/>
      </c>
      <c r="I199" s="60">
        <f>SUM(I200:I202)</f>
        <v/>
      </c>
      <c r="J199" s="60">
        <f>SUM(J200:J202)</f>
        <v/>
      </c>
      <c r="K199" s="60">
        <f>SUM(K200:K202)</f>
        <v/>
      </c>
      <c r="L199" s="60">
        <f>SUM(L200:L202)</f>
        <v/>
      </c>
      <c r="M199" s="60">
        <f>SUM(M200:M202)</f>
        <v/>
      </c>
      <c r="N199" s="60">
        <f>SUM(N200:N202)</f>
        <v/>
      </c>
      <c r="O199" s="60">
        <f>SUM(O200:O202)</f>
        <v/>
      </c>
      <c r="P199" s="60">
        <f>SUM(P200:P202)</f>
        <v/>
      </c>
    </row>
    <row r="200" ht="15.75" customHeight="1" s="45">
      <c r="A200" s="61" t="n">
        <v>46281</v>
      </c>
      <c r="B200" s="82" t="inlineStr">
        <is>
          <t>Pós-Projeto</t>
        </is>
      </c>
      <c r="C200" s="83" t="inlineStr">
        <is>
          <t>Acolhimento c/ Classif. de Risco</t>
        </is>
      </c>
      <c r="D200" s="66" t="n">
        <v>219</v>
      </c>
      <c r="E200" s="66" t="n">
        <v>178</v>
      </c>
      <c r="F200" s="66" t="n">
        <v>161</v>
      </c>
      <c r="G200" s="66" t="n">
        <v>196</v>
      </c>
      <c r="H200" s="66" t="n">
        <v>136</v>
      </c>
      <c r="I200" s="66" t="n">
        <v>193</v>
      </c>
      <c r="J200" s="66" t="n">
        <v>135</v>
      </c>
      <c r="K200" s="66" t="n">
        <v>283</v>
      </c>
      <c r="L200" s="66" t="n">
        <v>143</v>
      </c>
      <c r="M200" s="66" t="n">
        <v>233</v>
      </c>
      <c r="N200" s="66" t="n">
        <v>201</v>
      </c>
      <c r="O200" s="66" t="n">
        <v>284</v>
      </c>
      <c r="P200" s="66" t="n">
        <v>250</v>
      </c>
    </row>
    <row r="201" ht="15.75" customHeight="1" s="45">
      <c r="A201" s="61" t="n">
        <v>46281</v>
      </c>
      <c r="B201" s="82" t="inlineStr">
        <is>
          <t>Pós-Projeto</t>
        </is>
      </c>
      <c r="C201" s="84" t="inlineStr">
        <is>
          <t>Atend. Urgência Obs. ≤ 24h</t>
        </is>
      </c>
      <c r="D201" s="64" t="n">
        <v>29</v>
      </c>
      <c r="E201" s="64" t="n">
        <v>24</v>
      </c>
      <c r="F201" s="64" t="n">
        <v>25</v>
      </c>
      <c r="G201" s="64" t="n">
        <v>18</v>
      </c>
      <c r="H201" s="64" t="n">
        <v>17</v>
      </c>
      <c r="I201" s="64" t="n">
        <v>25</v>
      </c>
      <c r="J201" s="64" t="n">
        <v>4</v>
      </c>
      <c r="K201" s="64" t="n">
        <v>38</v>
      </c>
      <c r="L201" s="64" t="n">
        <v>29</v>
      </c>
      <c r="M201" s="64" t="n">
        <v>50</v>
      </c>
      <c r="N201" s="64" t="n">
        <v>30</v>
      </c>
      <c r="O201" s="64" t="n">
        <v>23</v>
      </c>
      <c r="P201" s="64" t="n">
        <v>40</v>
      </c>
    </row>
    <row r="202" ht="15.75" customHeight="1" s="45">
      <c r="A202" s="61" t="n">
        <v>46281</v>
      </c>
      <c r="B202" s="82" t="inlineStr">
        <is>
          <t>Pós-Projeto</t>
        </is>
      </c>
      <c r="C202" s="83" t="inlineStr">
        <is>
          <t>Atend. Médico em UPA</t>
        </is>
      </c>
      <c r="D202" s="66" t="n">
        <v>195</v>
      </c>
      <c r="E202" s="66" t="n">
        <v>115</v>
      </c>
      <c r="F202" s="66" t="n">
        <v>126</v>
      </c>
      <c r="G202" s="66" t="n">
        <v>120</v>
      </c>
      <c r="H202" s="66" t="n">
        <v>102</v>
      </c>
      <c r="I202" s="66" t="n">
        <v>191</v>
      </c>
      <c r="J202" s="66" t="n">
        <v>90</v>
      </c>
      <c r="K202" s="66" t="n">
        <v>241</v>
      </c>
      <c r="L202" s="66" t="n">
        <v>117</v>
      </c>
      <c r="M202" s="66" t="n">
        <v>195</v>
      </c>
      <c r="N202" s="66" t="n">
        <v>168</v>
      </c>
      <c r="O202" s="66" t="n">
        <v>206</v>
      </c>
      <c r="P202" s="66" t="n">
        <v>176</v>
      </c>
    </row>
    <row r="203" ht="15.75" customHeight="1" s="45">
      <c r="A203" s="61" t="n">
        <v>46281</v>
      </c>
      <c r="B203" s="82" t="inlineStr">
        <is>
          <t>Pós-Projeto</t>
        </is>
      </c>
      <c r="C203" s="84" t="inlineStr">
        <is>
          <t>Exames Laboratoriais</t>
        </is>
      </c>
      <c r="D203" s="64" t="n">
        <v>580</v>
      </c>
      <c r="E203" s="64" t="n">
        <v>502</v>
      </c>
      <c r="F203" s="64" t="n">
        <v>661</v>
      </c>
      <c r="G203" s="64" t="n">
        <v>366</v>
      </c>
      <c r="H203" s="64" t="n">
        <v>382</v>
      </c>
      <c r="I203" s="64" t="n">
        <v>641</v>
      </c>
      <c r="J203" s="64" t="n">
        <v>404</v>
      </c>
      <c r="K203" s="64" t="n">
        <v>764</v>
      </c>
      <c r="L203" s="64" t="n">
        <v>634</v>
      </c>
      <c r="M203" s="64" t="n">
        <v>726</v>
      </c>
      <c r="N203" s="64" t="n">
        <v>624</v>
      </c>
      <c r="O203" s="64" t="n">
        <v>378</v>
      </c>
      <c r="P203" s="64" t="n">
        <v>567</v>
      </c>
    </row>
    <row r="204" ht="15.75" customHeight="1" s="45">
      <c r="A204" s="61" t="n">
        <v>46281</v>
      </c>
      <c r="B204" s="82" t="inlineStr">
        <is>
          <t>Pós-Projeto</t>
        </is>
      </c>
      <c r="C204" s="83" t="inlineStr">
        <is>
          <t>Radiografias</t>
        </is>
      </c>
      <c r="D204" s="66" t="n">
        <v>30</v>
      </c>
      <c r="E204" s="66" t="n">
        <v>22</v>
      </c>
      <c r="F204" s="66" t="n">
        <v>1</v>
      </c>
      <c r="G204" s="67" t="n">
        <v>0</v>
      </c>
      <c r="H204" s="66" t="n">
        <v>14</v>
      </c>
      <c r="I204" s="66" t="n">
        <v>34</v>
      </c>
      <c r="J204" s="66" t="n">
        <v>18</v>
      </c>
      <c r="K204" s="66" t="n">
        <v>47</v>
      </c>
      <c r="L204" s="66" t="n">
        <v>8</v>
      </c>
      <c r="M204" s="66" t="n">
        <v>30</v>
      </c>
      <c r="N204" s="66" t="n">
        <v>22</v>
      </c>
      <c r="O204" s="66" t="n">
        <v>37</v>
      </c>
      <c r="P204" s="66" t="n">
        <v>31</v>
      </c>
    </row>
    <row r="205" ht="15.75" customHeight="1" s="45">
      <c r="A205" s="61" t="n">
        <v>46281</v>
      </c>
      <c r="B205" s="82" t="inlineStr">
        <is>
          <t>Pós-Projeto</t>
        </is>
      </c>
      <c r="C205" s="84" t="inlineStr">
        <is>
          <t>Eletrocardiogramas</t>
        </is>
      </c>
      <c r="D205" s="64" t="n">
        <v>11</v>
      </c>
      <c r="E205" s="64" t="n">
        <v>4</v>
      </c>
      <c r="F205" s="67" t="n">
        <v>0</v>
      </c>
      <c r="G205" s="64" t="n">
        <v>5</v>
      </c>
      <c r="H205" s="67" t="n">
        <v>0</v>
      </c>
      <c r="I205" s="67" t="n">
        <v>0</v>
      </c>
      <c r="J205" s="67" t="n">
        <v>0</v>
      </c>
      <c r="K205" s="64" t="n">
        <v>3</v>
      </c>
      <c r="L205" s="67" t="n">
        <v>0</v>
      </c>
      <c r="M205" s="64" t="n">
        <v>17</v>
      </c>
      <c r="N205" s="64" t="n">
        <v>8</v>
      </c>
      <c r="O205" s="67" t="n">
        <v>0</v>
      </c>
      <c r="P205" s="64" t="n">
        <v>6</v>
      </c>
    </row>
    <row r="206" ht="15.75" customHeight="1" s="45">
      <c r="A206" s="61" t="n">
        <v>46281</v>
      </c>
      <c r="B206" s="82" t="inlineStr">
        <is>
          <t>Pós-Projeto</t>
        </is>
      </c>
      <c r="C206" s="85" t="inlineStr">
        <is>
          <t>GAEs Abertas</t>
        </is>
      </c>
      <c r="D206" s="69" t="n">
        <v>248</v>
      </c>
      <c r="E206" s="69" t="n">
        <v>182</v>
      </c>
      <c r="F206" s="69" t="n">
        <v>165</v>
      </c>
      <c r="G206" s="69" t="n">
        <v>210</v>
      </c>
      <c r="H206" s="69" t="n">
        <v>141</v>
      </c>
      <c r="I206" s="69" t="n">
        <v>204</v>
      </c>
      <c r="J206" s="69" t="n">
        <v>138</v>
      </c>
      <c r="K206" s="69" t="n">
        <v>311</v>
      </c>
      <c r="L206" s="69" t="n">
        <v>145</v>
      </c>
      <c r="M206" s="69" t="n">
        <v>238</v>
      </c>
      <c r="N206" s="69" t="n">
        <v>207</v>
      </c>
      <c r="O206" s="69" t="n">
        <v>296</v>
      </c>
      <c r="P206" s="69" t="n">
        <v>259</v>
      </c>
    </row>
    <row r="207" ht="15.75" customHeight="1" s="45">
      <c r="A207" s="61" t="n">
        <v>46281</v>
      </c>
      <c r="B207" s="82" t="inlineStr">
        <is>
          <t>Pós-Projeto</t>
        </is>
      </c>
      <c r="C207" s="85" t="inlineStr">
        <is>
          <t>GAEs Classificadas</t>
        </is>
      </c>
      <c r="D207" s="69" t="n">
        <v>222</v>
      </c>
      <c r="E207" s="69" t="n">
        <v>177</v>
      </c>
      <c r="F207" s="69" t="n">
        <v>161</v>
      </c>
      <c r="G207" s="69" t="n">
        <v>194</v>
      </c>
      <c r="H207" s="69" t="n">
        <v>138</v>
      </c>
      <c r="I207" s="69" t="n">
        <v>193</v>
      </c>
      <c r="J207" s="69" t="n">
        <v>136</v>
      </c>
      <c r="K207" s="69" t="n">
        <v>286</v>
      </c>
      <c r="L207" s="69" t="n">
        <v>141</v>
      </c>
      <c r="M207" s="69" t="n">
        <v>230</v>
      </c>
      <c r="N207" s="69" t="n">
        <v>203</v>
      </c>
      <c r="O207" s="69" t="n">
        <v>282</v>
      </c>
      <c r="P207" s="69" t="n">
        <v>250</v>
      </c>
    </row>
    <row r="208" ht="15.75" customHeight="1" s="45">
      <c r="A208" s="61" t="n">
        <v>46281</v>
      </c>
      <c r="B208" s="82" t="inlineStr">
        <is>
          <t>Pós-Projeto</t>
        </is>
      </c>
      <c r="C208" s="86" t="inlineStr">
        <is>
          <t>Percentual de GAEs abertas classificadas</t>
        </is>
      </c>
      <c r="D208" s="71">
        <f>IFERROR(D207/D206,"-")</f>
        <v/>
      </c>
      <c r="E208" s="71">
        <f>IFERROR(E207/E206,"-")</f>
        <v/>
      </c>
      <c r="F208" s="71">
        <f>IFERROR(F207/F206,"-")</f>
        <v/>
      </c>
      <c r="G208" s="71">
        <f>IFERROR(G207/G206,"-")</f>
        <v/>
      </c>
      <c r="H208" s="71">
        <f>IFERROR(H207/H206,"-")</f>
        <v/>
      </c>
      <c r="I208" s="71">
        <f>IFERROR(I207/I206,"-")</f>
        <v/>
      </c>
      <c r="J208" s="71">
        <f>IFERROR(J207/J206,"-")</f>
        <v/>
      </c>
      <c r="K208" s="71">
        <f>IFERROR(K207/K206,"-")</f>
        <v/>
      </c>
      <c r="L208" s="71">
        <f>IFERROR(L207/L206,"-")</f>
        <v/>
      </c>
      <c r="M208" s="71">
        <f>IFERROR(M207/M206,"-")</f>
        <v/>
      </c>
      <c r="N208" s="71">
        <f>IFERROR(N207/N206,"-")</f>
        <v/>
      </c>
      <c r="O208" s="71">
        <f>IFERROR(O207/O206,"-")</f>
        <v/>
      </c>
      <c r="P208" s="71">
        <f>IFERROR(P207/P206,"-")</f>
        <v/>
      </c>
    </row>
    <row r="209" ht="15.75" customHeight="1" s="45">
      <c r="A209" s="61" t="n">
        <v>46281</v>
      </c>
      <c r="B209" s="82" t="inlineStr">
        <is>
          <t>Pós-Projeto</t>
        </is>
      </c>
      <c r="C209" s="87" t="inlineStr">
        <is>
          <t>Tempo Médio — 🟡 Amarelo (hh:mm)</t>
        </is>
      </c>
      <c r="D209" s="73" t="n">
        <v>0.03979166666666667</v>
      </c>
      <c r="E209" s="73" t="n">
        <v>0.1184606481481481</v>
      </c>
      <c r="F209" s="73" t="n">
        <v>0.03192129629629629</v>
      </c>
      <c r="G209" s="73" t="n">
        <v>0.06356481481481481</v>
      </c>
      <c r="H209" s="73" t="n">
        <v>0.05888888888888889</v>
      </c>
      <c r="I209" s="73" t="n">
        <v>0.05667824074074074</v>
      </c>
      <c r="J209" s="73" t="n">
        <v>0.03392361111111111</v>
      </c>
      <c r="K209" s="73" t="n">
        <v>0.04591435185185185</v>
      </c>
      <c r="L209" s="73" t="n">
        <v>0.05464120370370371</v>
      </c>
      <c r="M209" s="73" t="n">
        <v>0.03230324074074074</v>
      </c>
      <c r="N209" s="73" t="n">
        <v>0.04322916666666667</v>
      </c>
      <c r="O209" s="73" t="n">
        <v>0.04358796296296296</v>
      </c>
      <c r="P209" s="73" t="n">
        <v>0.05256944444444445</v>
      </c>
    </row>
    <row r="210" ht="15.75" customHeight="1" s="45">
      <c r="A210" s="61" t="n">
        <v>46281</v>
      </c>
      <c r="B210" s="82" t="inlineStr">
        <is>
          <t>Pós-Projeto</t>
        </is>
      </c>
      <c r="C210" s="88" t="inlineStr">
        <is>
          <t>Tempo Médio — 🟠 Laranja (hh:mm)</t>
        </is>
      </c>
      <c r="D210" s="75" t="n">
        <v>0.005486111111111111</v>
      </c>
      <c r="E210" s="75" t="n">
        <v>0.009456018518518518</v>
      </c>
      <c r="F210" s="75" t="n">
        <v>0.006064814814814815</v>
      </c>
      <c r="G210" s="75" t="n">
        <v>0.008969907407407407</v>
      </c>
      <c r="H210" s="75" t="n">
        <v>0.003136574074074074</v>
      </c>
      <c r="I210" s="75" t="n">
        <v>0.01107638888888889</v>
      </c>
      <c r="J210" s="75" t="n">
        <v>0.01320601851851852</v>
      </c>
      <c r="K210" s="75" t="n">
        <v>0.01319444444444444</v>
      </c>
      <c r="L210" s="75" t="n">
        <v>0.01386574074074074</v>
      </c>
      <c r="M210" s="75" t="n">
        <v>0.008784722222222222</v>
      </c>
      <c r="N210" s="75" t="n">
        <v>0.007349537037037037</v>
      </c>
      <c r="O210" s="75" t="n">
        <v>0.01126157407407407</v>
      </c>
      <c r="P210" s="75" t="n">
        <v>0.0121412037037037</v>
      </c>
    </row>
    <row r="211" ht="15.75" customHeight="1" s="45">
      <c r="A211" s="76" t="n">
        <v>46281</v>
      </c>
      <c r="B211" s="82" t="inlineStr">
        <is>
          <t>Pós-Projeto</t>
        </is>
      </c>
      <c r="C211" s="91" t="inlineStr">
        <is>
          <t>Tempo Médio — 🟢 Verde   (hh:mm)</t>
        </is>
      </c>
      <c r="D211" s="79" t="n">
        <v>0.09018518518518519</v>
      </c>
      <c r="E211" s="79" t="n">
        <v>0.1540625</v>
      </c>
      <c r="F211" s="79" t="n">
        <v>0.07451388888888889</v>
      </c>
      <c r="G211" s="79" t="n">
        <v>0.1075115740740741</v>
      </c>
      <c r="H211" s="79" t="n">
        <v>0.1004513888888889</v>
      </c>
      <c r="I211" s="79" t="n">
        <v>0.08842592592592592</v>
      </c>
      <c r="J211" s="79" t="n">
        <v>0.06386574074074074</v>
      </c>
      <c r="K211" s="79" t="n">
        <v>0.05775462962962963</v>
      </c>
      <c r="L211" s="79" t="n">
        <v>0.09340277777777778</v>
      </c>
      <c r="M211" s="79" t="n">
        <v>0.06107638888888889</v>
      </c>
      <c r="N211" s="79" t="n">
        <v>0.04655092592592593</v>
      </c>
      <c r="O211" s="79" t="n">
        <v>0.06486111111111111</v>
      </c>
      <c r="P211" s="79" t="n">
        <v>0.06193287037037037</v>
      </c>
    </row>
    <row r="212" ht="15.75" customHeight="1" s="45">
      <c r="A212" s="57" t="n">
        <v>46282</v>
      </c>
      <c r="B212" s="81" t="inlineStr">
        <is>
          <t>Pós-Projeto</t>
        </is>
      </c>
      <c r="C212" s="59" t="inlineStr">
        <is>
          <t>Acolhim. + Atend. Urgência + Atend. UPA</t>
        </is>
      </c>
      <c r="D212" s="60">
        <f>SUM(D213:D215)</f>
        <v/>
      </c>
      <c r="E212" s="60">
        <f>SUM(E213:E215)</f>
        <v/>
      </c>
      <c r="F212" s="60">
        <f>SUM(F213:F215)</f>
        <v/>
      </c>
      <c r="G212" s="60">
        <f>SUM(G213:G215)</f>
        <v/>
      </c>
      <c r="H212" s="60">
        <f>SUM(H213:H215)</f>
        <v/>
      </c>
      <c r="I212" s="60">
        <f>SUM(I213:I215)</f>
        <v/>
      </c>
      <c r="J212" s="60">
        <f>SUM(J213:J215)</f>
        <v/>
      </c>
      <c r="K212" s="60">
        <f>SUM(K213:K215)</f>
        <v/>
      </c>
      <c r="L212" s="60">
        <f>SUM(L213:L215)</f>
        <v/>
      </c>
      <c r="M212" s="60">
        <f>SUM(M213:M215)</f>
        <v/>
      </c>
      <c r="N212" s="60">
        <f>SUM(N213:N215)</f>
        <v/>
      </c>
      <c r="O212" s="60">
        <f>SUM(O213:O215)</f>
        <v/>
      </c>
      <c r="P212" s="60">
        <f>SUM(P213:P215)</f>
        <v/>
      </c>
    </row>
    <row r="213" ht="15.75" customHeight="1" s="45">
      <c r="A213" s="61" t="n">
        <v>46282</v>
      </c>
      <c r="B213" s="82" t="inlineStr">
        <is>
          <t>Pós-Projeto</t>
        </is>
      </c>
      <c r="C213" s="83" t="inlineStr">
        <is>
          <t>Acolhimento c/ Classif. de Risco</t>
        </is>
      </c>
      <c r="D213" s="64" t="n">
        <v>249</v>
      </c>
      <c r="E213" s="64" t="n">
        <v>185</v>
      </c>
      <c r="F213" s="64" t="n">
        <v>156</v>
      </c>
      <c r="G213" s="64" t="n">
        <v>156</v>
      </c>
      <c r="H213" s="64" t="n">
        <v>145</v>
      </c>
      <c r="I213" s="64" t="n">
        <v>222</v>
      </c>
      <c r="J213" s="64" t="n">
        <v>142</v>
      </c>
      <c r="K213" s="64" t="n">
        <v>272</v>
      </c>
      <c r="L213" s="64" t="n">
        <v>130</v>
      </c>
      <c r="M213" s="64" t="n">
        <v>235</v>
      </c>
      <c r="N213" s="64" t="n">
        <v>197</v>
      </c>
      <c r="O213" s="64" t="n">
        <v>306</v>
      </c>
      <c r="P213" s="64" t="n">
        <v>251</v>
      </c>
    </row>
    <row r="214" ht="15.75" customHeight="1" s="45">
      <c r="A214" s="61" t="n">
        <v>46282</v>
      </c>
      <c r="B214" s="82" t="inlineStr">
        <is>
          <t>Pós-Projeto</t>
        </is>
      </c>
      <c r="C214" s="84" t="inlineStr">
        <is>
          <t>Atend. Urgência Obs. ≤ 24h</t>
        </is>
      </c>
      <c r="D214" s="66" t="n">
        <v>16</v>
      </c>
      <c r="E214" s="66" t="n">
        <v>11</v>
      </c>
      <c r="F214" s="66" t="n">
        <v>19</v>
      </c>
      <c r="G214" s="66" t="n">
        <v>15</v>
      </c>
      <c r="H214" s="66" t="n">
        <v>15</v>
      </c>
      <c r="I214" s="66" t="n">
        <v>19</v>
      </c>
      <c r="J214" s="66" t="n">
        <v>7</v>
      </c>
      <c r="K214" s="66" t="n">
        <v>34</v>
      </c>
      <c r="L214" s="66" t="n">
        <v>32</v>
      </c>
      <c r="M214" s="66" t="n">
        <v>25</v>
      </c>
      <c r="N214" s="66" t="n">
        <v>14</v>
      </c>
      <c r="O214" s="67" t="n">
        <v>0</v>
      </c>
      <c r="P214" s="66" t="n">
        <v>35</v>
      </c>
    </row>
    <row r="215" ht="15.75" customHeight="1" s="45">
      <c r="A215" s="61" t="n">
        <v>46282</v>
      </c>
      <c r="B215" s="82" t="inlineStr">
        <is>
          <t>Pós-Projeto</t>
        </is>
      </c>
      <c r="C215" s="83" t="inlineStr">
        <is>
          <t>Atend. Médico em UPA</t>
        </is>
      </c>
      <c r="D215" s="64" t="n">
        <v>236</v>
      </c>
      <c r="E215" s="64" t="n">
        <v>106</v>
      </c>
      <c r="F215" s="64" t="n">
        <v>117</v>
      </c>
      <c r="G215" s="64" t="n">
        <v>113</v>
      </c>
      <c r="H215" s="64" t="n">
        <v>101</v>
      </c>
      <c r="I215" s="64" t="n">
        <v>184</v>
      </c>
      <c r="J215" s="64" t="n">
        <v>124</v>
      </c>
      <c r="K215" s="64" t="n">
        <v>194</v>
      </c>
      <c r="L215" s="64" t="n">
        <v>82</v>
      </c>
      <c r="M215" s="64" t="n">
        <v>167</v>
      </c>
      <c r="N215" s="64" t="n">
        <v>150</v>
      </c>
      <c r="O215" s="64" t="n">
        <v>239</v>
      </c>
      <c r="P215" s="64" t="n">
        <v>191</v>
      </c>
    </row>
    <row r="216" ht="15.75" customHeight="1" s="45">
      <c r="A216" s="61" t="n">
        <v>46282</v>
      </c>
      <c r="B216" s="82" t="inlineStr">
        <is>
          <t>Pós-Projeto</t>
        </is>
      </c>
      <c r="C216" s="84" t="inlineStr">
        <is>
          <t>Exames Laboratoriais</t>
        </is>
      </c>
      <c r="D216" s="66" t="n">
        <v>642</v>
      </c>
      <c r="E216" s="66" t="n">
        <v>459</v>
      </c>
      <c r="F216" s="66" t="n">
        <v>567</v>
      </c>
      <c r="G216" s="66" t="n">
        <v>189</v>
      </c>
      <c r="H216" s="66" t="n">
        <v>500</v>
      </c>
      <c r="I216" s="66" t="n">
        <v>784</v>
      </c>
      <c r="J216" s="66" t="n">
        <v>471</v>
      </c>
      <c r="K216" s="66" t="n">
        <v>730</v>
      </c>
      <c r="L216" s="66" t="n">
        <v>455</v>
      </c>
      <c r="M216" s="66" t="n">
        <v>547</v>
      </c>
      <c r="N216" s="66" t="n">
        <v>894</v>
      </c>
      <c r="O216" s="66" t="n">
        <v>410</v>
      </c>
      <c r="P216" s="66" t="n">
        <v>713</v>
      </c>
    </row>
    <row r="217" ht="15.75" customHeight="1" s="45">
      <c r="A217" s="61" t="n">
        <v>46282</v>
      </c>
      <c r="B217" s="82" t="inlineStr">
        <is>
          <t>Pós-Projeto</t>
        </is>
      </c>
      <c r="C217" s="83" t="inlineStr">
        <is>
          <t>Radiografias</t>
        </is>
      </c>
      <c r="D217" s="64" t="n">
        <v>24</v>
      </c>
      <c r="E217" s="64" t="n">
        <v>19</v>
      </c>
      <c r="F217" s="67" t="n">
        <v>0</v>
      </c>
      <c r="G217" s="67" t="n">
        <v>0</v>
      </c>
      <c r="H217" s="64" t="n">
        <v>10</v>
      </c>
      <c r="I217" s="64" t="n">
        <v>19</v>
      </c>
      <c r="J217" s="64" t="n">
        <v>16</v>
      </c>
      <c r="K217" s="64" t="n">
        <v>27</v>
      </c>
      <c r="L217" s="64" t="n">
        <v>12</v>
      </c>
      <c r="M217" s="64" t="n">
        <v>23</v>
      </c>
      <c r="N217" s="64" t="n">
        <v>35</v>
      </c>
      <c r="O217" s="64" t="n">
        <v>43</v>
      </c>
      <c r="P217" s="64" t="n">
        <v>36</v>
      </c>
    </row>
    <row r="218" ht="15.75" customHeight="1" s="45">
      <c r="A218" s="61" t="n">
        <v>46282</v>
      </c>
      <c r="B218" s="82" t="inlineStr">
        <is>
          <t>Pós-Projeto</t>
        </is>
      </c>
      <c r="C218" s="84" t="inlineStr">
        <is>
          <t>Eletrocardiogramas</t>
        </is>
      </c>
      <c r="D218" s="66" t="n">
        <v>4</v>
      </c>
      <c r="E218" s="66" t="n">
        <v>1</v>
      </c>
      <c r="F218" s="66" t="n">
        <v>3</v>
      </c>
      <c r="G218" s="67" t="n">
        <v>0</v>
      </c>
      <c r="H218" s="67" t="n">
        <v>0</v>
      </c>
      <c r="I218" s="67" t="n">
        <v>0</v>
      </c>
      <c r="J218" s="67" t="n">
        <v>0</v>
      </c>
      <c r="K218" s="66" t="n">
        <v>5</v>
      </c>
      <c r="L218" s="66" t="n">
        <v>21</v>
      </c>
      <c r="M218" s="66" t="n">
        <v>1</v>
      </c>
      <c r="N218" s="66" t="n">
        <v>10</v>
      </c>
      <c r="O218" s="67" t="n">
        <v>0</v>
      </c>
      <c r="P218" s="66" t="n">
        <v>23</v>
      </c>
    </row>
    <row r="219" ht="15.75" customHeight="1" s="45">
      <c r="A219" s="61" t="n">
        <v>46282</v>
      </c>
      <c r="B219" s="82" t="inlineStr">
        <is>
          <t>Pós-Projeto</t>
        </is>
      </c>
      <c r="C219" s="85" t="inlineStr">
        <is>
          <t>GAEs Abertas</t>
        </is>
      </c>
      <c r="D219" s="69" t="n">
        <v>252</v>
      </c>
      <c r="E219" s="69" t="n">
        <v>196</v>
      </c>
      <c r="F219" s="69" t="n">
        <v>161</v>
      </c>
      <c r="G219" s="69" t="n">
        <v>164</v>
      </c>
      <c r="H219" s="69" t="n">
        <v>148</v>
      </c>
      <c r="I219" s="69" t="n">
        <v>231</v>
      </c>
      <c r="J219" s="69" t="n">
        <v>146</v>
      </c>
      <c r="K219" s="69" t="n">
        <v>302</v>
      </c>
      <c r="L219" s="69" t="n">
        <v>140</v>
      </c>
      <c r="M219" s="69" t="n">
        <v>246</v>
      </c>
      <c r="N219" s="69" t="n">
        <v>202</v>
      </c>
      <c r="O219" s="69" t="n">
        <v>318</v>
      </c>
      <c r="P219" s="69" t="n">
        <v>266</v>
      </c>
    </row>
    <row r="220" ht="15.75" customHeight="1" s="45">
      <c r="A220" s="61" t="n">
        <v>46282</v>
      </c>
      <c r="B220" s="82" t="inlineStr">
        <is>
          <t>Pós-Projeto</t>
        </is>
      </c>
      <c r="C220" s="85" t="inlineStr">
        <is>
          <t>GAEs Classificadas</t>
        </is>
      </c>
      <c r="D220" s="69" t="n">
        <v>246</v>
      </c>
      <c r="E220" s="69" t="n">
        <v>186</v>
      </c>
      <c r="F220" s="69" t="n">
        <v>157</v>
      </c>
      <c r="G220" s="69" t="n">
        <v>156</v>
      </c>
      <c r="H220" s="69" t="n">
        <v>145</v>
      </c>
      <c r="I220" s="69" t="n">
        <v>222</v>
      </c>
      <c r="J220" s="69" t="n">
        <v>142</v>
      </c>
      <c r="K220" s="69" t="n">
        <v>272</v>
      </c>
      <c r="L220" s="69" t="n">
        <v>131</v>
      </c>
      <c r="M220" s="69" t="n">
        <v>237</v>
      </c>
      <c r="N220" s="69" t="n">
        <v>195</v>
      </c>
      <c r="O220" s="69" t="n">
        <v>308</v>
      </c>
      <c r="P220" s="69" t="n">
        <v>252</v>
      </c>
    </row>
    <row r="221" ht="15.75" customHeight="1" s="45">
      <c r="A221" s="61" t="n">
        <v>46282</v>
      </c>
      <c r="B221" s="82" t="inlineStr">
        <is>
          <t>Pós-Projeto</t>
        </is>
      </c>
      <c r="C221" s="86" t="inlineStr">
        <is>
          <t>Percentual de GAEs abertas classificadas</t>
        </is>
      </c>
      <c r="D221" s="71">
        <f>IFERROR(D220/D219,"-")</f>
        <v/>
      </c>
      <c r="E221" s="71">
        <f>IFERROR(E220/E219,"-")</f>
        <v/>
      </c>
      <c r="F221" s="71">
        <f>IFERROR(F220/F219,"-")</f>
        <v/>
      </c>
      <c r="G221" s="71">
        <f>IFERROR(G220/G219,"-")</f>
        <v/>
      </c>
      <c r="H221" s="71">
        <f>IFERROR(H220/H219,"-")</f>
        <v/>
      </c>
      <c r="I221" s="71">
        <f>IFERROR(I220/I219,"-")</f>
        <v/>
      </c>
      <c r="J221" s="71">
        <f>IFERROR(J220/J219,"-")</f>
        <v/>
      </c>
      <c r="K221" s="71">
        <f>IFERROR(K220/K219,"-")</f>
        <v/>
      </c>
      <c r="L221" s="71">
        <f>IFERROR(L220/L219,"-")</f>
        <v/>
      </c>
      <c r="M221" s="71">
        <f>IFERROR(M220/M219,"-")</f>
        <v/>
      </c>
      <c r="N221" s="71">
        <f>IFERROR(N220/N219,"-")</f>
        <v/>
      </c>
      <c r="O221" s="71">
        <f>IFERROR(O220/O219,"-")</f>
        <v/>
      </c>
      <c r="P221" s="71">
        <f>IFERROR(P220/P219,"-")</f>
        <v/>
      </c>
    </row>
    <row r="222" ht="15.75" customHeight="1" s="45">
      <c r="A222" s="61" t="n">
        <v>46282</v>
      </c>
      <c r="B222" s="82" t="inlineStr">
        <is>
          <t>Pós-Projeto</t>
        </is>
      </c>
      <c r="C222" s="87" t="inlineStr">
        <is>
          <t>Tempo Médio — 🟡 Amarelo (hh:mm)</t>
        </is>
      </c>
      <c r="D222" s="73" t="n">
        <v>0.05539351851851852</v>
      </c>
      <c r="E222" s="73" t="n">
        <v>0.09592592592592593</v>
      </c>
      <c r="F222" s="73" t="n">
        <v>0.02596064814814815</v>
      </c>
      <c r="G222" s="73" t="n">
        <v>0.05256944444444445</v>
      </c>
      <c r="H222" s="73" t="n">
        <v>0.06525462962962963</v>
      </c>
      <c r="I222" s="73" t="n">
        <v>0.04019675925925926</v>
      </c>
      <c r="J222" s="73" t="n">
        <v>0.05487268518518518</v>
      </c>
      <c r="K222" s="73" t="n">
        <v>0.1647337962962963</v>
      </c>
      <c r="L222" s="73" t="n">
        <v>0.05526620370370371</v>
      </c>
      <c r="M222" s="73" t="n">
        <v>0.0312037037037037</v>
      </c>
      <c r="N222" s="73" t="n">
        <v>0.09824074074074074</v>
      </c>
      <c r="O222" s="73" t="n">
        <v>0.04256944444444444</v>
      </c>
      <c r="P222" s="73" t="n">
        <v>0.05878472222222222</v>
      </c>
    </row>
    <row r="223" ht="15.75" customHeight="1" s="45">
      <c r="A223" s="61" t="n">
        <v>46282</v>
      </c>
      <c r="B223" s="82" t="inlineStr">
        <is>
          <t>Pós-Projeto</t>
        </is>
      </c>
      <c r="C223" s="88" t="inlineStr">
        <is>
          <t>Tempo Médio — 🟠 Laranja (hh:mm)</t>
        </is>
      </c>
      <c r="D223" s="75" t="n">
        <v>0.009895833333333333</v>
      </c>
      <c r="E223" s="75" t="n">
        <v>0.01010416666666667</v>
      </c>
      <c r="F223" s="75" t="n">
        <v>0.004988425925925926</v>
      </c>
      <c r="G223" s="75" t="n">
        <v>0.007534722222222222</v>
      </c>
      <c r="H223" s="75" t="n">
        <v>0.006307870370370371</v>
      </c>
      <c r="I223" s="75" t="n">
        <v>0.006909722222222222</v>
      </c>
      <c r="J223" s="80" t="n">
        <v>0</v>
      </c>
      <c r="K223" s="75" t="n">
        <v>0.01760416666666667</v>
      </c>
      <c r="L223" s="75" t="n">
        <v>0.0121412037037037</v>
      </c>
      <c r="M223" s="75" t="n">
        <v>0.006979166666666667</v>
      </c>
      <c r="N223" s="75" t="n">
        <v>0.02715277777777778</v>
      </c>
      <c r="O223" s="75" t="n">
        <v>0.009166666666666667</v>
      </c>
      <c r="P223" s="75" t="n">
        <v>0.007685185185185186</v>
      </c>
    </row>
    <row r="224" ht="15.75" customHeight="1" s="45">
      <c r="A224" s="76" t="n">
        <v>46282</v>
      </c>
      <c r="B224" s="82" t="inlineStr">
        <is>
          <t>Pós-Projeto</t>
        </is>
      </c>
      <c r="C224" s="91" t="inlineStr">
        <is>
          <t>Tempo Médio — 🟢 Verde   (hh:mm)</t>
        </is>
      </c>
      <c r="D224" s="79" t="n">
        <v>0.0542824074074074</v>
      </c>
      <c r="E224" s="79" t="n">
        <v>0.1665740740740741</v>
      </c>
      <c r="F224" s="79" t="n">
        <v>0.09594907407407408</v>
      </c>
      <c r="G224" s="79" t="n">
        <v>0.116724537037037</v>
      </c>
      <c r="H224" s="79" t="n">
        <v>0.09528935185185185</v>
      </c>
      <c r="I224" s="79" t="n">
        <v>0.1298842592592593</v>
      </c>
      <c r="J224" s="79" t="n">
        <v>0.04645833333333333</v>
      </c>
      <c r="K224" s="79" t="n">
        <v>0.06085648148148148</v>
      </c>
      <c r="L224" s="79" t="n">
        <v>0.1506365740740741</v>
      </c>
      <c r="M224" s="79" t="n">
        <v>0.093125</v>
      </c>
      <c r="N224" s="79" t="n">
        <v>0.08619212962962963</v>
      </c>
      <c r="O224" s="79" t="n">
        <v>0.1179166666666667</v>
      </c>
      <c r="P224" s="79" t="n">
        <v>0.06319444444444444</v>
      </c>
    </row>
    <row r="225" ht="15.75" customHeight="1" s="45">
      <c r="A225" s="57" t="n">
        <v>46283</v>
      </c>
      <c r="B225" s="81" t="inlineStr">
        <is>
          <t>Pós-Projeto</t>
        </is>
      </c>
      <c r="C225" s="59" t="inlineStr">
        <is>
          <t>Acolhim. + Atend. Urgência + Atend. UPA</t>
        </is>
      </c>
      <c r="D225" s="60">
        <f>SUM(D226:D228)</f>
        <v/>
      </c>
      <c r="E225" s="60">
        <f>SUM(E226:E228)</f>
        <v/>
      </c>
      <c r="F225" s="60">
        <f>SUM(F226:F228)</f>
        <v/>
      </c>
      <c r="G225" s="60">
        <f>SUM(G226:G228)</f>
        <v/>
      </c>
      <c r="H225" s="60">
        <f>SUM(H226:H228)</f>
        <v/>
      </c>
      <c r="I225" s="60">
        <f>SUM(I226:I228)</f>
        <v/>
      </c>
      <c r="J225" s="60">
        <f>SUM(J226:J228)</f>
        <v/>
      </c>
      <c r="K225" s="60">
        <f>SUM(K226:K228)</f>
        <v/>
      </c>
      <c r="L225" s="60">
        <f>SUM(L226:L228)</f>
        <v/>
      </c>
      <c r="M225" s="60">
        <f>SUM(M226:M228)</f>
        <v/>
      </c>
      <c r="N225" s="60">
        <f>SUM(N226:N228)</f>
        <v/>
      </c>
      <c r="O225" s="60">
        <f>SUM(O226:O228)</f>
        <v/>
      </c>
      <c r="P225" s="60">
        <f>SUM(P226:P228)</f>
        <v/>
      </c>
    </row>
    <row r="226" ht="15.75" customHeight="1" s="45">
      <c r="A226" s="61" t="n">
        <v>46283</v>
      </c>
      <c r="B226" s="82" t="inlineStr">
        <is>
          <t>Pós-Projeto</t>
        </is>
      </c>
      <c r="C226" s="83" t="inlineStr">
        <is>
          <t>Acolhimento c/ Classif. de Risco</t>
        </is>
      </c>
      <c r="D226" s="66" t="n">
        <v>235</v>
      </c>
      <c r="E226" s="66" t="n">
        <v>161</v>
      </c>
      <c r="F226" s="66" t="n">
        <v>157</v>
      </c>
      <c r="G226" s="66" t="n">
        <v>149</v>
      </c>
      <c r="H226" s="66" t="n">
        <v>125</v>
      </c>
      <c r="I226" s="66" t="n">
        <v>205</v>
      </c>
      <c r="J226" s="66" t="n">
        <v>130</v>
      </c>
      <c r="K226" s="66" t="n">
        <v>279</v>
      </c>
      <c r="L226" s="66" t="n">
        <v>142</v>
      </c>
      <c r="M226" s="66" t="n">
        <v>219</v>
      </c>
      <c r="N226" s="66" t="n">
        <v>186</v>
      </c>
      <c r="O226" s="66" t="n">
        <v>252</v>
      </c>
      <c r="P226" s="66" t="n">
        <v>252</v>
      </c>
    </row>
    <row r="227" ht="15.75" customHeight="1" s="45">
      <c r="A227" s="61" t="n">
        <v>46283</v>
      </c>
      <c r="B227" s="82" t="inlineStr">
        <is>
          <t>Pós-Projeto</t>
        </is>
      </c>
      <c r="C227" s="84" t="inlineStr">
        <is>
          <t>Atend. Urgência Obs. ≤ 24h</t>
        </is>
      </c>
      <c r="D227" s="64" t="n">
        <v>26</v>
      </c>
      <c r="E227" s="64" t="n">
        <v>12</v>
      </c>
      <c r="F227" s="64" t="n">
        <v>18</v>
      </c>
      <c r="G227" s="64" t="n">
        <v>18</v>
      </c>
      <c r="H227" s="64" t="n">
        <v>17</v>
      </c>
      <c r="I227" s="64" t="n">
        <v>22</v>
      </c>
      <c r="J227" s="64" t="n">
        <v>7</v>
      </c>
      <c r="K227" s="64" t="n">
        <v>34</v>
      </c>
      <c r="L227" s="64" t="n">
        <v>24</v>
      </c>
      <c r="M227" s="64" t="n">
        <v>19</v>
      </c>
      <c r="N227" s="64" t="n">
        <v>22</v>
      </c>
      <c r="O227" s="64" t="n">
        <v>1</v>
      </c>
      <c r="P227" s="64" t="n">
        <v>36</v>
      </c>
    </row>
    <row r="228" ht="15.75" customHeight="1" s="45">
      <c r="A228" s="61" t="n">
        <v>46283</v>
      </c>
      <c r="B228" s="82" t="inlineStr">
        <is>
          <t>Pós-Projeto</t>
        </is>
      </c>
      <c r="C228" s="83" t="inlineStr">
        <is>
          <t>Atend. Médico em UPA</t>
        </is>
      </c>
      <c r="D228" s="66" t="n">
        <v>216</v>
      </c>
      <c r="E228" s="66" t="n">
        <v>96</v>
      </c>
      <c r="F228" s="66" t="n">
        <v>123</v>
      </c>
      <c r="G228" s="66" t="n">
        <v>132</v>
      </c>
      <c r="H228" s="66" t="n">
        <v>81</v>
      </c>
      <c r="I228" s="66" t="n">
        <v>180</v>
      </c>
      <c r="J228" s="66" t="n">
        <v>77</v>
      </c>
      <c r="K228" s="66" t="n">
        <v>256</v>
      </c>
      <c r="L228" s="66" t="n">
        <v>106</v>
      </c>
      <c r="M228" s="66" t="n">
        <v>177</v>
      </c>
      <c r="N228" s="66" t="n">
        <v>151</v>
      </c>
      <c r="O228" s="66" t="n">
        <v>212</v>
      </c>
      <c r="P228" s="66" t="n">
        <v>121</v>
      </c>
    </row>
    <row r="229" ht="15.75" customHeight="1" s="45">
      <c r="A229" s="61" t="n">
        <v>46283</v>
      </c>
      <c r="B229" s="82" t="inlineStr">
        <is>
          <t>Pós-Projeto</t>
        </is>
      </c>
      <c r="C229" s="84" t="inlineStr">
        <is>
          <t>Exames Laboratoriais</t>
        </is>
      </c>
      <c r="D229" s="64" t="n">
        <v>734</v>
      </c>
      <c r="E229" s="64" t="n">
        <v>468</v>
      </c>
      <c r="F229" s="64" t="n">
        <v>333</v>
      </c>
      <c r="G229" s="64" t="n">
        <v>278</v>
      </c>
      <c r="H229" s="64" t="n">
        <v>450</v>
      </c>
      <c r="I229" s="64" t="n">
        <v>512</v>
      </c>
      <c r="J229" s="64" t="n">
        <v>436</v>
      </c>
      <c r="K229" s="64" t="n">
        <v>857</v>
      </c>
      <c r="L229" s="64" t="n">
        <v>489</v>
      </c>
      <c r="M229" s="64" t="n">
        <v>656</v>
      </c>
      <c r="N229" s="64" t="n">
        <v>479</v>
      </c>
      <c r="O229" s="64" t="n">
        <v>338</v>
      </c>
      <c r="P229" s="64" t="n">
        <v>646</v>
      </c>
    </row>
    <row r="230" ht="15.75" customHeight="1" s="45">
      <c r="A230" s="61" t="n">
        <v>46283</v>
      </c>
      <c r="B230" s="82" t="inlineStr">
        <is>
          <t>Pós-Projeto</t>
        </is>
      </c>
      <c r="C230" s="83" t="inlineStr">
        <is>
          <t>Radiografias</t>
        </is>
      </c>
      <c r="D230" s="66" t="n">
        <v>19</v>
      </c>
      <c r="E230" s="66" t="n">
        <v>16</v>
      </c>
      <c r="F230" s="67" t="n">
        <v>0</v>
      </c>
      <c r="G230" s="67" t="n">
        <v>0</v>
      </c>
      <c r="H230" s="66" t="n">
        <v>13</v>
      </c>
      <c r="I230" s="66" t="n">
        <v>27</v>
      </c>
      <c r="J230" s="66" t="n">
        <v>16</v>
      </c>
      <c r="K230" s="66" t="n">
        <v>38</v>
      </c>
      <c r="L230" s="66" t="n">
        <v>15</v>
      </c>
      <c r="M230" s="66" t="n">
        <v>35</v>
      </c>
      <c r="N230" s="66" t="n">
        <v>18</v>
      </c>
      <c r="O230" s="66" t="n">
        <v>29</v>
      </c>
      <c r="P230" s="66" t="n">
        <v>37</v>
      </c>
    </row>
    <row r="231" ht="15.75" customHeight="1" s="45">
      <c r="A231" s="61" t="n">
        <v>46283</v>
      </c>
      <c r="B231" s="82" t="inlineStr">
        <is>
          <t>Pós-Projeto</t>
        </is>
      </c>
      <c r="C231" s="84" t="inlineStr">
        <is>
          <t>Eletrocardiogramas</t>
        </is>
      </c>
      <c r="D231" s="64" t="n">
        <v>2</v>
      </c>
      <c r="E231" s="67" t="n">
        <v>0</v>
      </c>
      <c r="F231" s="67" t="n">
        <v>0</v>
      </c>
      <c r="G231" s="67" t="n">
        <v>0</v>
      </c>
      <c r="H231" s="67" t="n">
        <v>0</v>
      </c>
      <c r="I231" s="67" t="n">
        <v>0</v>
      </c>
      <c r="J231" s="67" t="n">
        <v>0</v>
      </c>
      <c r="K231" s="64" t="n">
        <v>4</v>
      </c>
      <c r="L231" s="64" t="n">
        <v>15</v>
      </c>
      <c r="M231" s="67" t="n">
        <v>0</v>
      </c>
      <c r="N231" s="64" t="n">
        <v>5</v>
      </c>
      <c r="O231" s="67" t="n">
        <v>0</v>
      </c>
      <c r="P231" s="64" t="n">
        <v>20</v>
      </c>
    </row>
    <row r="232" ht="15.75" customHeight="1" s="45">
      <c r="A232" s="61" t="n">
        <v>46283</v>
      </c>
      <c r="B232" s="82" t="inlineStr">
        <is>
          <t>Pós-Projeto</t>
        </is>
      </c>
      <c r="C232" s="85" t="inlineStr">
        <is>
          <t>GAEs Abertas</t>
        </is>
      </c>
      <c r="D232" s="69" t="n">
        <v>248</v>
      </c>
      <c r="E232" s="69" t="n">
        <v>171</v>
      </c>
      <c r="F232" s="69" t="n">
        <v>160</v>
      </c>
      <c r="G232" s="69" t="n">
        <v>162</v>
      </c>
      <c r="H232" s="69" t="n">
        <v>130</v>
      </c>
      <c r="I232" s="69" t="n">
        <v>218</v>
      </c>
      <c r="J232" s="69" t="n">
        <v>135</v>
      </c>
      <c r="K232" s="69" t="n">
        <v>307</v>
      </c>
      <c r="L232" s="69" t="n">
        <v>145</v>
      </c>
      <c r="M232" s="69" t="n">
        <v>231</v>
      </c>
      <c r="N232" s="69" t="n">
        <v>193</v>
      </c>
      <c r="O232" s="69" t="n">
        <v>254</v>
      </c>
      <c r="P232" s="69" t="n">
        <v>272</v>
      </c>
    </row>
    <row r="233" ht="15.75" customHeight="1" s="45">
      <c r="A233" s="61" t="n">
        <v>46283</v>
      </c>
      <c r="B233" s="82" t="inlineStr">
        <is>
          <t>Pós-Projeto</t>
        </is>
      </c>
      <c r="C233" s="85" t="inlineStr">
        <is>
          <t>GAEs Classificadas</t>
        </is>
      </c>
      <c r="D233" s="69" t="n">
        <v>237</v>
      </c>
      <c r="E233" s="69" t="n">
        <v>159</v>
      </c>
      <c r="F233" s="69" t="n">
        <v>157</v>
      </c>
      <c r="G233" s="69" t="n">
        <v>148</v>
      </c>
      <c r="H233" s="69" t="n">
        <v>123</v>
      </c>
      <c r="I233" s="69" t="n">
        <v>204</v>
      </c>
      <c r="J233" s="69" t="n">
        <v>129</v>
      </c>
      <c r="K233" s="69" t="n">
        <v>278</v>
      </c>
      <c r="L233" s="69" t="n">
        <v>141</v>
      </c>
      <c r="M233" s="69" t="n">
        <v>220</v>
      </c>
      <c r="N233" s="69" t="n">
        <v>187</v>
      </c>
      <c r="O233" s="69" t="n">
        <v>249</v>
      </c>
      <c r="P233" s="69" t="n">
        <v>256</v>
      </c>
    </row>
    <row r="234" ht="15.75" customHeight="1" s="45">
      <c r="A234" s="61" t="n">
        <v>46283</v>
      </c>
      <c r="B234" s="82" t="inlineStr">
        <is>
          <t>Pós-Projeto</t>
        </is>
      </c>
      <c r="C234" s="86" t="inlineStr">
        <is>
          <t>Percentual de GAEs abertas classificadas</t>
        </is>
      </c>
      <c r="D234" s="71">
        <f>IFERROR(D233/D232,"-")</f>
        <v/>
      </c>
      <c r="E234" s="71">
        <f>IFERROR(E233/E232,"-")</f>
        <v/>
      </c>
      <c r="F234" s="71">
        <f>IFERROR(F233/F232,"-")</f>
        <v/>
      </c>
      <c r="G234" s="71">
        <f>IFERROR(G233/G232,"-")</f>
        <v/>
      </c>
      <c r="H234" s="71">
        <f>IFERROR(H233/H232,"-")</f>
        <v/>
      </c>
      <c r="I234" s="71">
        <f>IFERROR(I233/I232,"-")</f>
        <v/>
      </c>
      <c r="J234" s="71">
        <f>IFERROR(J233/J232,"-")</f>
        <v/>
      </c>
      <c r="K234" s="71">
        <f>IFERROR(K233/K232,"-")</f>
        <v/>
      </c>
      <c r="L234" s="71">
        <f>IFERROR(L233/L232,"-")</f>
        <v/>
      </c>
      <c r="M234" s="71">
        <f>IFERROR(M233/M232,"-")</f>
        <v/>
      </c>
      <c r="N234" s="71">
        <f>IFERROR(N233/N232,"-")</f>
        <v/>
      </c>
      <c r="O234" s="71">
        <f>IFERROR(O233/O232,"-")</f>
        <v/>
      </c>
      <c r="P234" s="71">
        <f>IFERROR(P233/P232,"-")</f>
        <v/>
      </c>
    </row>
    <row r="235" ht="15.75" customHeight="1" s="45">
      <c r="A235" s="61" t="n">
        <v>46283</v>
      </c>
      <c r="B235" s="82" t="inlineStr">
        <is>
          <t>Pós-Projeto</t>
        </is>
      </c>
      <c r="C235" s="87" t="inlineStr">
        <is>
          <t>Tempo Médio — 🟡 Amarelo (hh:mm)</t>
        </is>
      </c>
      <c r="D235" s="73" t="n">
        <v>0.06322916666666667</v>
      </c>
      <c r="E235" s="73" t="n">
        <v>0.07137731481481481</v>
      </c>
      <c r="F235" s="73" t="n">
        <v>0.0591087962962963</v>
      </c>
      <c r="G235" s="73" t="n">
        <v>0.04898148148148148</v>
      </c>
      <c r="H235" s="73" t="n">
        <v>0.07287037037037038</v>
      </c>
      <c r="I235" s="73" t="n">
        <v>0.02827546296296296</v>
      </c>
      <c r="J235" s="73" t="n">
        <v>0.1369560185185185</v>
      </c>
      <c r="K235" s="73" t="n">
        <v>0.05322916666666667</v>
      </c>
      <c r="L235" s="73" t="n">
        <v>0.03916666666666667</v>
      </c>
      <c r="M235" s="73" t="n">
        <v>0.01322916666666667</v>
      </c>
      <c r="N235" s="73" t="n">
        <v>0.03991898148148148</v>
      </c>
      <c r="O235" s="73" t="n">
        <v>0.02263888888888889</v>
      </c>
      <c r="P235" s="73" t="n">
        <v>0.06403935185185185</v>
      </c>
    </row>
    <row r="236" ht="15.75" customHeight="1" s="45">
      <c r="A236" s="61" t="n">
        <v>46283</v>
      </c>
      <c r="B236" s="82" t="inlineStr">
        <is>
          <t>Pós-Projeto</t>
        </is>
      </c>
      <c r="C236" s="88" t="inlineStr">
        <is>
          <t>Tempo Médio — 🟠 Laranja (hh:mm)</t>
        </is>
      </c>
      <c r="D236" s="75" t="n">
        <v>0.008402777777777778</v>
      </c>
      <c r="E236" s="75" t="n">
        <v>0.006504629629629629</v>
      </c>
      <c r="F236" s="75" t="n">
        <v>0.006226851851851851</v>
      </c>
      <c r="G236" s="75" t="n">
        <v>0.004988425925925926</v>
      </c>
      <c r="H236" s="75" t="n">
        <v>0.005763888888888889</v>
      </c>
      <c r="I236" s="75" t="n">
        <v>0.004837962962962963</v>
      </c>
      <c r="J236" s="75" t="n">
        <v>0.009201388888888889</v>
      </c>
      <c r="K236" s="75" t="n">
        <v>0.01476851851851852</v>
      </c>
      <c r="L236" s="75" t="n">
        <v>0.007777777777777778</v>
      </c>
      <c r="M236" s="75" t="n">
        <v>0.00738425925925926</v>
      </c>
      <c r="N236" s="75" t="n">
        <v>0.01318287037037037</v>
      </c>
      <c r="O236" s="75" t="n">
        <v>0.005949074074074075</v>
      </c>
      <c r="P236" s="75" t="n">
        <v>0.007337962962962963</v>
      </c>
    </row>
    <row r="237" ht="15.75" customHeight="1" s="45">
      <c r="A237" s="76" t="n">
        <v>46283</v>
      </c>
      <c r="B237" s="82" t="inlineStr">
        <is>
          <t>Pós-Projeto</t>
        </is>
      </c>
      <c r="C237" s="91" t="inlineStr">
        <is>
          <t>Tempo Médio — 🟢 Verde   (hh:mm)</t>
        </is>
      </c>
      <c r="D237" s="79" t="n">
        <v>0.14125</v>
      </c>
      <c r="E237" s="79" t="n">
        <v>0.1031712962962963</v>
      </c>
      <c r="F237" s="79" t="n">
        <v>0.07422453703703703</v>
      </c>
      <c r="G237" s="79" t="n">
        <v>0.07556712962962962</v>
      </c>
      <c r="H237" s="79" t="n">
        <v>0.06365740740740741</v>
      </c>
      <c r="I237" s="79" t="n">
        <v>0.08391203703703703</v>
      </c>
      <c r="J237" s="79" t="n">
        <v>0.1087731481481481</v>
      </c>
      <c r="K237" s="79" t="n">
        <v>0.07945601851851852</v>
      </c>
      <c r="L237" s="79" t="n">
        <v>0.04652777777777778</v>
      </c>
      <c r="M237" s="79" t="n">
        <v>0.01920138888888889</v>
      </c>
      <c r="N237" s="79" t="n">
        <v>0.05297453703703704</v>
      </c>
      <c r="O237" s="79" t="n">
        <v>0.05149305555555556</v>
      </c>
      <c r="P237" s="79" t="n">
        <v>0.1015046296296296</v>
      </c>
    </row>
    <row r="238" ht="15.75" customHeight="1" s="45">
      <c r="A238" s="57" t="n">
        <v>46284</v>
      </c>
      <c r="B238" s="81" t="inlineStr">
        <is>
          <t>Pós-Projeto</t>
        </is>
      </c>
      <c r="C238" s="59" t="inlineStr">
        <is>
          <t>Acolhim. + Atend. Urgência + Atend. UPA</t>
        </is>
      </c>
      <c r="D238" s="60">
        <f>SUM(D239:D241)</f>
        <v/>
      </c>
      <c r="E238" s="60">
        <f>SUM(E239:E241)</f>
        <v/>
      </c>
      <c r="F238" s="60">
        <f>SUM(F239:F241)</f>
        <v/>
      </c>
      <c r="G238" s="60">
        <f>SUM(G239:G241)</f>
        <v/>
      </c>
      <c r="H238" s="60">
        <f>SUM(H239:H241)</f>
        <v/>
      </c>
      <c r="I238" s="60">
        <f>SUM(I239:I241)</f>
        <v/>
      </c>
      <c r="J238" s="60">
        <f>SUM(J239:J241)</f>
        <v/>
      </c>
      <c r="K238" s="60">
        <f>SUM(K239:K241)</f>
        <v/>
      </c>
      <c r="L238" s="60">
        <f>SUM(L239:L241)</f>
        <v/>
      </c>
      <c r="M238" s="60">
        <f>SUM(M239:M241)</f>
        <v/>
      </c>
      <c r="N238" s="60">
        <f>SUM(N239:N241)</f>
        <v/>
      </c>
      <c r="O238" s="60">
        <f>SUM(O239:O241)</f>
        <v/>
      </c>
      <c r="P238" s="60">
        <f>SUM(P239:P241)</f>
        <v/>
      </c>
    </row>
    <row r="239" ht="15.75" customHeight="1" s="45">
      <c r="A239" s="61" t="n">
        <v>46284</v>
      </c>
      <c r="B239" s="82" t="inlineStr">
        <is>
          <t>Pós-Projeto</t>
        </is>
      </c>
      <c r="C239" s="83" t="inlineStr">
        <is>
          <t>Acolhimento c/ Classif. de Risco</t>
        </is>
      </c>
      <c r="D239" s="64" t="n">
        <v>211</v>
      </c>
      <c r="E239" s="64" t="n">
        <v>142</v>
      </c>
      <c r="F239" s="64" t="n">
        <v>152</v>
      </c>
      <c r="G239" s="64" t="n">
        <v>143</v>
      </c>
      <c r="H239" s="64" t="n">
        <v>115</v>
      </c>
      <c r="I239" s="64" t="n">
        <v>191</v>
      </c>
      <c r="J239" s="64" t="n">
        <v>90</v>
      </c>
      <c r="K239" s="64" t="n">
        <v>242</v>
      </c>
      <c r="L239" s="64" t="n">
        <v>133</v>
      </c>
      <c r="M239" s="64" t="n">
        <v>216</v>
      </c>
      <c r="N239" s="64" t="n">
        <v>159</v>
      </c>
      <c r="O239" s="64" t="n">
        <v>231</v>
      </c>
      <c r="P239" s="64" t="n">
        <v>223</v>
      </c>
    </row>
    <row r="240" ht="15.75" customHeight="1" s="45">
      <c r="A240" s="61" t="n">
        <v>46284</v>
      </c>
      <c r="B240" s="82" t="inlineStr">
        <is>
          <t>Pós-Projeto</t>
        </is>
      </c>
      <c r="C240" s="84" t="inlineStr">
        <is>
          <t>Atend. Urgência Obs. ≤ 24h</t>
        </is>
      </c>
      <c r="D240" s="66" t="n">
        <v>20</v>
      </c>
      <c r="E240" s="66" t="n">
        <v>17</v>
      </c>
      <c r="F240" s="66" t="n">
        <v>15</v>
      </c>
      <c r="G240" s="66" t="n">
        <v>24</v>
      </c>
      <c r="H240" s="66" t="n">
        <v>16</v>
      </c>
      <c r="I240" s="66" t="n">
        <v>21</v>
      </c>
      <c r="J240" s="66" t="n">
        <v>11</v>
      </c>
      <c r="K240" s="66" t="n">
        <v>56</v>
      </c>
      <c r="L240" s="66" t="n">
        <v>31</v>
      </c>
      <c r="M240" s="66" t="n">
        <v>39</v>
      </c>
      <c r="N240" s="66" t="n">
        <v>14</v>
      </c>
      <c r="O240" s="66" t="n">
        <v>2</v>
      </c>
      <c r="P240" s="66" t="n">
        <v>35</v>
      </c>
    </row>
    <row r="241" ht="15.75" customHeight="1" s="45">
      <c r="A241" s="61" t="n">
        <v>46284</v>
      </c>
      <c r="B241" s="82" t="inlineStr">
        <is>
          <t>Pós-Projeto</t>
        </is>
      </c>
      <c r="C241" s="83" t="inlineStr">
        <is>
          <t>Atend. Médico em UPA</t>
        </is>
      </c>
      <c r="D241" s="64" t="n">
        <v>162</v>
      </c>
      <c r="E241" s="64" t="n">
        <v>81</v>
      </c>
      <c r="F241" s="64" t="n">
        <v>134</v>
      </c>
      <c r="G241" s="64" t="n">
        <v>62</v>
      </c>
      <c r="H241" s="64" t="n">
        <v>49</v>
      </c>
      <c r="I241" s="64" t="n">
        <v>162</v>
      </c>
      <c r="J241" s="64" t="n">
        <v>89</v>
      </c>
      <c r="K241" s="64" t="n">
        <v>245</v>
      </c>
      <c r="L241" s="64" t="n">
        <v>109</v>
      </c>
      <c r="M241" s="64" t="n">
        <v>134</v>
      </c>
      <c r="N241" s="64" t="n">
        <v>122</v>
      </c>
      <c r="O241" s="64" t="n">
        <v>157</v>
      </c>
      <c r="P241" s="64" t="n">
        <v>163</v>
      </c>
    </row>
    <row r="242" ht="15.75" customHeight="1" s="45">
      <c r="A242" s="61" t="n">
        <v>46284</v>
      </c>
      <c r="B242" s="82" t="inlineStr">
        <is>
          <t>Pós-Projeto</t>
        </is>
      </c>
      <c r="C242" s="84" t="inlineStr">
        <is>
          <t>Exames Laboratoriais</t>
        </is>
      </c>
      <c r="D242" s="66" t="n">
        <v>584</v>
      </c>
      <c r="E242" s="66" t="n">
        <v>487</v>
      </c>
      <c r="F242" s="66" t="n">
        <v>506</v>
      </c>
      <c r="G242" s="66" t="n">
        <v>208</v>
      </c>
      <c r="H242" s="66" t="n">
        <v>305</v>
      </c>
      <c r="I242" s="66" t="n">
        <v>479</v>
      </c>
      <c r="J242" s="66" t="n">
        <v>397</v>
      </c>
      <c r="K242" s="66" t="n">
        <v>867</v>
      </c>
      <c r="L242" s="66" t="n">
        <v>717</v>
      </c>
      <c r="M242" s="66" t="n">
        <v>660</v>
      </c>
      <c r="N242" s="66" t="n">
        <v>801</v>
      </c>
      <c r="O242" s="66" t="n">
        <v>380</v>
      </c>
      <c r="P242" s="66" t="n">
        <v>298</v>
      </c>
    </row>
    <row r="243" ht="15.75" customHeight="1" s="45">
      <c r="A243" s="61" t="n">
        <v>46284</v>
      </c>
      <c r="B243" s="82" t="inlineStr">
        <is>
          <t>Pós-Projeto</t>
        </is>
      </c>
      <c r="C243" s="83" t="inlineStr">
        <is>
          <t>Radiografias</t>
        </is>
      </c>
      <c r="D243" s="64" t="n">
        <v>24</v>
      </c>
      <c r="E243" s="64" t="n">
        <v>10</v>
      </c>
      <c r="F243" s="67" t="n">
        <v>0</v>
      </c>
      <c r="G243" s="67" t="n">
        <v>0</v>
      </c>
      <c r="H243" s="64" t="n">
        <v>6</v>
      </c>
      <c r="I243" s="64" t="n">
        <v>20</v>
      </c>
      <c r="J243" s="64" t="n">
        <v>5</v>
      </c>
      <c r="K243" s="64" t="n">
        <v>8</v>
      </c>
      <c r="L243" s="64" t="n">
        <v>18</v>
      </c>
      <c r="M243" s="64" t="n">
        <v>28</v>
      </c>
      <c r="N243" s="64" t="n">
        <v>24</v>
      </c>
      <c r="O243" s="64" t="n">
        <v>41</v>
      </c>
      <c r="P243" s="64" t="n">
        <v>45</v>
      </c>
    </row>
    <row r="244" ht="15.75" customHeight="1" s="45">
      <c r="A244" s="61" t="n">
        <v>46284</v>
      </c>
      <c r="B244" s="82" t="inlineStr">
        <is>
          <t>Pós-Projeto</t>
        </is>
      </c>
      <c r="C244" s="84" t="inlineStr">
        <is>
          <t>Eletrocardiogramas</t>
        </is>
      </c>
      <c r="D244" s="67" t="n">
        <v>0</v>
      </c>
      <c r="E244" s="66" t="n">
        <v>15</v>
      </c>
      <c r="F244" s="67" t="n">
        <v>0</v>
      </c>
      <c r="G244" s="67" t="n">
        <v>0</v>
      </c>
      <c r="H244" s="67" t="n">
        <v>0</v>
      </c>
      <c r="I244" s="67" t="n">
        <v>0</v>
      </c>
      <c r="J244" s="67" t="n">
        <v>0</v>
      </c>
      <c r="K244" s="66" t="n">
        <v>5</v>
      </c>
      <c r="L244" s="66" t="n">
        <v>13</v>
      </c>
      <c r="M244" s="67" t="n">
        <v>0</v>
      </c>
      <c r="N244" s="66" t="n">
        <v>10</v>
      </c>
      <c r="O244" s="67" t="n">
        <v>0</v>
      </c>
      <c r="P244" s="66" t="n">
        <v>13</v>
      </c>
    </row>
    <row r="245" ht="15.75" customHeight="1" s="45">
      <c r="A245" s="61" t="n">
        <v>46284</v>
      </c>
      <c r="B245" s="82" t="inlineStr">
        <is>
          <t>Pós-Projeto</t>
        </is>
      </c>
      <c r="C245" s="85" t="inlineStr">
        <is>
          <t>GAEs Abertas</t>
        </is>
      </c>
      <c r="D245" s="69" t="n">
        <v>223</v>
      </c>
      <c r="E245" s="69" t="n">
        <v>148</v>
      </c>
      <c r="F245" s="69" t="n">
        <v>154</v>
      </c>
      <c r="G245" s="69" t="n">
        <v>148</v>
      </c>
      <c r="H245" s="69" t="n">
        <v>123</v>
      </c>
      <c r="I245" s="69" t="n">
        <v>195</v>
      </c>
      <c r="J245" s="69" t="n">
        <v>92</v>
      </c>
      <c r="K245" s="69" t="n">
        <v>257</v>
      </c>
      <c r="L245" s="69" t="n">
        <v>137</v>
      </c>
      <c r="M245" s="69" t="n">
        <v>220</v>
      </c>
      <c r="N245" s="69" t="n">
        <v>163</v>
      </c>
      <c r="O245" s="69" t="n">
        <v>235</v>
      </c>
      <c r="P245" s="69" t="n">
        <v>228</v>
      </c>
    </row>
    <row r="246" ht="15.75" customHeight="1" s="45">
      <c r="A246" s="61" t="n">
        <v>46284</v>
      </c>
      <c r="B246" s="82" t="inlineStr">
        <is>
          <t>Pós-Projeto</t>
        </is>
      </c>
      <c r="C246" s="85" t="inlineStr">
        <is>
          <t>GAEs Classificadas</t>
        </is>
      </c>
      <c r="D246" s="69" t="n">
        <v>213</v>
      </c>
      <c r="E246" s="69" t="n">
        <v>143</v>
      </c>
      <c r="F246" s="69" t="n">
        <v>154</v>
      </c>
      <c r="G246" s="69" t="n">
        <v>143</v>
      </c>
      <c r="H246" s="69" t="n">
        <v>118</v>
      </c>
      <c r="I246" s="69" t="n">
        <v>188</v>
      </c>
      <c r="J246" s="69" t="n">
        <v>90</v>
      </c>
      <c r="K246" s="69" t="n">
        <v>240</v>
      </c>
      <c r="L246" s="69" t="n">
        <v>133</v>
      </c>
      <c r="M246" s="69" t="n">
        <v>213</v>
      </c>
      <c r="N246" s="69" t="n">
        <v>159</v>
      </c>
      <c r="O246" s="69" t="n">
        <v>233</v>
      </c>
      <c r="P246" s="69" t="n">
        <v>222</v>
      </c>
    </row>
    <row r="247" ht="15.75" customHeight="1" s="45">
      <c r="A247" s="61" t="n">
        <v>46284</v>
      </c>
      <c r="B247" s="82" t="inlineStr">
        <is>
          <t>Pós-Projeto</t>
        </is>
      </c>
      <c r="C247" s="86" t="inlineStr">
        <is>
          <t>Percentual de GAEs abertas classificadas</t>
        </is>
      </c>
      <c r="D247" s="71">
        <f>IFERROR(D246/D245,"-")</f>
        <v/>
      </c>
      <c r="E247" s="71">
        <f>IFERROR(E246/E245,"-")</f>
        <v/>
      </c>
      <c r="F247" s="71">
        <f>IFERROR(F246/F245,"-")</f>
        <v/>
      </c>
      <c r="G247" s="71">
        <f>IFERROR(G246/G245,"-")</f>
        <v/>
      </c>
      <c r="H247" s="71">
        <f>IFERROR(H246/H245,"-")</f>
        <v/>
      </c>
      <c r="I247" s="71">
        <f>IFERROR(I246/I245,"-")</f>
        <v/>
      </c>
      <c r="J247" s="71">
        <f>IFERROR(J246/J245,"-")</f>
        <v/>
      </c>
      <c r="K247" s="71">
        <f>IFERROR(K246/K245,"-")</f>
        <v/>
      </c>
      <c r="L247" s="71">
        <f>IFERROR(L246/L245,"-")</f>
        <v/>
      </c>
      <c r="M247" s="71">
        <f>IFERROR(M246/M245,"-")</f>
        <v/>
      </c>
      <c r="N247" s="71">
        <f>IFERROR(N246/N245,"-")</f>
        <v/>
      </c>
      <c r="O247" s="71">
        <f>IFERROR(O246/O245,"-")</f>
        <v/>
      </c>
      <c r="P247" s="71">
        <f>IFERROR(P246/P245,"-")</f>
        <v/>
      </c>
    </row>
    <row r="248" ht="15.75" customHeight="1" s="45">
      <c r="A248" s="61" t="n">
        <v>46284</v>
      </c>
      <c r="B248" s="82" t="inlineStr">
        <is>
          <t>Pós-Projeto</t>
        </is>
      </c>
      <c r="C248" s="87" t="inlineStr">
        <is>
          <t>Tempo Médio — 🟡 Amarelo (hh:mm)</t>
        </is>
      </c>
      <c r="D248" s="73" t="n">
        <v>0.04969907407407408</v>
      </c>
      <c r="E248" s="73" t="n">
        <v>0.1076967592592593</v>
      </c>
      <c r="F248" s="73" t="n">
        <v>0.02083333333333333</v>
      </c>
      <c r="G248" s="73" t="n">
        <v>0.1420833333333333</v>
      </c>
      <c r="H248" s="73" t="n">
        <v>0.03083333333333333</v>
      </c>
      <c r="I248" s="73" t="n">
        <v>0.03210648148148148</v>
      </c>
      <c r="J248" s="73" t="n">
        <v>0.01916666666666667</v>
      </c>
      <c r="K248" s="73" t="n">
        <v>0.08836805555555556</v>
      </c>
      <c r="L248" s="73" t="n">
        <v>0.04714120370370371</v>
      </c>
      <c r="M248" s="73" t="n">
        <v>0.08457175925925926</v>
      </c>
      <c r="N248" s="73" t="n">
        <v>0.05153935185185185</v>
      </c>
      <c r="O248" s="73" t="n">
        <v>0.02111111111111111</v>
      </c>
      <c r="P248" s="73" t="n">
        <v>0.02604166666666667</v>
      </c>
    </row>
    <row r="249" ht="15.75" customHeight="1" s="45">
      <c r="A249" s="61" t="n">
        <v>46284</v>
      </c>
      <c r="B249" s="82" t="inlineStr">
        <is>
          <t>Pós-Projeto</t>
        </is>
      </c>
      <c r="C249" s="88" t="inlineStr">
        <is>
          <t>Tempo Médio — 🟠 Laranja (hh:mm)</t>
        </is>
      </c>
      <c r="D249" s="75" t="n">
        <v>0.005486111111111111</v>
      </c>
      <c r="E249" s="75" t="n">
        <v>0.008981481481481481</v>
      </c>
      <c r="F249" s="75" t="n">
        <v>0.003368055555555556</v>
      </c>
      <c r="G249" s="75" t="n">
        <v>0.01043981481481481</v>
      </c>
      <c r="H249" s="75" t="n">
        <v>0.00738425925925926</v>
      </c>
      <c r="I249" s="75" t="n">
        <v>0.009166666666666667</v>
      </c>
      <c r="J249" s="75" t="n">
        <v>0.007199074074074074</v>
      </c>
      <c r="K249" s="75" t="n">
        <v>0.01209490740740741</v>
      </c>
      <c r="L249" s="80" t="n">
        <v>0</v>
      </c>
      <c r="M249" s="75" t="n">
        <v>0.01708333333333333</v>
      </c>
      <c r="N249" s="75" t="n">
        <v>0.01061342592592593</v>
      </c>
      <c r="O249" s="75" t="n">
        <v>0.006828703703703704</v>
      </c>
      <c r="P249" s="75" t="n">
        <v>0.008310185185185184</v>
      </c>
    </row>
    <row r="250" ht="15.75" customHeight="1" s="45">
      <c r="A250" s="76" t="n">
        <v>46284</v>
      </c>
      <c r="B250" s="82" t="inlineStr">
        <is>
          <t>Pós-Projeto</t>
        </is>
      </c>
      <c r="C250" s="91" t="inlineStr">
        <is>
          <t>Tempo Médio — 🟢 Verde   (hh:mm)</t>
        </is>
      </c>
      <c r="D250" s="79" t="n">
        <v>0.1152546296296296</v>
      </c>
      <c r="E250" s="79" t="n">
        <v>0.1525694444444445</v>
      </c>
      <c r="F250" s="79" t="n">
        <v>0.02238425925925926</v>
      </c>
      <c r="G250" s="79" t="n">
        <v>0.135162037037037</v>
      </c>
      <c r="H250" s="79" t="n">
        <v>0.0596875</v>
      </c>
      <c r="I250" s="79" t="n">
        <v>0.09200231481481481</v>
      </c>
      <c r="J250" s="79" t="n">
        <v>0.05761574074074074</v>
      </c>
      <c r="K250" s="79" t="n">
        <v>0.1258796296296296</v>
      </c>
      <c r="L250" s="79" t="n">
        <v>0.08956018518518519</v>
      </c>
      <c r="M250" s="79" t="n">
        <v>0.03858796296296296</v>
      </c>
      <c r="N250" s="79" t="n">
        <v>0.05101851851851852</v>
      </c>
      <c r="O250" s="79" t="n">
        <v>0.06592592592592593</v>
      </c>
      <c r="P250" s="79" t="n">
        <v>0.07328703703703704</v>
      </c>
    </row>
    <row r="251" ht="15.75" customHeight="1" s="45">
      <c r="A251" s="57" t="n">
        <v>46285</v>
      </c>
      <c r="B251" s="81" t="inlineStr">
        <is>
          <t>Pós-Projeto</t>
        </is>
      </c>
      <c r="C251" s="59" t="inlineStr">
        <is>
          <t>Acolhim. + Atend. Urgência + Atend. UPA</t>
        </is>
      </c>
      <c r="D251" s="60">
        <f>SUM(D252:D254)</f>
        <v/>
      </c>
      <c r="E251" s="60">
        <f>SUM(E252:E254)</f>
        <v/>
      </c>
      <c r="F251" s="60">
        <f>SUM(F252:F254)</f>
        <v/>
      </c>
      <c r="G251" s="60">
        <f>SUM(G252:G254)</f>
        <v/>
      </c>
      <c r="H251" s="60">
        <f>SUM(H252:H254)</f>
        <v/>
      </c>
      <c r="I251" s="60">
        <f>SUM(I252:I254)</f>
        <v/>
      </c>
      <c r="J251" s="60">
        <f>SUM(J252:J254)</f>
        <v/>
      </c>
      <c r="K251" s="60">
        <f>SUM(K252:K254)</f>
        <v/>
      </c>
      <c r="L251" s="60">
        <f>SUM(L252:L254)</f>
        <v/>
      </c>
      <c r="M251" s="60">
        <f>SUM(M252:M254)</f>
        <v/>
      </c>
      <c r="N251" s="60">
        <f>SUM(N252:N254)</f>
        <v/>
      </c>
      <c r="O251" s="60">
        <f>SUM(O252:O254)</f>
        <v/>
      </c>
      <c r="P251" s="60">
        <f>SUM(P252:P254)</f>
        <v/>
      </c>
    </row>
    <row r="252" ht="15.75" customHeight="1" s="45">
      <c r="A252" s="61" t="n">
        <v>46285</v>
      </c>
      <c r="B252" s="82" t="inlineStr">
        <is>
          <t>Pós-Projeto</t>
        </is>
      </c>
      <c r="C252" s="83" t="inlineStr">
        <is>
          <t>Acolhimento c/ Classif. de Risco</t>
        </is>
      </c>
      <c r="D252" s="66" t="n">
        <v>168</v>
      </c>
      <c r="E252" s="66" t="n">
        <v>132</v>
      </c>
      <c r="F252" s="66" t="n">
        <v>140</v>
      </c>
      <c r="G252" s="66" t="n">
        <v>127</v>
      </c>
      <c r="H252" s="66" t="n">
        <v>109</v>
      </c>
      <c r="I252" s="66" t="n">
        <v>162</v>
      </c>
      <c r="J252" s="66" t="n">
        <v>87</v>
      </c>
      <c r="K252" s="66" t="n">
        <v>219</v>
      </c>
      <c r="L252" s="66" t="n">
        <v>138</v>
      </c>
      <c r="M252" s="66" t="n">
        <v>209</v>
      </c>
      <c r="N252" s="66" t="n">
        <v>190</v>
      </c>
      <c r="O252" s="66" t="n">
        <v>247</v>
      </c>
      <c r="P252" s="66" t="n">
        <v>210</v>
      </c>
    </row>
    <row r="253" ht="15.75" customHeight="1" s="45">
      <c r="A253" s="61" t="n">
        <v>46285</v>
      </c>
      <c r="B253" s="82" t="inlineStr">
        <is>
          <t>Pós-Projeto</t>
        </is>
      </c>
      <c r="C253" s="84" t="inlineStr">
        <is>
          <t>Atend. Urgência Obs. ≤ 24h</t>
        </is>
      </c>
      <c r="D253" s="64" t="n">
        <v>19</v>
      </c>
      <c r="E253" s="64" t="n">
        <v>29</v>
      </c>
      <c r="F253" s="64" t="n">
        <v>12</v>
      </c>
      <c r="G253" s="64" t="n">
        <v>19</v>
      </c>
      <c r="H253" s="64" t="n">
        <v>13</v>
      </c>
      <c r="I253" s="64" t="n">
        <v>30</v>
      </c>
      <c r="J253" s="64" t="n">
        <v>15</v>
      </c>
      <c r="K253" s="64" t="n">
        <v>29</v>
      </c>
      <c r="L253" s="64" t="n">
        <v>32</v>
      </c>
      <c r="M253" s="64" t="n">
        <v>45</v>
      </c>
      <c r="N253" s="64" t="n">
        <v>29</v>
      </c>
      <c r="O253" s="64" t="n">
        <v>1</v>
      </c>
      <c r="P253" s="64" t="n">
        <v>20</v>
      </c>
    </row>
    <row r="254" ht="15.75" customHeight="1" s="45">
      <c r="A254" s="61" t="n">
        <v>46285</v>
      </c>
      <c r="B254" s="82" t="inlineStr">
        <is>
          <t>Pós-Projeto</t>
        </is>
      </c>
      <c r="C254" s="83" t="inlineStr">
        <is>
          <t>Atend. Médico em UPA</t>
        </is>
      </c>
      <c r="D254" s="66" t="n">
        <v>164</v>
      </c>
      <c r="E254" s="66" t="n">
        <v>54</v>
      </c>
      <c r="F254" s="66" t="n">
        <v>122</v>
      </c>
      <c r="G254" s="66" t="n">
        <v>56</v>
      </c>
      <c r="H254" s="66" t="n">
        <v>47</v>
      </c>
      <c r="I254" s="66" t="n">
        <v>157</v>
      </c>
      <c r="J254" s="66" t="n">
        <v>64</v>
      </c>
      <c r="K254" s="66" t="n">
        <v>145</v>
      </c>
      <c r="L254" s="66" t="n">
        <v>87</v>
      </c>
      <c r="M254" s="66" t="n">
        <v>172</v>
      </c>
      <c r="N254" s="66" t="n">
        <v>112</v>
      </c>
      <c r="O254" s="66" t="n">
        <v>195</v>
      </c>
      <c r="P254" s="66" t="n">
        <v>114</v>
      </c>
    </row>
    <row r="255" ht="15.75" customHeight="1" s="45">
      <c r="A255" s="61" t="n">
        <v>46285</v>
      </c>
      <c r="B255" s="82" t="inlineStr">
        <is>
          <t>Pós-Projeto</t>
        </is>
      </c>
      <c r="C255" s="84" t="inlineStr">
        <is>
          <t>Exames Laboratoriais</t>
        </is>
      </c>
      <c r="D255" s="64" t="n">
        <v>723</v>
      </c>
      <c r="E255" s="64" t="n">
        <v>303</v>
      </c>
      <c r="F255" s="64" t="n">
        <v>431</v>
      </c>
      <c r="G255" s="64" t="n">
        <v>188</v>
      </c>
      <c r="H255" s="64" t="n">
        <v>396</v>
      </c>
      <c r="I255" s="64" t="n">
        <v>706</v>
      </c>
      <c r="J255" s="64" t="n">
        <v>336</v>
      </c>
      <c r="K255" s="64" t="n">
        <v>613</v>
      </c>
      <c r="L255" s="64" t="n">
        <v>664</v>
      </c>
      <c r="M255" s="64" t="n">
        <v>560</v>
      </c>
      <c r="N255" s="64" t="n">
        <v>772</v>
      </c>
      <c r="O255" s="64" t="n">
        <v>427</v>
      </c>
      <c r="P255" s="64" t="n">
        <v>505</v>
      </c>
    </row>
    <row r="256" ht="15.75" customHeight="1" s="45">
      <c r="A256" s="61" t="n">
        <v>46285</v>
      </c>
      <c r="B256" s="82" t="inlineStr">
        <is>
          <t>Pós-Projeto</t>
        </is>
      </c>
      <c r="C256" s="83" t="inlineStr">
        <is>
          <t>Radiografias</t>
        </is>
      </c>
      <c r="D256" s="66" t="n">
        <v>27</v>
      </c>
      <c r="E256" s="66" t="n">
        <v>3</v>
      </c>
      <c r="F256" s="67" t="n">
        <v>0</v>
      </c>
      <c r="G256" s="67" t="n">
        <v>0</v>
      </c>
      <c r="H256" s="66" t="n">
        <v>7</v>
      </c>
      <c r="I256" s="66" t="n">
        <v>21</v>
      </c>
      <c r="J256" s="66" t="n">
        <v>14</v>
      </c>
      <c r="K256" s="66" t="n">
        <v>1</v>
      </c>
      <c r="L256" s="66" t="n">
        <v>9</v>
      </c>
      <c r="M256" s="66" t="n">
        <v>35</v>
      </c>
      <c r="N256" s="66" t="n">
        <v>16</v>
      </c>
      <c r="O256" s="66" t="n">
        <v>38</v>
      </c>
      <c r="P256" s="66" t="n">
        <v>21</v>
      </c>
    </row>
    <row r="257" ht="15.75" customHeight="1" s="45">
      <c r="A257" s="61" t="n">
        <v>46285</v>
      </c>
      <c r="B257" s="82" t="inlineStr">
        <is>
          <t>Pós-Projeto</t>
        </is>
      </c>
      <c r="C257" s="84" t="inlineStr">
        <is>
          <t>Eletrocardiogramas</t>
        </is>
      </c>
      <c r="D257" s="67" t="n">
        <v>0</v>
      </c>
      <c r="E257" s="64" t="n">
        <v>3</v>
      </c>
      <c r="F257" s="67" t="n">
        <v>0</v>
      </c>
      <c r="G257" s="67" t="n">
        <v>0</v>
      </c>
      <c r="H257" s="67" t="n">
        <v>0</v>
      </c>
      <c r="I257" s="67" t="n">
        <v>0</v>
      </c>
      <c r="J257" s="67" t="n">
        <v>0</v>
      </c>
      <c r="K257" s="64" t="n">
        <v>2</v>
      </c>
      <c r="L257" s="64" t="n">
        <v>18</v>
      </c>
      <c r="M257" s="67" t="n">
        <v>0</v>
      </c>
      <c r="N257" s="64" t="n">
        <v>11</v>
      </c>
      <c r="O257" s="67" t="n">
        <v>0</v>
      </c>
      <c r="P257" s="64" t="n">
        <v>17</v>
      </c>
    </row>
    <row r="258" ht="15.75" customHeight="1" s="45">
      <c r="A258" s="61" t="n">
        <v>46285</v>
      </c>
      <c r="B258" s="82" t="inlineStr">
        <is>
          <t>Pós-Projeto</t>
        </is>
      </c>
      <c r="C258" s="85" t="inlineStr">
        <is>
          <t>GAEs Abertas</t>
        </is>
      </c>
      <c r="D258" s="69" t="n">
        <v>180</v>
      </c>
      <c r="E258" s="69" t="n">
        <v>136</v>
      </c>
      <c r="F258" s="69" t="n">
        <v>142</v>
      </c>
      <c r="G258" s="69" t="n">
        <v>133</v>
      </c>
      <c r="H258" s="69" t="n">
        <v>111</v>
      </c>
      <c r="I258" s="69" t="n">
        <v>169</v>
      </c>
      <c r="J258" s="69" t="n">
        <v>91</v>
      </c>
      <c r="K258" s="69" t="n">
        <v>244</v>
      </c>
      <c r="L258" s="69" t="n">
        <v>146</v>
      </c>
      <c r="M258" s="69" t="n">
        <v>227</v>
      </c>
      <c r="N258" s="69" t="n">
        <v>193</v>
      </c>
      <c r="O258" s="69" t="n">
        <v>252</v>
      </c>
      <c r="P258" s="69" t="n">
        <v>214</v>
      </c>
    </row>
    <row r="259" ht="15.75" customHeight="1" s="45">
      <c r="A259" s="61" t="n">
        <v>46285</v>
      </c>
      <c r="B259" s="82" t="inlineStr">
        <is>
          <t>Pós-Projeto</t>
        </is>
      </c>
      <c r="C259" s="85" t="inlineStr">
        <is>
          <t>GAEs Classificadas</t>
        </is>
      </c>
      <c r="D259" s="69" t="n">
        <v>165</v>
      </c>
      <c r="E259" s="69" t="n">
        <v>132</v>
      </c>
      <c r="F259" s="69" t="n">
        <v>138</v>
      </c>
      <c r="G259" s="69" t="n">
        <v>126</v>
      </c>
      <c r="H259" s="69" t="n">
        <v>108</v>
      </c>
      <c r="I259" s="69" t="n">
        <v>164</v>
      </c>
      <c r="J259" s="69" t="n">
        <v>88</v>
      </c>
      <c r="K259" s="69" t="n">
        <v>221</v>
      </c>
      <c r="L259" s="69" t="n">
        <v>139</v>
      </c>
      <c r="M259" s="69" t="n">
        <v>210</v>
      </c>
      <c r="N259" s="69" t="n">
        <v>189</v>
      </c>
      <c r="O259" s="69" t="n">
        <v>245</v>
      </c>
      <c r="P259" s="69" t="n">
        <v>208</v>
      </c>
    </row>
    <row r="260" ht="15.75" customHeight="1" s="45">
      <c r="A260" s="61" t="n">
        <v>46285</v>
      </c>
      <c r="B260" s="82" t="inlineStr">
        <is>
          <t>Pós-Projeto</t>
        </is>
      </c>
      <c r="C260" s="86" t="inlineStr">
        <is>
          <t>Percentual de GAEs abertas classificadas</t>
        </is>
      </c>
      <c r="D260" s="71">
        <f>IFERROR(D259/D258,"-")</f>
        <v/>
      </c>
      <c r="E260" s="71">
        <f>IFERROR(E259/E258,"-")</f>
        <v/>
      </c>
      <c r="F260" s="71">
        <f>IFERROR(F259/F258,"-")</f>
        <v/>
      </c>
      <c r="G260" s="71">
        <f>IFERROR(G259/G258,"-")</f>
        <v/>
      </c>
      <c r="H260" s="71">
        <f>IFERROR(H259/H258,"-")</f>
        <v/>
      </c>
      <c r="I260" s="71">
        <f>IFERROR(I259/I258,"-")</f>
        <v/>
      </c>
      <c r="J260" s="71">
        <f>IFERROR(J259/J258,"-")</f>
        <v/>
      </c>
      <c r="K260" s="71">
        <f>IFERROR(K259/K258,"-")</f>
        <v/>
      </c>
      <c r="L260" s="71">
        <f>IFERROR(L259/L258,"-")</f>
        <v/>
      </c>
      <c r="M260" s="71">
        <f>IFERROR(M259/M258,"-")</f>
        <v/>
      </c>
      <c r="N260" s="71">
        <f>IFERROR(N259/N258,"-")</f>
        <v/>
      </c>
      <c r="O260" s="71">
        <f>IFERROR(O259/O258,"-")</f>
        <v/>
      </c>
      <c r="P260" s="71">
        <f>IFERROR(P259/P258,"-")</f>
        <v/>
      </c>
    </row>
    <row r="261" ht="15.75" customHeight="1" s="45">
      <c r="A261" s="61" t="n">
        <v>46285</v>
      </c>
      <c r="B261" s="82" t="inlineStr">
        <is>
          <t>Pós-Projeto</t>
        </is>
      </c>
      <c r="C261" s="87" t="inlineStr">
        <is>
          <t>Tempo Médio — 🟡 Amarelo (hh:mm)</t>
        </is>
      </c>
      <c r="D261" s="73" t="n">
        <v>0.04394675925925926</v>
      </c>
      <c r="E261" s="73" t="n">
        <v>0.1813078703703704</v>
      </c>
      <c r="F261" s="73" t="n">
        <v>0.03902777777777778</v>
      </c>
      <c r="G261" s="73" t="n">
        <v>0.09185185185185185</v>
      </c>
      <c r="H261" s="73" t="n">
        <v>0.066875</v>
      </c>
      <c r="I261" s="73" t="n">
        <v>0.0266087962962963</v>
      </c>
      <c r="J261" s="73" t="n">
        <v>0.07047453703703704</v>
      </c>
      <c r="K261" s="73" t="n">
        <v>0.1001967592592593</v>
      </c>
      <c r="L261" s="73" t="n">
        <v>0.1143865740740741</v>
      </c>
      <c r="M261" s="73" t="n">
        <v>0.0262962962962963</v>
      </c>
      <c r="N261" s="73" t="n">
        <v>0.1015277777777778</v>
      </c>
      <c r="O261" s="73" t="n">
        <v>0.03131944444444444</v>
      </c>
      <c r="P261" s="73" t="n">
        <v>0.02423611111111111</v>
      </c>
    </row>
    <row r="262" ht="15.75" customHeight="1" s="45">
      <c r="A262" s="61" t="n">
        <v>46285</v>
      </c>
      <c r="B262" s="82" t="inlineStr">
        <is>
          <t>Pós-Projeto</t>
        </is>
      </c>
      <c r="C262" s="88" t="inlineStr">
        <is>
          <t>Tempo Médio — 🟠 Laranja (hh:mm)</t>
        </is>
      </c>
      <c r="D262" s="75" t="n">
        <v>0.01053240740740741</v>
      </c>
      <c r="E262" s="75" t="n">
        <v>0.01369212962962963</v>
      </c>
      <c r="F262" s="75" t="n">
        <v>0.006041666666666667</v>
      </c>
      <c r="G262" s="75" t="n">
        <v>0.01349537037037037</v>
      </c>
      <c r="H262" s="75" t="n">
        <v>0.009803240740740741</v>
      </c>
      <c r="I262" s="75" t="n">
        <v>0.004166666666666667</v>
      </c>
      <c r="J262" s="75" t="n">
        <v>0.01916666666666667</v>
      </c>
      <c r="K262" s="75" t="n">
        <v>0.01145833333333333</v>
      </c>
      <c r="L262" s="75" t="n">
        <v>0.009108796296296297</v>
      </c>
      <c r="M262" s="75" t="n">
        <v>0.005972222222222223</v>
      </c>
      <c r="N262" s="75" t="n">
        <v>0.009837962962962963</v>
      </c>
      <c r="O262" s="75" t="n">
        <v>0.009942129629629629</v>
      </c>
      <c r="P262" s="75" t="n">
        <v>0.004988425925925926</v>
      </c>
    </row>
    <row r="263" ht="15.75" customHeight="1" s="45">
      <c r="A263" s="76" t="n">
        <v>46285</v>
      </c>
      <c r="B263" s="82" t="inlineStr">
        <is>
          <t>Pós-Projeto</t>
        </is>
      </c>
      <c r="C263" s="91" t="inlineStr">
        <is>
          <t>Tempo Médio — 🟢 Verde   (hh:mm)</t>
        </is>
      </c>
      <c r="D263" s="79" t="n">
        <v>0.1097106481481482</v>
      </c>
      <c r="E263" s="79" t="n">
        <v>0.1170601851851852</v>
      </c>
      <c r="F263" s="79" t="n">
        <v>0.06098379629629629</v>
      </c>
      <c r="G263" s="79" t="n">
        <v>0.1293055555555556</v>
      </c>
      <c r="H263" s="79" t="n">
        <v>0.0971875</v>
      </c>
      <c r="I263" s="79" t="n">
        <v>0.05931712962962963</v>
      </c>
      <c r="J263" s="79" t="n">
        <v>0.1605439814814815</v>
      </c>
      <c r="K263" s="79" t="n">
        <v>0.1096296296296296</v>
      </c>
      <c r="L263" s="79" t="n">
        <v>0.1884606481481481</v>
      </c>
      <c r="M263" s="79" t="n">
        <v>0.05908564814814815</v>
      </c>
      <c r="N263" s="79" t="n">
        <v>0.07385416666666667</v>
      </c>
      <c r="O263" s="79" t="n">
        <v>0.05986111111111111</v>
      </c>
      <c r="P263" s="79" t="n">
        <v>0.08100694444444445</v>
      </c>
    </row>
    <row r="264" ht="15.75" customHeight="1" s="45">
      <c r="A264" s="57" t="n">
        <v>46286</v>
      </c>
      <c r="B264" s="81" t="inlineStr">
        <is>
          <t>Pós-Projeto</t>
        </is>
      </c>
      <c r="C264" s="59" t="inlineStr">
        <is>
          <t>Acolhim. + Atend. Urgência + Atend. UPA</t>
        </is>
      </c>
      <c r="D264" s="60">
        <f>SUM(D265:D267)</f>
        <v/>
      </c>
      <c r="E264" s="60">
        <f>SUM(E265:E267)</f>
        <v/>
      </c>
      <c r="F264" s="60">
        <f>SUM(F265:F267)</f>
        <v/>
      </c>
      <c r="G264" s="60">
        <f>SUM(G265:G267)</f>
        <v/>
      </c>
      <c r="H264" s="60">
        <f>SUM(H265:H267)</f>
        <v/>
      </c>
      <c r="I264" s="60">
        <f>SUM(I265:I267)</f>
        <v/>
      </c>
      <c r="J264" s="60">
        <f>SUM(J265:J267)</f>
        <v/>
      </c>
      <c r="K264" s="60">
        <f>SUM(K265:K267)</f>
        <v/>
      </c>
      <c r="L264" s="60">
        <f>SUM(L265:L267)</f>
        <v/>
      </c>
      <c r="M264" s="60">
        <f>SUM(M265:M267)</f>
        <v/>
      </c>
      <c r="N264" s="60">
        <f>SUM(N265:N267)</f>
        <v/>
      </c>
      <c r="O264" s="60">
        <f>SUM(O265:O267)</f>
        <v/>
      </c>
      <c r="P264" s="60">
        <f>SUM(P265:P267)</f>
        <v/>
      </c>
    </row>
    <row r="265" ht="15.75" customHeight="1" s="45">
      <c r="A265" s="61" t="n">
        <v>46286</v>
      </c>
      <c r="B265" s="82" t="inlineStr">
        <is>
          <t>Pós-Projeto</t>
        </is>
      </c>
      <c r="C265" s="83" t="inlineStr">
        <is>
          <t>Acolhimento c/ Classif. de Risco</t>
        </is>
      </c>
      <c r="D265" s="64" t="n">
        <v>265</v>
      </c>
      <c r="E265" s="64" t="n">
        <v>175</v>
      </c>
      <c r="F265" s="64" t="n">
        <v>198</v>
      </c>
      <c r="G265" s="64" t="n">
        <v>189</v>
      </c>
      <c r="H265" s="64" t="n">
        <v>165</v>
      </c>
      <c r="I265" s="64" t="n">
        <v>227</v>
      </c>
      <c r="J265" s="64" t="n">
        <v>141</v>
      </c>
      <c r="K265" s="64" t="n">
        <v>341</v>
      </c>
      <c r="L265" s="64" t="n">
        <v>167</v>
      </c>
      <c r="M265" s="64" t="n">
        <v>272</v>
      </c>
      <c r="N265" s="64" t="n">
        <v>243</v>
      </c>
      <c r="O265" s="64" t="n">
        <v>323</v>
      </c>
      <c r="P265" s="64" t="n">
        <v>299</v>
      </c>
    </row>
    <row r="266" ht="15.75" customHeight="1" s="45">
      <c r="A266" s="61" t="n">
        <v>46286</v>
      </c>
      <c r="B266" s="82" t="inlineStr">
        <is>
          <t>Pós-Projeto</t>
        </is>
      </c>
      <c r="C266" s="84" t="inlineStr">
        <is>
          <t>Atend. Urgência Obs. ≤ 24h</t>
        </is>
      </c>
      <c r="D266" s="66" t="n">
        <v>34</v>
      </c>
      <c r="E266" s="66" t="n">
        <v>8</v>
      </c>
      <c r="F266" s="66" t="n">
        <v>11</v>
      </c>
      <c r="G266" s="66" t="n">
        <v>14</v>
      </c>
      <c r="H266" s="66" t="n">
        <v>7</v>
      </c>
      <c r="I266" s="66" t="n">
        <v>27</v>
      </c>
      <c r="J266" s="66" t="n">
        <v>8</v>
      </c>
      <c r="K266" s="66" t="n">
        <v>31</v>
      </c>
      <c r="L266" s="66" t="n">
        <v>28</v>
      </c>
      <c r="M266" s="66" t="n">
        <v>20</v>
      </c>
      <c r="N266" s="66" t="n">
        <v>34</v>
      </c>
      <c r="O266" s="66" t="n">
        <v>1</v>
      </c>
      <c r="P266" s="66" t="n">
        <v>7</v>
      </c>
    </row>
    <row r="267" ht="15.75" customHeight="1" s="45">
      <c r="A267" s="61" t="n">
        <v>46286</v>
      </c>
      <c r="B267" s="82" t="inlineStr">
        <is>
          <t>Pós-Projeto</t>
        </is>
      </c>
      <c r="C267" s="83" t="inlineStr">
        <is>
          <t>Atend. Médico em UPA</t>
        </is>
      </c>
      <c r="D267" s="64" t="n">
        <v>199</v>
      </c>
      <c r="E267" s="64" t="n">
        <v>125</v>
      </c>
      <c r="F267" s="64" t="n">
        <v>151</v>
      </c>
      <c r="G267" s="64" t="n">
        <v>130</v>
      </c>
      <c r="H267" s="64" t="n">
        <v>117</v>
      </c>
      <c r="I267" s="64" t="n">
        <v>198</v>
      </c>
      <c r="J267" s="64" t="n">
        <v>69</v>
      </c>
      <c r="K267" s="64" t="n">
        <v>319</v>
      </c>
      <c r="L267" s="64" t="n">
        <v>121</v>
      </c>
      <c r="M267" s="64" t="n">
        <v>196</v>
      </c>
      <c r="N267" s="64" t="n">
        <v>164</v>
      </c>
      <c r="O267" s="64" t="n">
        <v>209</v>
      </c>
      <c r="P267" s="64" t="n">
        <v>131</v>
      </c>
    </row>
    <row r="268" ht="15.75" customHeight="1" s="45">
      <c r="A268" s="61" t="n">
        <v>46286</v>
      </c>
      <c r="B268" s="82" t="inlineStr">
        <is>
          <t>Pós-Projeto</t>
        </is>
      </c>
      <c r="C268" s="84" t="inlineStr">
        <is>
          <t>Exames Laboratoriais</t>
        </is>
      </c>
      <c r="D268" s="66" t="n">
        <v>823</v>
      </c>
      <c r="E268" s="66" t="n">
        <v>505</v>
      </c>
      <c r="F268" s="66" t="n">
        <v>450</v>
      </c>
      <c r="G268" s="66" t="n">
        <v>137</v>
      </c>
      <c r="H268" s="66" t="n">
        <v>527</v>
      </c>
      <c r="I268" s="66" t="n">
        <v>634</v>
      </c>
      <c r="J268" s="66" t="n">
        <v>295</v>
      </c>
      <c r="K268" s="66" t="n">
        <v>823</v>
      </c>
      <c r="L268" s="66" t="n">
        <v>559</v>
      </c>
      <c r="M268" s="66" t="n">
        <v>798</v>
      </c>
      <c r="N268" s="66" t="n">
        <v>763</v>
      </c>
      <c r="O268" s="66" t="n">
        <v>433</v>
      </c>
      <c r="P268" s="66" t="n">
        <v>725</v>
      </c>
    </row>
    <row r="269" ht="15.75" customHeight="1" s="45">
      <c r="A269" s="61" t="n">
        <v>46286</v>
      </c>
      <c r="B269" s="82" t="inlineStr">
        <is>
          <t>Pós-Projeto</t>
        </is>
      </c>
      <c r="C269" s="83" t="inlineStr">
        <is>
          <t>Radiografias</t>
        </is>
      </c>
      <c r="D269" s="64" t="n">
        <v>19</v>
      </c>
      <c r="E269" s="64" t="n">
        <v>16</v>
      </c>
      <c r="F269" s="67" t="n">
        <v>0</v>
      </c>
      <c r="G269" s="67" t="n">
        <v>0</v>
      </c>
      <c r="H269" s="64" t="n">
        <v>8</v>
      </c>
      <c r="I269" s="64" t="n">
        <v>27</v>
      </c>
      <c r="J269" s="64" t="n">
        <v>20</v>
      </c>
      <c r="K269" s="64" t="n">
        <v>28</v>
      </c>
      <c r="L269" s="64" t="n">
        <v>7</v>
      </c>
      <c r="M269" s="64" t="n">
        <v>45</v>
      </c>
      <c r="N269" s="64" t="n">
        <v>34</v>
      </c>
      <c r="O269" s="64" t="n">
        <v>41</v>
      </c>
      <c r="P269" s="64" t="n">
        <v>36</v>
      </c>
    </row>
    <row r="270" ht="15.75" customHeight="1" s="45">
      <c r="A270" s="61" t="n">
        <v>46286</v>
      </c>
      <c r="B270" s="82" t="inlineStr">
        <is>
          <t>Pós-Projeto</t>
        </is>
      </c>
      <c r="C270" s="84" t="inlineStr">
        <is>
          <t>Eletrocardiogramas</t>
        </is>
      </c>
      <c r="D270" s="67" t="n">
        <v>0</v>
      </c>
      <c r="E270" s="66" t="n">
        <v>9</v>
      </c>
      <c r="F270" s="67" t="n">
        <v>0</v>
      </c>
      <c r="G270" s="66" t="n">
        <v>14</v>
      </c>
      <c r="H270" s="67" t="n">
        <v>0</v>
      </c>
      <c r="I270" s="67" t="n">
        <v>0</v>
      </c>
      <c r="J270" s="67" t="n">
        <v>0</v>
      </c>
      <c r="K270" s="66" t="n">
        <v>1</v>
      </c>
      <c r="L270" s="67" t="n">
        <v>0</v>
      </c>
      <c r="M270" s="66" t="n">
        <v>1</v>
      </c>
      <c r="N270" s="66" t="n">
        <v>6</v>
      </c>
      <c r="O270" s="66" t="n">
        <v>1</v>
      </c>
      <c r="P270" s="66" t="n">
        <v>8</v>
      </c>
    </row>
    <row r="271" ht="15.75" customHeight="1" s="45">
      <c r="A271" s="61" t="n">
        <v>46286</v>
      </c>
      <c r="B271" s="82" t="inlineStr">
        <is>
          <t>Pós-Projeto</t>
        </is>
      </c>
      <c r="C271" s="85" t="inlineStr">
        <is>
          <t>GAEs Abertas</t>
        </is>
      </c>
      <c r="D271" s="69" t="n">
        <v>289</v>
      </c>
      <c r="E271" s="69" t="n">
        <v>180</v>
      </c>
      <c r="F271" s="69" t="n">
        <v>199</v>
      </c>
      <c r="G271" s="69" t="n">
        <v>194</v>
      </c>
      <c r="H271" s="69" t="n">
        <v>173</v>
      </c>
      <c r="I271" s="69" t="n">
        <v>242</v>
      </c>
      <c r="J271" s="69" t="n">
        <v>145</v>
      </c>
      <c r="K271" s="69" t="n">
        <v>376</v>
      </c>
      <c r="L271" s="69" t="n">
        <v>175</v>
      </c>
      <c r="M271" s="69" t="n">
        <v>284</v>
      </c>
      <c r="N271" s="69" t="n">
        <v>264</v>
      </c>
      <c r="O271" s="69" t="n">
        <v>337</v>
      </c>
      <c r="P271" s="69" t="n">
        <v>317</v>
      </c>
    </row>
    <row r="272" ht="15.75" customHeight="1" s="45">
      <c r="A272" s="61" t="n">
        <v>46286</v>
      </c>
      <c r="B272" s="82" t="inlineStr">
        <is>
          <t>Pós-Projeto</t>
        </is>
      </c>
      <c r="C272" s="85" t="inlineStr">
        <is>
          <t>GAEs Classificadas</t>
        </is>
      </c>
      <c r="D272" s="69" t="n">
        <v>271</v>
      </c>
      <c r="E272" s="69" t="n">
        <v>175</v>
      </c>
      <c r="F272" s="69" t="n">
        <v>198</v>
      </c>
      <c r="G272" s="69" t="n">
        <v>190</v>
      </c>
      <c r="H272" s="69" t="n">
        <v>164</v>
      </c>
      <c r="I272" s="69" t="n">
        <v>225</v>
      </c>
      <c r="J272" s="69" t="n">
        <v>141</v>
      </c>
      <c r="K272" s="69" t="n">
        <v>341</v>
      </c>
      <c r="L272" s="69" t="n">
        <v>166</v>
      </c>
      <c r="M272" s="69" t="n">
        <v>273</v>
      </c>
      <c r="N272" s="69" t="n">
        <v>244</v>
      </c>
      <c r="O272" s="69" t="n">
        <v>325</v>
      </c>
      <c r="P272" s="69" t="n">
        <v>301</v>
      </c>
    </row>
    <row r="273" ht="15.75" customHeight="1" s="45">
      <c r="A273" s="61" t="n">
        <v>46286</v>
      </c>
      <c r="B273" s="82" t="inlineStr">
        <is>
          <t>Pós-Projeto</t>
        </is>
      </c>
      <c r="C273" s="86" t="inlineStr">
        <is>
          <t>Percentual de GAEs abertas classificadas</t>
        </is>
      </c>
      <c r="D273" s="71">
        <f>IFERROR(D272/D271,"-")</f>
        <v/>
      </c>
      <c r="E273" s="71">
        <f>IFERROR(E272/E271,"-")</f>
        <v/>
      </c>
      <c r="F273" s="71">
        <f>IFERROR(F272/F271,"-")</f>
        <v/>
      </c>
      <c r="G273" s="71">
        <f>IFERROR(G272/G271,"-")</f>
        <v/>
      </c>
      <c r="H273" s="71">
        <f>IFERROR(H272/H271,"-")</f>
        <v/>
      </c>
      <c r="I273" s="71">
        <f>IFERROR(I272/I271,"-")</f>
        <v/>
      </c>
      <c r="J273" s="71">
        <f>IFERROR(J272/J271,"-")</f>
        <v/>
      </c>
      <c r="K273" s="71">
        <f>IFERROR(K272/K271,"-")</f>
        <v/>
      </c>
      <c r="L273" s="71">
        <f>IFERROR(L272/L271,"-")</f>
        <v/>
      </c>
      <c r="M273" s="71">
        <f>IFERROR(M272/M271,"-")</f>
        <v/>
      </c>
      <c r="N273" s="71">
        <f>IFERROR(N272/N271,"-")</f>
        <v/>
      </c>
      <c r="O273" s="71">
        <f>IFERROR(O272/O271,"-")</f>
        <v/>
      </c>
      <c r="P273" s="71">
        <f>IFERROR(P272/P271,"-")</f>
        <v/>
      </c>
    </row>
    <row r="274" ht="15.75" customHeight="1" s="45">
      <c r="A274" s="61" t="n">
        <v>46286</v>
      </c>
      <c r="B274" s="82" t="inlineStr">
        <is>
          <t>Pós-Projeto</t>
        </is>
      </c>
      <c r="C274" s="87" t="inlineStr">
        <is>
          <t>Tempo Médio — 🟡 Amarelo (hh:mm)</t>
        </is>
      </c>
      <c r="D274" s="73" t="n">
        <v>0.058125</v>
      </c>
      <c r="E274" s="73" t="n">
        <v>0.04368055555555556</v>
      </c>
      <c r="F274" s="73" t="n">
        <v>0.04082175925925926</v>
      </c>
      <c r="G274" s="73" t="n">
        <v>0.03565972222222222</v>
      </c>
      <c r="H274" s="73" t="n">
        <v>0.0596875</v>
      </c>
      <c r="I274" s="73" t="n">
        <v>0.03833333333333333</v>
      </c>
      <c r="J274" s="73" t="n">
        <v>0.08831018518518519</v>
      </c>
      <c r="K274" s="73" t="n">
        <v>0.05832175925925926</v>
      </c>
      <c r="L274" s="73" t="n">
        <v>0.107650462962963</v>
      </c>
      <c r="M274" s="73" t="n">
        <v>0.03537037037037037</v>
      </c>
      <c r="N274" s="73" t="n">
        <v>0.1180208333333333</v>
      </c>
      <c r="O274" s="73" t="n">
        <v>0.04497685185185185</v>
      </c>
      <c r="P274" s="73" t="n">
        <v>0.08384259259259259</v>
      </c>
    </row>
    <row r="275" ht="15.75" customHeight="1" s="45">
      <c r="A275" s="61" t="n">
        <v>46286</v>
      </c>
      <c r="B275" s="82" t="inlineStr">
        <is>
          <t>Pós-Projeto</t>
        </is>
      </c>
      <c r="C275" s="88" t="inlineStr">
        <is>
          <t>Tempo Médio — 🟠 Laranja (hh:mm)</t>
        </is>
      </c>
      <c r="D275" s="75" t="n">
        <v>0.008356481481481482</v>
      </c>
      <c r="E275" s="75" t="n">
        <v>0.005057870370370371</v>
      </c>
      <c r="F275" s="75" t="n">
        <v>0.006018518518518519</v>
      </c>
      <c r="G275" s="75" t="n">
        <v>0.00425925925925926</v>
      </c>
      <c r="H275" s="75" t="n">
        <v>0.004675925925925926</v>
      </c>
      <c r="I275" s="75" t="n">
        <v>0.002974537037037037</v>
      </c>
      <c r="J275" s="75" t="n">
        <v>0.01302083333333333</v>
      </c>
      <c r="K275" s="75" t="n">
        <v>0.0115625</v>
      </c>
      <c r="L275" s="75" t="n">
        <v>0.01792824074074074</v>
      </c>
      <c r="M275" s="75" t="n">
        <v>0.004780092592592593</v>
      </c>
      <c r="N275" s="75" t="n">
        <v>0.0275462962962963</v>
      </c>
      <c r="O275" s="75" t="n">
        <v>0.009467592592592593</v>
      </c>
      <c r="P275" s="75" t="n">
        <v>0.01417824074074074</v>
      </c>
    </row>
    <row r="276" ht="15.75" customHeight="1" s="45">
      <c r="A276" s="76" t="n">
        <v>46286</v>
      </c>
      <c r="B276" s="82" t="inlineStr">
        <is>
          <t>Pós-Projeto</t>
        </is>
      </c>
      <c r="C276" s="91" t="inlineStr">
        <is>
          <t>Tempo Médio — 🟢 Verde   (hh:mm)</t>
        </is>
      </c>
      <c r="D276" s="79" t="n">
        <v>0.08319444444444445</v>
      </c>
      <c r="E276" s="79" t="n">
        <v>0.1072337962962963</v>
      </c>
      <c r="F276" s="79" t="n">
        <v>0.07440972222222222</v>
      </c>
      <c r="G276" s="79" t="n">
        <v>0.08590277777777777</v>
      </c>
      <c r="H276" s="79" t="n">
        <v>0.1221643518518519</v>
      </c>
      <c r="I276" s="79" t="n">
        <v>0.09638888888888889</v>
      </c>
      <c r="J276" s="79" t="n">
        <v>0.06143518518518518</v>
      </c>
      <c r="K276" s="79" t="n">
        <v>0.07258101851851852</v>
      </c>
      <c r="L276" s="79" t="n">
        <v>0.1375115740740741</v>
      </c>
      <c r="M276" s="79" t="n">
        <v>0.0905787037037037</v>
      </c>
      <c r="N276" s="79" t="n">
        <v>0.08486111111111111</v>
      </c>
      <c r="O276" s="79" t="n">
        <v>0.09694444444444444</v>
      </c>
      <c r="P276" s="79" t="n">
        <v>0.0699074074074074</v>
      </c>
    </row>
    <row r="277" ht="15.75" customHeight="1" s="45">
      <c r="A277" s="57" t="n">
        <v>46287</v>
      </c>
      <c r="B277" s="81" t="inlineStr">
        <is>
          <t>Pós-Projeto</t>
        </is>
      </c>
      <c r="C277" s="59" t="inlineStr">
        <is>
          <t>Acolhim. + Atend. Urgência + Atend. UPA</t>
        </is>
      </c>
      <c r="D277" s="60">
        <f>SUM(D278:D280)</f>
        <v/>
      </c>
      <c r="E277" s="60">
        <f>SUM(E278:E280)</f>
        <v/>
      </c>
      <c r="F277" s="60">
        <f>SUM(F278:F280)</f>
        <v/>
      </c>
      <c r="G277" s="60">
        <f>SUM(G278:G280)</f>
        <v/>
      </c>
      <c r="H277" s="60">
        <f>SUM(H278:H280)</f>
        <v/>
      </c>
      <c r="I277" s="60">
        <f>SUM(I278:I280)</f>
        <v/>
      </c>
      <c r="J277" s="60">
        <f>SUM(J278:J280)</f>
        <v/>
      </c>
      <c r="K277" s="60">
        <f>SUM(K278:K280)</f>
        <v/>
      </c>
      <c r="L277" s="60">
        <f>SUM(L278:L280)</f>
        <v/>
      </c>
      <c r="M277" s="60">
        <f>SUM(M278:M280)</f>
        <v/>
      </c>
      <c r="N277" s="60">
        <f>SUM(N278:N280)</f>
        <v/>
      </c>
      <c r="O277" s="60">
        <f>SUM(O278:O280)</f>
        <v/>
      </c>
      <c r="P277" s="60">
        <f>SUM(P278:P280)</f>
        <v/>
      </c>
    </row>
    <row r="278" ht="15.75" customHeight="1" s="45">
      <c r="A278" s="61" t="n">
        <v>46287</v>
      </c>
      <c r="B278" s="82" t="inlineStr">
        <is>
          <t>Pós-Projeto</t>
        </is>
      </c>
      <c r="C278" s="83" t="inlineStr">
        <is>
          <t>Acolhimento c/ Classif. de Risco</t>
        </is>
      </c>
      <c r="D278" s="66" t="n">
        <v>225</v>
      </c>
      <c r="E278" s="66" t="n">
        <v>176</v>
      </c>
      <c r="F278" s="66" t="n">
        <v>178</v>
      </c>
      <c r="G278" s="66" t="n">
        <v>160</v>
      </c>
      <c r="H278" s="66" t="n">
        <v>158</v>
      </c>
      <c r="I278" s="66" t="n">
        <v>228</v>
      </c>
      <c r="J278" s="66" t="n">
        <v>130</v>
      </c>
      <c r="K278" s="66" t="n">
        <v>298</v>
      </c>
      <c r="L278" s="66" t="n">
        <v>143</v>
      </c>
      <c r="M278" s="66" t="n">
        <v>249</v>
      </c>
      <c r="N278" s="66" t="n">
        <v>216</v>
      </c>
      <c r="O278" s="66" t="n">
        <v>257</v>
      </c>
      <c r="P278" s="66" t="n">
        <v>249</v>
      </c>
    </row>
    <row r="279" ht="15.75" customHeight="1" s="45">
      <c r="A279" s="61" t="n">
        <v>46287</v>
      </c>
      <c r="B279" s="82" t="inlineStr">
        <is>
          <t>Pós-Projeto</t>
        </is>
      </c>
      <c r="C279" s="84" t="inlineStr">
        <is>
          <t>Atend. Urgência Obs. ≤ 24h</t>
        </is>
      </c>
      <c r="D279" s="64" t="n">
        <v>36</v>
      </c>
      <c r="E279" s="64" t="n">
        <v>14</v>
      </c>
      <c r="F279" s="64" t="n">
        <v>19</v>
      </c>
      <c r="G279" s="64" t="n">
        <v>5</v>
      </c>
      <c r="H279" s="64" t="n">
        <v>13</v>
      </c>
      <c r="I279" s="64" t="n">
        <v>24</v>
      </c>
      <c r="J279" s="64" t="n">
        <v>10</v>
      </c>
      <c r="K279" s="64" t="n">
        <v>43</v>
      </c>
      <c r="L279" s="64" t="n">
        <v>39</v>
      </c>
      <c r="M279" s="64" t="n">
        <v>27</v>
      </c>
      <c r="N279" s="64" t="n">
        <v>30</v>
      </c>
      <c r="O279" s="64" t="n">
        <v>7</v>
      </c>
      <c r="P279" s="64" t="n">
        <v>23</v>
      </c>
    </row>
    <row r="280" ht="15.75" customHeight="1" s="45">
      <c r="A280" s="61" t="n">
        <v>46287</v>
      </c>
      <c r="B280" s="82" t="inlineStr">
        <is>
          <t>Pós-Projeto</t>
        </is>
      </c>
      <c r="C280" s="83" t="inlineStr">
        <is>
          <t>Atend. Médico em UPA</t>
        </is>
      </c>
      <c r="D280" s="66" t="n">
        <v>190</v>
      </c>
      <c r="E280" s="66" t="n">
        <v>131</v>
      </c>
      <c r="F280" s="66" t="n">
        <v>157</v>
      </c>
      <c r="G280" s="66" t="n">
        <v>96</v>
      </c>
      <c r="H280" s="66" t="n">
        <v>98</v>
      </c>
      <c r="I280" s="66" t="n">
        <v>185</v>
      </c>
      <c r="J280" s="66" t="n">
        <v>108</v>
      </c>
      <c r="K280" s="66" t="n">
        <v>262</v>
      </c>
      <c r="L280" s="66" t="n">
        <v>80</v>
      </c>
      <c r="M280" s="66" t="n">
        <v>186</v>
      </c>
      <c r="N280" s="66" t="n">
        <v>176</v>
      </c>
      <c r="O280" s="66" t="n">
        <v>116</v>
      </c>
      <c r="P280" s="66" t="n">
        <v>136</v>
      </c>
    </row>
    <row r="281" ht="15.75" customHeight="1" s="45">
      <c r="A281" s="61" t="n">
        <v>46287</v>
      </c>
      <c r="B281" s="82" t="inlineStr">
        <is>
          <t>Pós-Projeto</t>
        </is>
      </c>
      <c r="C281" s="84" t="inlineStr">
        <is>
          <t>Exames Laboratoriais</t>
        </is>
      </c>
      <c r="D281" s="64" t="n">
        <v>625</v>
      </c>
      <c r="E281" s="64" t="n">
        <v>435</v>
      </c>
      <c r="F281" s="64" t="n">
        <v>499</v>
      </c>
      <c r="G281" s="64" t="n">
        <v>228</v>
      </c>
      <c r="H281" s="64" t="n">
        <v>580</v>
      </c>
      <c r="I281" s="64" t="n">
        <v>569</v>
      </c>
      <c r="J281" s="64" t="n">
        <v>310</v>
      </c>
      <c r="K281" s="64" t="n">
        <v>834</v>
      </c>
      <c r="L281" s="64" t="n">
        <v>610</v>
      </c>
      <c r="M281" s="64" t="n">
        <v>696</v>
      </c>
      <c r="N281" s="64" t="n">
        <v>528</v>
      </c>
      <c r="O281" s="64" t="n">
        <v>460</v>
      </c>
      <c r="P281" s="64" t="n">
        <v>313</v>
      </c>
    </row>
    <row r="282" ht="15.75" customHeight="1" s="45">
      <c r="A282" s="61" t="n">
        <v>46287</v>
      </c>
      <c r="B282" s="82" t="inlineStr">
        <is>
          <t>Pós-Projeto</t>
        </is>
      </c>
      <c r="C282" s="83" t="inlineStr">
        <is>
          <t>Radiografias</t>
        </is>
      </c>
      <c r="D282" s="66" t="n">
        <v>23</v>
      </c>
      <c r="E282" s="66" t="n">
        <v>28</v>
      </c>
      <c r="F282" s="67" t="n">
        <v>0</v>
      </c>
      <c r="G282" s="67" t="n">
        <v>0</v>
      </c>
      <c r="H282" s="66" t="n">
        <v>30</v>
      </c>
      <c r="I282" s="66" t="n">
        <v>21</v>
      </c>
      <c r="J282" s="66" t="n">
        <v>8</v>
      </c>
      <c r="K282" s="66" t="n">
        <v>45</v>
      </c>
      <c r="L282" s="66" t="n">
        <v>9</v>
      </c>
      <c r="M282" s="66" t="n">
        <v>47</v>
      </c>
      <c r="N282" s="66" t="n">
        <v>21</v>
      </c>
      <c r="O282" s="66" t="n">
        <v>41</v>
      </c>
      <c r="P282" s="66" t="n">
        <v>21</v>
      </c>
    </row>
    <row r="283" ht="15.75" customHeight="1" s="45">
      <c r="A283" s="61" t="n">
        <v>46287</v>
      </c>
      <c r="B283" s="82" t="inlineStr">
        <is>
          <t>Pós-Projeto</t>
        </is>
      </c>
      <c r="C283" s="84" t="inlineStr">
        <is>
          <t>Eletrocardiogramas</t>
        </is>
      </c>
      <c r="D283" s="67" t="n">
        <v>0</v>
      </c>
      <c r="E283" s="64" t="n">
        <v>1</v>
      </c>
      <c r="F283" s="67" t="n">
        <v>0</v>
      </c>
      <c r="G283" s="64" t="n">
        <v>1</v>
      </c>
      <c r="H283" s="67" t="n">
        <v>0</v>
      </c>
      <c r="I283" s="67" t="n">
        <v>0</v>
      </c>
      <c r="J283" s="67" t="n">
        <v>0</v>
      </c>
      <c r="K283" s="64" t="n">
        <v>5</v>
      </c>
      <c r="L283" s="67" t="n">
        <v>0</v>
      </c>
      <c r="M283" s="67" t="n">
        <v>0</v>
      </c>
      <c r="N283" s="64" t="n">
        <v>15</v>
      </c>
      <c r="O283" s="67" t="n">
        <v>0</v>
      </c>
      <c r="P283" s="67" t="n">
        <v>0</v>
      </c>
    </row>
    <row r="284" ht="15.75" customHeight="1" s="45">
      <c r="A284" s="61" t="n">
        <v>46287</v>
      </c>
      <c r="B284" s="82" t="inlineStr">
        <is>
          <t>Pós-Projeto</t>
        </is>
      </c>
      <c r="C284" s="85" t="inlineStr">
        <is>
          <t>GAEs Abertas</t>
        </is>
      </c>
      <c r="D284" s="69" t="n">
        <v>227</v>
      </c>
      <c r="E284" s="69" t="n">
        <v>177</v>
      </c>
      <c r="F284" s="69" t="n">
        <v>181</v>
      </c>
      <c r="G284" s="69" t="n">
        <v>168</v>
      </c>
      <c r="H284" s="69" t="n">
        <v>159</v>
      </c>
      <c r="I284" s="69" t="n">
        <v>234</v>
      </c>
      <c r="J284" s="69" t="n">
        <v>137</v>
      </c>
      <c r="K284" s="69" t="n">
        <v>350</v>
      </c>
      <c r="L284" s="69" t="n">
        <v>145</v>
      </c>
      <c r="M284" s="69" t="n">
        <v>271</v>
      </c>
      <c r="N284" s="69" t="n">
        <v>228</v>
      </c>
      <c r="O284" s="69" t="n">
        <v>295</v>
      </c>
      <c r="P284" s="69" t="n">
        <v>260</v>
      </c>
    </row>
    <row r="285" ht="15.75" customHeight="1" s="45">
      <c r="A285" s="61" t="n">
        <v>46287</v>
      </c>
      <c r="B285" s="82" t="inlineStr">
        <is>
          <t>Pós-Projeto</t>
        </is>
      </c>
      <c r="C285" s="85" t="inlineStr">
        <is>
          <t>GAEs Classificadas</t>
        </is>
      </c>
      <c r="D285" s="69" t="n">
        <v>218</v>
      </c>
      <c r="E285" s="69" t="n">
        <v>175</v>
      </c>
      <c r="F285" s="69" t="n">
        <v>178</v>
      </c>
      <c r="G285" s="69" t="n">
        <v>159</v>
      </c>
      <c r="H285" s="69" t="n">
        <v>157</v>
      </c>
      <c r="I285" s="69" t="n">
        <v>230</v>
      </c>
      <c r="J285" s="69" t="n">
        <v>131</v>
      </c>
      <c r="K285" s="69" t="n">
        <v>298</v>
      </c>
      <c r="L285" s="69" t="n">
        <v>143</v>
      </c>
      <c r="M285" s="69" t="n">
        <v>251</v>
      </c>
      <c r="N285" s="69" t="n">
        <v>215</v>
      </c>
      <c r="O285" s="69" t="n">
        <v>256</v>
      </c>
      <c r="P285" s="69" t="n">
        <v>247</v>
      </c>
    </row>
    <row r="286" ht="15.75" customHeight="1" s="45">
      <c r="A286" s="61" t="n">
        <v>46287</v>
      </c>
      <c r="B286" s="82" t="inlineStr">
        <is>
          <t>Pós-Projeto</t>
        </is>
      </c>
      <c r="C286" s="86" t="inlineStr">
        <is>
          <t>Percentual de GAEs abertas classificadas</t>
        </is>
      </c>
      <c r="D286" s="71">
        <f>IFERROR(D285/D284,"-")</f>
        <v/>
      </c>
      <c r="E286" s="71">
        <f>IFERROR(E285/E284,"-")</f>
        <v/>
      </c>
      <c r="F286" s="71">
        <f>IFERROR(F285/F284,"-")</f>
        <v/>
      </c>
      <c r="G286" s="71">
        <f>IFERROR(G285/G284,"-")</f>
        <v/>
      </c>
      <c r="H286" s="71">
        <f>IFERROR(H285/H284,"-")</f>
        <v/>
      </c>
      <c r="I286" s="71">
        <f>IFERROR(I285/I284,"-")</f>
        <v/>
      </c>
      <c r="J286" s="71">
        <f>IFERROR(J285/J284,"-")</f>
        <v/>
      </c>
      <c r="K286" s="71">
        <f>IFERROR(K285/K284,"-")</f>
        <v/>
      </c>
      <c r="L286" s="71">
        <f>IFERROR(L285/L284,"-")</f>
        <v/>
      </c>
      <c r="M286" s="71">
        <f>IFERROR(M285/M284,"-")</f>
        <v/>
      </c>
      <c r="N286" s="71">
        <f>IFERROR(N285/N284,"-")</f>
        <v/>
      </c>
      <c r="O286" s="71">
        <f>IFERROR(O285/O284,"-")</f>
        <v/>
      </c>
      <c r="P286" s="71">
        <f>IFERROR(P285/P284,"-")</f>
        <v/>
      </c>
    </row>
    <row r="287" ht="15.75" customHeight="1" s="45">
      <c r="A287" s="61" t="n">
        <v>46287</v>
      </c>
      <c r="B287" s="82" t="inlineStr">
        <is>
          <t>Pós-Projeto</t>
        </is>
      </c>
      <c r="C287" s="87" t="inlineStr">
        <is>
          <t>Tempo Médio — 🟡 Amarelo (hh:mm)</t>
        </is>
      </c>
      <c r="D287" s="73" t="n">
        <v>0.07451388888888889</v>
      </c>
      <c r="E287" s="73" t="n">
        <v>0.03020833333333333</v>
      </c>
      <c r="F287" s="73" t="n">
        <v>0.01915509259259259</v>
      </c>
      <c r="G287" s="73" t="n">
        <v>0.06403935185185185</v>
      </c>
      <c r="H287" s="73" t="n">
        <v>0.08721064814814815</v>
      </c>
      <c r="I287" s="73" t="n">
        <v>0.04719907407407407</v>
      </c>
      <c r="J287" s="73" t="n">
        <v>0.06546296296296296</v>
      </c>
      <c r="K287" s="73" t="n">
        <v>0.06202546296296296</v>
      </c>
      <c r="L287" s="73" t="n">
        <v>0.1404398148148148</v>
      </c>
      <c r="M287" s="73" t="n">
        <v>0.03815972222222222</v>
      </c>
      <c r="N287" s="73" t="n">
        <v>0.0862962962962963</v>
      </c>
      <c r="O287" s="73" t="n">
        <v>0.05821759259259259</v>
      </c>
      <c r="P287" s="73" t="n">
        <v>0.08149305555555555</v>
      </c>
    </row>
    <row r="288" ht="15.75" customHeight="1" s="45">
      <c r="A288" s="61" t="n">
        <v>46287</v>
      </c>
      <c r="B288" s="82" t="inlineStr">
        <is>
          <t>Pós-Projeto</t>
        </is>
      </c>
      <c r="C288" s="88" t="inlineStr">
        <is>
          <t>Tempo Médio — 🟠 Laranja (hh:mm)</t>
        </is>
      </c>
      <c r="D288" s="75" t="n">
        <v>0.01828703703703704</v>
      </c>
      <c r="E288" s="75" t="n">
        <v>0.01826388888888889</v>
      </c>
      <c r="F288" s="75" t="n">
        <v>0.006793981481481482</v>
      </c>
      <c r="G288" s="75" t="n">
        <v>0.01394675925925926</v>
      </c>
      <c r="H288" s="75" t="n">
        <v>0.002337962962962963</v>
      </c>
      <c r="I288" s="75" t="n">
        <v>0.004108796296296296</v>
      </c>
      <c r="J288" s="75" t="n">
        <v>0.01491898148148148</v>
      </c>
      <c r="K288" s="75" t="n">
        <v>0.01655092592592593</v>
      </c>
      <c r="L288" s="75" t="n">
        <v>0.03453703703703704</v>
      </c>
      <c r="M288" s="75" t="n">
        <v>0.01644675925925926</v>
      </c>
      <c r="N288" s="75" t="n">
        <v>0.02238425925925926</v>
      </c>
      <c r="O288" s="75" t="n">
        <v>0.009918981481481482</v>
      </c>
      <c r="P288" s="75" t="n">
        <v>0.009085648148148148</v>
      </c>
    </row>
    <row r="289" ht="15.75" customHeight="1" s="45">
      <c r="A289" s="76" t="n">
        <v>46287</v>
      </c>
      <c r="B289" s="82" t="inlineStr">
        <is>
          <t>Pós-Projeto</t>
        </is>
      </c>
      <c r="C289" s="91" t="inlineStr">
        <is>
          <t>Tempo Médio — 🟢 Verde   (hh:mm)</t>
        </is>
      </c>
      <c r="D289" s="79" t="n">
        <v>0.07636574074074073</v>
      </c>
      <c r="E289" s="79" t="n">
        <v>0.1318402777777778</v>
      </c>
      <c r="F289" s="79" t="n">
        <v>0.03877314814814815</v>
      </c>
      <c r="G289" s="79" t="n">
        <v>0.08603009259259259</v>
      </c>
      <c r="H289" s="79" t="n">
        <v>0.09019675925925925</v>
      </c>
      <c r="I289" s="79" t="n">
        <v>0.1124768518518519</v>
      </c>
      <c r="J289" s="79" t="n">
        <v>0.08928240740740741</v>
      </c>
      <c r="K289" s="79" t="n">
        <v>0.09873842592592592</v>
      </c>
      <c r="L289" s="79" t="n">
        <v>0.09194444444444444</v>
      </c>
      <c r="M289" s="79" t="n">
        <v>0.06849537037037037</v>
      </c>
      <c r="N289" s="79" t="n">
        <v>0.09756944444444444</v>
      </c>
      <c r="O289" s="79" t="n">
        <v>0.1016782407407407</v>
      </c>
      <c r="P289" s="79" t="n">
        <v>0.07269675925925925</v>
      </c>
    </row>
    <row r="290" ht="15.75" customHeight="1" s="45">
      <c r="A290" s="57" t="n">
        <v>46288</v>
      </c>
      <c r="B290" s="81" t="inlineStr">
        <is>
          <t>Pós-Projeto</t>
        </is>
      </c>
      <c r="C290" s="59" t="inlineStr">
        <is>
          <t>Acolhim. + Atend. Urgência + Atend. UPA</t>
        </is>
      </c>
      <c r="D290" s="60">
        <f>SUM(D291:D293)</f>
        <v/>
      </c>
      <c r="E290" s="60">
        <f>SUM(E291:E293)</f>
        <v/>
      </c>
      <c r="F290" s="60">
        <f>SUM(F291:F293)</f>
        <v/>
      </c>
      <c r="G290" s="60">
        <f>SUM(G291:G293)</f>
        <v/>
      </c>
      <c r="H290" s="60">
        <f>SUM(H291:H293)</f>
        <v/>
      </c>
      <c r="I290" s="60">
        <f>SUM(I291:I293)</f>
        <v/>
      </c>
      <c r="J290" s="60">
        <f>SUM(J291:J293)</f>
        <v/>
      </c>
      <c r="K290" s="60">
        <f>SUM(K291:K293)</f>
        <v/>
      </c>
      <c r="L290" s="60">
        <f>SUM(L291:L293)</f>
        <v/>
      </c>
      <c r="M290" s="60">
        <f>SUM(M291:M293)</f>
        <v/>
      </c>
      <c r="N290" s="60">
        <f>SUM(N291:N293)</f>
        <v/>
      </c>
      <c r="O290" s="60">
        <f>SUM(O291:O293)</f>
        <v/>
      </c>
      <c r="P290" s="60">
        <f>SUM(P291:P293)</f>
        <v/>
      </c>
    </row>
    <row r="291" ht="15.75" customHeight="1" s="45">
      <c r="A291" s="61" t="n">
        <v>46288</v>
      </c>
      <c r="B291" s="82" t="inlineStr">
        <is>
          <t>Pós-Projeto</t>
        </is>
      </c>
      <c r="C291" s="83" t="inlineStr">
        <is>
          <t>Acolhimento c/ Classif. de Risco</t>
        </is>
      </c>
      <c r="D291" s="64" t="n">
        <v>224</v>
      </c>
      <c r="E291" s="64" t="n">
        <v>180</v>
      </c>
      <c r="F291" s="64" t="n">
        <v>156</v>
      </c>
      <c r="G291" s="64" t="n">
        <v>158</v>
      </c>
      <c r="H291" s="64" t="n">
        <v>145</v>
      </c>
      <c r="I291" s="64" t="n">
        <v>196</v>
      </c>
      <c r="J291" s="64" t="n">
        <v>139</v>
      </c>
      <c r="K291" s="64" t="n">
        <v>259</v>
      </c>
      <c r="L291" s="64" t="n">
        <v>146</v>
      </c>
      <c r="M291" s="64" t="n">
        <v>254</v>
      </c>
      <c r="N291" s="64" t="n">
        <v>199</v>
      </c>
      <c r="O291" s="64" t="n">
        <v>290</v>
      </c>
      <c r="P291" s="64" t="n">
        <v>251</v>
      </c>
    </row>
    <row r="292" ht="15.75" customHeight="1" s="45">
      <c r="A292" s="61" t="n">
        <v>46288</v>
      </c>
      <c r="B292" s="82" t="inlineStr">
        <is>
          <t>Pós-Projeto</t>
        </is>
      </c>
      <c r="C292" s="84" t="inlineStr">
        <is>
          <t>Atend. Urgência Obs. ≤ 24h</t>
        </is>
      </c>
      <c r="D292" s="66" t="n">
        <v>19</v>
      </c>
      <c r="E292" s="66" t="n">
        <v>10</v>
      </c>
      <c r="F292" s="66" t="n">
        <v>16</v>
      </c>
      <c r="G292" s="66" t="n">
        <v>11</v>
      </c>
      <c r="H292" s="66" t="n">
        <v>7</v>
      </c>
      <c r="I292" s="66" t="n">
        <v>24</v>
      </c>
      <c r="J292" s="66" t="n">
        <v>13</v>
      </c>
      <c r="K292" s="66" t="n">
        <v>25</v>
      </c>
      <c r="L292" s="66" t="n">
        <v>34</v>
      </c>
      <c r="M292" s="66" t="n">
        <v>39</v>
      </c>
      <c r="N292" s="66" t="n">
        <v>23</v>
      </c>
      <c r="O292" s="66" t="n">
        <v>44</v>
      </c>
      <c r="P292" s="66" t="n">
        <v>18</v>
      </c>
    </row>
    <row r="293" ht="15.75" customHeight="1" s="45">
      <c r="A293" s="61" t="n">
        <v>46288</v>
      </c>
      <c r="B293" s="82" t="inlineStr">
        <is>
          <t>Pós-Projeto</t>
        </is>
      </c>
      <c r="C293" s="83" t="inlineStr">
        <is>
          <t>Atend. Médico em UPA</t>
        </is>
      </c>
      <c r="D293" s="64" t="n">
        <v>187</v>
      </c>
      <c r="E293" s="64" t="n">
        <v>125</v>
      </c>
      <c r="F293" s="64" t="n">
        <v>120</v>
      </c>
      <c r="G293" s="64" t="n">
        <v>109</v>
      </c>
      <c r="H293" s="64" t="n">
        <v>109</v>
      </c>
      <c r="I293" s="64" t="n">
        <v>189</v>
      </c>
      <c r="J293" s="64" t="n">
        <v>111</v>
      </c>
      <c r="K293" s="64" t="n">
        <v>197</v>
      </c>
      <c r="L293" s="64" t="n">
        <v>112</v>
      </c>
      <c r="M293" s="64" t="n">
        <v>212</v>
      </c>
      <c r="N293" s="64" t="n">
        <v>181</v>
      </c>
      <c r="O293" s="64" t="n">
        <v>226</v>
      </c>
      <c r="P293" s="64" t="n">
        <v>171</v>
      </c>
    </row>
    <row r="294" ht="15.75" customHeight="1" s="45">
      <c r="A294" s="61" t="n">
        <v>46288</v>
      </c>
      <c r="B294" s="82" t="inlineStr">
        <is>
          <t>Pós-Projeto</t>
        </is>
      </c>
      <c r="C294" s="84" t="inlineStr">
        <is>
          <t>Exames Laboratoriais</t>
        </is>
      </c>
      <c r="D294" s="66" t="n">
        <v>604</v>
      </c>
      <c r="E294" s="66" t="n">
        <v>581</v>
      </c>
      <c r="F294" s="66" t="n">
        <v>708</v>
      </c>
      <c r="G294" s="66" t="n">
        <v>163</v>
      </c>
      <c r="H294" s="66" t="n">
        <v>406</v>
      </c>
      <c r="I294" s="66" t="n">
        <v>715</v>
      </c>
      <c r="J294" s="66" t="n">
        <v>478</v>
      </c>
      <c r="K294" s="66" t="n">
        <v>775</v>
      </c>
      <c r="L294" s="66" t="n">
        <v>788</v>
      </c>
      <c r="M294" s="66" t="n">
        <v>761</v>
      </c>
      <c r="N294" s="66" t="n">
        <v>595</v>
      </c>
      <c r="O294" s="66" t="n">
        <v>485</v>
      </c>
      <c r="P294" s="66" t="n">
        <v>724</v>
      </c>
    </row>
    <row r="295" ht="15.75" customHeight="1" s="45">
      <c r="A295" s="61" t="n">
        <v>46288</v>
      </c>
      <c r="B295" s="82" t="inlineStr">
        <is>
          <t>Pós-Projeto</t>
        </is>
      </c>
      <c r="C295" s="83" t="inlineStr">
        <is>
          <t>Radiografias</t>
        </is>
      </c>
      <c r="D295" s="64" t="n">
        <v>22</v>
      </c>
      <c r="E295" s="64" t="n">
        <v>22</v>
      </c>
      <c r="F295" s="64" t="n">
        <v>6</v>
      </c>
      <c r="G295" s="67" t="n">
        <v>0</v>
      </c>
      <c r="H295" s="64" t="n">
        <v>18</v>
      </c>
      <c r="I295" s="64" t="n">
        <v>29</v>
      </c>
      <c r="J295" s="64" t="n">
        <v>21</v>
      </c>
      <c r="K295" s="64" t="n">
        <v>54</v>
      </c>
      <c r="L295" s="64" t="n">
        <v>25</v>
      </c>
      <c r="M295" s="64" t="n">
        <v>38</v>
      </c>
      <c r="N295" s="64" t="n">
        <v>5</v>
      </c>
      <c r="O295" s="64" t="n">
        <v>53</v>
      </c>
      <c r="P295" s="64" t="n">
        <v>30</v>
      </c>
    </row>
    <row r="296" ht="15.75" customHeight="1" s="45">
      <c r="A296" s="61" t="n">
        <v>46288</v>
      </c>
      <c r="B296" s="82" t="inlineStr">
        <is>
          <t>Pós-Projeto</t>
        </is>
      </c>
      <c r="C296" s="84" t="inlineStr">
        <is>
          <t>Eletrocardiogramas</t>
        </is>
      </c>
      <c r="D296" s="67" t="n">
        <v>0</v>
      </c>
      <c r="E296" s="66" t="n">
        <v>1</v>
      </c>
      <c r="F296" s="66" t="n">
        <v>1</v>
      </c>
      <c r="G296" s="67" t="n">
        <v>0</v>
      </c>
      <c r="H296" s="67" t="n">
        <v>0</v>
      </c>
      <c r="I296" s="67" t="n">
        <v>0</v>
      </c>
      <c r="J296" s="67" t="n">
        <v>0</v>
      </c>
      <c r="K296" s="66" t="n">
        <v>3</v>
      </c>
      <c r="L296" s="67" t="n">
        <v>0</v>
      </c>
      <c r="M296" s="67" t="n">
        <v>0</v>
      </c>
      <c r="N296" s="66" t="n">
        <v>17</v>
      </c>
      <c r="O296" s="67" t="n">
        <v>0</v>
      </c>
      <c r="P296" s="66" t="n">
        <v>2</v>
      </c>
    </row>
    <row r="297" ht="15.75" customHeight="1" s="45">
      <c r="A297" s="61" t="n">
        <v>46288</v>
      </c>
      <c r="B297" s="82" t="inlineStr">
        <is>
          <t>Pós-Projeto</t>
        </is>
      </c>
      <c r="C297" s="85" t="inlineStr">
        <is>
          <t>GAEs Abertas</t>
        </is>
      </c>
      <c r="D297" s="69" t="n">
        <v>244</v>
      </c>
      <c r="E297" s="69" t="n">
        <v>184</v>
      </c>
      <c r="F297" s="69" t="n">
        <v>160</v>
      </c>
      <c r="G297" s="69" t="n">
        <v>163</v>
      </c>
      <c r="H297" s="69" t="n">
        <v>147</v>
      </c>
      <c r="I297" s="69" t="n">
        <v>199</v>
      </c>
      <c r="J297" s="69" t="n">
        <v>138</v>
      </c>
      <c r="K297" s="69" t="n">
        <v>298</v>
      </c>
      <c r="L297" s="69" t="n">
        <v>157</v>
      </c>
      <c r="M297" s="69" t="n">
        <v>267</v>
      </c>
      <c r="N297" s="69" t="n">
        <v>208</v>
      </c>
      <c r="O297" s="69" t="n">
        <v>297</v>
      </c>
      <c r="P297" s="69" t="n">
        <v>256</v>
      </c>
    </row>
    <row r="298" ht="15.75" customHeight="1" s="45">
      <c r="A298" s="61" t="n">
        <v>46288</v>
      </c>
      <c r="B298" s="82" t="inlineStr">
        <is>
          <t>Pós-Projeto</t>
        </is>
      </c>
      <c r="C298" s="85" t="inlineStr">
        <is>
          <t>GAEs Classificadas</t>
        </is>
      </c>
      <c r="D298" s="69" t="n">
        <v>225</v>
      </c>
      <c r="E298" s="69" t="n">
        <v>182</v>
      </c>
      <c r="F298" s="69" t="n">
        <v>156</v>
      </c>
      <c r="G298" s="69" t="n">
        <v>159</v>
      </c>
      <c r="H298" s="69" t="n">
        <v>146</v>
      </c>
      <c r="I298" s="69" t="n">
        <v>194</v>
      </c>
      <c r="J298" s="69" t="n">
        <v>136</v>
      </c>
      <c r="K298" s="69" t="n">
        <v>264</v>
      </c>
      <c r="L298" s="69" t="n">
        <v>148</v>
      </c>
      <c r="M298" s="69" t="n">
        <v>257</v>
      </c>
      <c r="N298" s="69" t="n">
        <v>199</v>
      </c>
      <c r="O298" s="69" t="n">
        <v>289</v>
      </c>
      <c r="P298" s="69" t="n">
        <v>249</v>
      </c>
    </row>
    <row r="299" ht="15.75" customHeight="1" s="45">
      <c r="A299" s="61" t="n">
        <v>46288</v>
      </c>
      <c r="B299" s="82" t="inlineStr">
        <is>
          <t>Pós-Projeto</t>
        </is>
      </c>
      <c r="C299" s="86" t="inlineStr">
        <is>
          <t>Percentual de GAEs abertas classificadas</t>
        </is>
      </c>
      <c r="D299" s="71">
        <f>IFERROR(D298/D297,"-")</f>
        <v/>
      </c>
      <c r="E299" s="71">
        <f>IFERROR(E298/E297,"-")</f>
        <v/>
      </c>
      <c r="F299" s="71">
        <f>IFERROR(F298/F297,"-")</f>
        <v/>
      </c>
      <c r="G299" s="71">
        <f>IFERROR(G298/G297,"-")</f>
        <v/>
      </c>
      <c r="H299" s="71">
        <f>IFERROR(H298/H297,"-")</f>
        <v/>
      </c>
      <c r="I299" s="71">
        <f>IFERROR(I298/I297,"-")</f>
        <v/>
      </c>
      <c r="J299" s="71">
        <f>IFERROR(J298/J297,"-")</f>
        <v/>
      </c>
      <c r="K299" s="71">
        <f>IFERROR(K298/K297,"-")</f>
        <v/>
      </c>
      <c r="L299" s="71">
        <f>IFERROR(L298/L297,"-")</f>
        <v/>
      </c>
      <c r="M299" s="71">
        <f>IFERROR(M298/M297,"-")</f>
        <v/>
      </c>
      <c r="N299" s="71">
        <f>IFERROR(N298/N297,"-")</f>
        <v/>
      </c>
      <c r="O299" s="71">
        <f>IFERROR(O298/O297,"-")</f>
        <v/>
      </c>
      <c r="P299" s="71">
        <f>IFERROR(P298/P297,"-")</f>
        <v/>
      </c>
    </row>
    <row r="300" ht="15.75" customHeight="1" s="45">
      <c r="A300" s="61" t="n">
        <v>46288</v>
      </c>
      <c r="B300" s="82" t="inlineStr">
        <is>
          <t>Pós-Projeto</t>
        </is>
      </c>
      <c r="C300" s="87" t="inlineStr">
        <is>
          <t>Tempo Médio — 🟡 Amarelo (hh:mm)</t>
        </is>
      </c>
      <c r="D300" s="73" t="n">
        <v>0.0859375</v>
      </c>
      <c r="E300" s="73" t="n">
        <v>0.04055555555555555</v>
      </c>
      <c r="F300" s="73" t="n">
        <v>0.04023148148148148</v>
      </c>
      <c r="G300" s="73" t="n">
        <v>0.04282407407407408</v>
      </c>
      <c r="H300" s="73" t="n">
        <v>0.03805555555555556</v>
      </c>
      <c r="I300" s="73" t="n">
        <v>0.0375</v>
      </c>
      <c r="J300" s="73" t="n">
        <v>0.03275462962962963</v>
      </c>
      <c r="K300" s="73" t="n">
        <v>0.08030092592592593</v>
      </c>
      <c r="L300" s="73" t="n">
        <v>0.07857638888888889</v>
      </c>
      <c r="M300" s="73" t="n">
        <v>0.04048611111111111</v>
      </c>
      <c r="N300" s="73" t="n">
        <v>0.05828703703703704</v>
      </c>
      <c r="O300" s="73" t="n">
        <v>0.05674768518518519</v>
      </c>
      <c r="P300" s="73" t="n">
        <v>0.09097222222222222</v>
      </c>
    </row>
    <row r="301" ht="15.75" customHeight="1" s="45">
      <c r="A301" s="61" t="n">
        <v>46288</v>
      </c>
      <c r="B301" s="82" t="inlineStr">
        <is>
          <t>Pós-Projeto</t>
        </is>
      </c>
      <c r="C301" s="88" t="inlineStr">
        <is>
          <t>Tempo Médio — 🟠 Laranja (hh:mm)</t>
        </is>
      </c>
      <c r="D301" s="75" t="n">
        <v>0.009421296296296296</v>
      </c>
      <c r="E301" s="75" t="n">
        <v>0.003356481481481482</v>
      </c>
      <c r="F301" s="75" t="n">
        <v>0.00681712962962963</v>
      </c>
      <c r="G301" s="75" t="n">
        <v>0.005613425925925926</v>
      </c>
      <c r="H301" s="75" t="n">
        <v>0.003784722222222222</v>
      </c>
      <c r="I301" s="75" t="n">
        <v>0.008912037037037038</v>
      </c>
      <c r="J301" s="75" t="n">
        <v>0.01644675925925926</v>
      </c>
      <c r="K301" s="75" t="n">
        <v>0.02107638888888889</v>
      </c>
      <c r="L301" s="75" t="n">
        <v>0.01585648148148148</v>
      </c>
      <c r="M301" s="75" t="n">
        <v>0.002407407407407408</v>
      </c>
      <c r="N301" s="75" t="n">
        <v>0.007199074074074074</v>
      </c>
      <c r="O301" s="75" t="n">
        <v>0.01008101851851852</v>
      </c>
      <c r="P301" s="75" t="n">
        <v>0.008506944444444444</v>
      </c>
    </row>
    <row r="302" ht="15.75" customHeight="1" s="45">
      <c r="A302" s="76" t="n">
        <v>46288</v>
      </c>
      <c r="B302" s="82" t="inlineStr">
        <is>
          <t>Pós-Projeto</t>
        </is>
      </c>
      <c r="C302" s="91" t="inlineStr">
        <is>
          <t>Tempo Médio — 🟢 Verde   (hh:mm)</t>
        </is>
      </c>
      <c r="D302" s="79" t="n">
        <v>0.08725694444444444</v>
      </c>
      <c r="E302" s="79" t="n">
        <v>0.09855324074074075</v>
      </c>
      <c r="F302" s="79" t="n">
        <v>0.08236111111111111</v>
      </c>
      <c r="G302" s="79" t="n">
        <v>0.0758449074074074</v>
      </c>
      <c r="H302" s="79" t="n">
        <v>0.07641203703703704</v>
      </c>
      <c r="I302" s="79" t="n">
        <v>0.0947337962962963</v>
      </c>
      <c r="J302" s="79" t="n">
        <v>0.07401620370370371</v>
      </c>
      <c r="K302" s="79" t="n">
        <v>0.09123842592592593</v>
      </c>
      <c r="L302" s="79" t="n">
        <v>0.1043171296296296</v>
      </c>
      <c r="M302" s="79" t="n">
        <v>0.06155092592592593</v>
      </c>
      <c r="N302" s="79" t="n">
        <v>0.109212962962963</v>
      </c>
      <c r="O302" s="79" t="n">
        <v>0.1049537037037037</v>
      </c>
      <c r="P302" s="79" t="n">
        <v>0.07560185185185185</v>
      </c>
    </row>
    <row r="303" ht="15.75" customHeight="1" s="45">
      <c r="A303" s="57" t="n">
        <v>46289</v>
      </c>
      <c r="B303" s="81" t="inlineStr">
        <is>
          <t>Pós-Projeto</t>
        </is>
      </c>
      <c r="C303" s="59" t="inlineStr">
        <is>
          <t>Acolhim. + Atend. Urgência + Atend. UPA</t>
        </is>
      </c>
      <c r="D303" s="60">
        <f>SUM(D304:D306)</f>
        <v/>
      </c>
      <c r="E303" s="60">
        <f>SUM(E304:E306)</f>
        <v/>
      </c>
      <c r="F303" s="60">
        <f>SUM(F304:F306)</f>
        <v/>
      </c>
      <c r="G303" s="60">
        <f>SUM(G304:G306)</f>
        <v/>
      </c>
      <c r="H303" s="60">
        <f>SUM(H304:H306)</f>
        <v/>
      </c>
      <c r="I303" s="60">
        <f>SUM(I304:I306)</f>
        <v/>
      </c>
      <c r="J303" s="60">
        <f>SUM(J304:J306)</f>
        <v/>
      </c>
      <c r="K303" s="60">
        <f>SUM(K304:K306)</f>
        <v/>
      </c>
      <c r="L303" s="60">
        <f>SUM(L304:L306)</f>
        <v/>
      </c>
      <c r="M303" s="60">
        <f>SUM(M304:M306)</f>
        <v/>
      </c>
      <c r="N303" s="60">
        <f>SUM(N304:N306)</f>
        <v/>
      </c>
      <c r="O303" s="60">
        <f>SUM(O304:O306)</f>
        <v/>
      </c>
      <c r="P303" s="60">
        <f>SUM(P304:P306)</f>
        <v/>
      </c>
    </row>
    <row r="304" ht="15.75" customHeight="1" s="45">
      <c r="A304" s="61" t="n">
        <v>46289</v>
      </c>
      <c r="B304" s="82" t="inlineStr">
        <is>
          <t>Pós-Projeto</t>
        </is>
      </c>
      <c r="C304" s="83" t="inlineStr">
        <is>
          <t>Acolhimento c/ Classif. de Risco</t>
        </is>
      </c>
      <c r="D304" s="66" t="n">
        <v>222</v>
      </c>
      <c r="E304" s="66" t="n">
        <v>177</v>
      </c>
      <c r="F304" s="66" t="n">
        <v>159</v>
      </c>
      <c r="G304" s="66" t="n">
        <v>141</v>
      </c>
      <c r="H304" s="66" t="n">
        <v>175</v>
      </c>
      <c r="I304" s="66" t="n">
        <v>211</v>
      </c>
      <c r="J304" s="66" t="n">
        <v>140</v>
      </c>
      <c r="K304" s="66" t="n">
        <v>292</v>
      </c>
      <c r="L304" s="66" t="n">
        <v>137</v>
      </c>
      <c r="M304" s="66" t="n">
        <v>233</v>
      </c>
      <c r="N304" s="66" t="n">
        <v>200</v>
      </c>
      <c r="O304" s="66" t="n">
        <v>287</v>
      </c>
      <c r="P304" s="66" t="n">
        <v>256</v>
      </c>
    </row>
    <row r="305" ht="15.75" customHeight="1" s="45">
      <c r="A305" s="61" t="n">
        <v>46289</v>
      </c>
      <c r="B305" s="82" t="inlineStr">
        <is>
          <t>Pós-Projeto</t>
        </is>
      </c>
      <c r="C305" s="84" t="inlineStr">
        <is>
          <t>Atend. Urgência Obs. ≤ 24h</t>
        </is>
      </c>
      <c r="D305" s="64" t="n">
        <v>31</v>
      </c>
      <c r="E305" s="64" t="n">
        <v>6</v>
      </c>
      <c r="F305" s="64" t="n">
        <v>28</v>
      </c>
      <c r="G305" s="64" t="n">
        <v>23</v>
      </c>
      <c r="H305" s="64" t="n">
        <v>11</v>
      </c>
      <c r="I305" s="64" t="n">
        <v>24</v>
      </c>
      <c r="J305" s="64" t="n">
        <v>8</v>
      </c>
      <c r="K305" s="64" t="n">
        <v>48</v>
      </c>
      <c r="L305" s="64" t="n">
        <v>49</v>
      </c>
      <c r="M305" s="64" t="n">
        <v>39</v>
      </c>
      <c r="N305" s="64" t="n">
        <v>55</v>
      </c>
      <c r="O305" s="64" t="n">
        <v>29</v>
      </c>
      <c r="P305" s="64" t="n">
        <v>23</v>
      </c>
    </row>
    <row r="306" ht="15.75" customHeight="1" s="45">
      <c r="A306" s="61" t="n">
        <v>46289</v>
      </c>
      <c r="B306" s="82" t="inlineStr">
        <is>
          <t>Pós-Projeto</t>
        </is>
      </c>
      <c r="C306" s="83" t="inlineStr">
        <is>
          <t>Atend. Médico em UPA</t>
        </is>
      </c>
      <c r="D306" s="66" t="n">
        <v>181</v>
      </c>
      <c r="E306" s="66" t="n">
        <v>119</v>
      </c>
      <c r="F306" s="66" t="n">
        <v>129</v>
      </c>
      <c r="G306" s="66" t="n">
        <v>109</v>
      </c>
      <c r="H306" s="66" t="n">
        <v>118</v>
      </c>
      <c r="I306" s="66" t="n">
        <v>206</v>
      </c>
      <c r="J306" s="66" t="n">
        <v>106</v>
      </c>
      <c r="K306" s="66" t="n">
        <v>251</v>
      </c>
      <c r="L306" s="66" t="n">
        <v>114</v>
      </c>
      <c r="M306" s="66" t="n">
        <v>96</v>
      </c>
      <c r="N306" s="66" t="n">
        <v>123</v>
      </c>
      <c r="O306" s="66" t="n">
        <v>236</v>
      </c>
      <c r="P306" s="66" t="n">
        <v>208</v>
      </c>
    </row>
    <row r="307" ht="15.75" customHeight="1" s="45">
      <c r="A307" s="61" t="n">
        <v>46289</v>
      </c>
      <c r="B307" s="82" t="inlineStr">
        <is>
          <t>Pós-Projeto</t>
        </is>
      </c>
      <c r="C307" s="84" t="inlineStr">
        <is>
          <t>Exames Laboratoriais</t>
        </is>
      </c>
      <c r="D307" s="64" t="n">
        <v>527</v>
      </c>
      <c r="E307" s="64" t="n">
        <v>436</v>
      </c>
      <c r="F307" s="64" t="n">
        <v>532</v>
      </c>
      <c r="G307" s="64" t="n">
        <v>156</v>
      </c>
      <c r="H307" s="64" t="n">
        <v>486</v>
      </c>
      <c r="I307" s="64" t="n">
        <v>672</v>
      </c>
      <c r="J307" s="64" t="n">
        <v>422</v>
      </c>
      <c r="K307" s="64" t="n">
        <v>956</v>
      </c>
      <c r="L307" s="64" t="n">
        <v>834</v>
      </c>
      <c r="M307" s="64" t="n">
        <v>610</v>
      </c>
      <c r="N307" s="64" t="n">
        <v>685</v>
      </c>
      <c r="O307" s="64" t="n">
        <v>378</v>
      </c>
      <c r="P307" s="64" t="n">
        <v>383</v>
      </c>
    </row>
    <row r="308" ht="15.75" customHeight="1" s="45">
      <c r="A308" s="61" t="n">
        <v>46289</v>
      </c>
      <c r="B308" s="82" t="inlineStr">
        <is>
          <t>Pós-Projeto</t>
        </is>
      </c>
      <c r="C308" s="83" t="inlineStr">
        <is>
          <t>Radiografias</t>
        </is>
      </c>
      <c r="D308" s="66" t="n">
        <v>19</v>
      </c>
      <c r="E308" s="66" t="n">
        <v>22</v>
      </c>
      <c r="F308" s="66" t="n">
        <v>3</v>
      </c>
      <c r="G308" s="67" t="n">
        <v>0</v>
      </c>
      <c r="H308" s="66" t="n">
        <v>23</v>
      </c>
      <c r="I308" s="66" t="n">
        <v>21</v>
      </c>
      <c r="J308" s="66" t="n">
        <v>27</v>
      </c>
      <c r="K308" s="66" t="n">
        <v>42</v>
      </c>
      <c r="L308" s="66" t="n">
        <v>8</v>
      </c>
      <c r="M308" s="66" t="n">
        <v>26</v>
      </c>
      <c r="N308" s="66" t="n">
        <v>10</v>
      </c>
      <c r="O308" s="66" t="n">
        <v>40</v>
      </c>
      <c r="P308" s="66" t="n">
        <v>17</v>
      </c>
    </row>
    <row r="309" ht="15.75" customHeight="1" s="45">
      <c r="A309" s="61" t="n">
        <v>46289</v>
      </c>
      <c r="B309" s="82" t="inlineStr">
        <is>
          <t>Pós-Projeto</t>
        </is>
      </c>
      <c r="C309" s="84" t="inlineStr">
        <is>
          <t>Eletrocardiogramas</t>
        </is>
      </c>
      <c r="D309" s="67" t="n">
        <v>0</v>
      </c>
      <c r="E309" s="64" t="n">
        <v>1</v>
      </c>
      <c r="F309" s="67" t="n">
        <v>0</v>
      </c>
      <c r="G309" s="64" t="n">
        <v>1</v>
      </c>
      <c r="H309" s="67" t="n">
        <v>0</v>
      </c>
      <c r="I309" s="67" t="n">
        <v>0</v>
      </c>
      <c r="J309" s="67" t="n">
        <v>0</v>
      </c>
      <c r="K309" s="64" t="n">
        <v>2</v>
      </c>
      <c r="L309" s="67" t="n">
        <v>0</v>
      </c>
      <c r="M309" s="67" t="n">
        <v>0</v>
      </c>
      <c r="N309" s="64" t="n">
        <v>2</v>
      </c>
      <c r="O309" s="67" t="n">
        <v>0</v>
      </c>
      <c r="P309" s="64" t="n">
        <v>2</v>
      </c>
    </row>
    <row r="310" ht="15.75" customHeight="1" s="45">
      <c r="A310" s="61" t="n">
        <v>46289</v>
      </c>
      <c r="B310" s="82" t="inlineStr">
        <is>
          <t>Pós-Projeto</t>
        </is>
      </c>
      <c r="C310" s="85" t="inlineStr">
        <is>
          <t>GAEs Abertas</t>
        </is>
      </c>
      <c r="D310" s="69" t="n">
        <v>233</v>
      </c>
      <c r="E310" s="69" t="n">
        <v>179</v>
      </c>
      <c r="F310" s="69" t="n">
        <v>164</v>
      </c>
      <c r="G310" s="69" t="n">
        <v>147</v>
      </c>
      <c r="H310" s="69" t="n">
        <v>180</v>
      </c>
      <c r="I310" s="69" t="n">
        <v>222</v>
      </c>
      <c r="J310" s="69" t="n">
        <v>144</v>
      </c>
      <c r="K310" s="69" t="n">
        <v>301</v>
      </c>
      <c r="L310" s="69" t="n">
        <v>137</v>
      </c>
      <c r="M310" s="69" t="n">
        <v>248</v>
      </c>
      <c r="N310" s="69" t="n">
        <v>214</v>
      </c>
      <c r="O310" s="69" t="n">
        <v>294</v>
      </c>
      <c r="P310" s="69" t="n">
        <v>269</v>
      </c>
    </row>
    <row r="311" ht="15.75" customHeight="1" s="45">
      <c r="A311" s="61" t="n">
        <v>46289</v>
      </c>
      <c r="B311" s="82" t="inlineStr">
        <is>
          <t>Pós-Projeto</t>
        </is>
      </c>
      <c r="C311" s="85" t="inlineStr">
        <is>
          <t>GAEs Classificadas</t>
        </is>
      </c>
      <c r="D311" s="69" t="n">
        <v>221</v>
      </c>
      <c r="E311" s="69" t="n">
        <v>175</v>
      </c>
      <c r="F311" s="69" t="n">
        <v>159</v>
      </c>
      <c r="G311" s="69" t="n">
        <v>143</v>
      </c>
      <c r="H311" s="69" t="n">
        <v>174</v>
      </c>
      <c r="I311" s="69" t="n">
        <v>211</v>
      </c>
      <c r="J311" s="69" t="n">
        <v>140</v>
      </c>
      <c r="K311" s="69" t="n">
        <v>291</v>
      </c>
      <c r="L311" s="69" t="n">
        <v>137</v>
      </c>
      <c r="M311" s="69" t="n">
        <v>226</v>
      </c>
      <c r="N311" s="69" t="n">
        <v>200</v>
      </c>
      <c r="O311" s="69" t="n">
        <v>288</v>
      </c>
      <c r="P311" s="69" t="n">
        <v>258</v>
      </c>
    </row>
    <row r="312" ht="15.75" customHeight="1" s="45">
      <c r="A312" s="61" t="n">
        <v>46289</v>
      </c>
      <c r="B312" s="82" t="inlineStr">
        <is>
          <t>Pós-Projeto</t>
        </is>
      </c>
      <c r="C312" s="86" t="inlineStr">
        <is>
          <t>Percentual de GAEs abertas classificadas</t>
        </is>
      </c>
      <c r="D312" s="71">
        <f>IFERROR(D311/D310,"-")</f>
        <v/>
      </c>
      <c r="E312" s="71">
        <f>IFERROR(E311/E310,"-")</f>
        <v/>
      </c>
      <c r="F312" s="71">
        <f>IFERROR(F311/F310,"-")</f>
        <v/>
      </c>
      <c r="G312" s="71">
        <f>IFERROR(G311/G310,"-")</f>
        <v/>
      </c>
      <c r="H312" s="71">
        <f>IFERROR(H311/H310,"-")</f>
        <v/>
      </c>
      <c r="I312" s="71">
        <f>IFERROR(I311/I310,"-")</f>
        <v/>
      </c>
      <c r="J312" s="71">
        <f>IFERROR(J311/J310,"-")</f>
        <v/>
      </c>
      <c r="K312" s="71">
        <f>IFERROR(K311/K310,"-")</f>
        <v/>
      </c>
      <c r="L312" s="71">
        <f>IFERROR(L311/L310,"-")</f>
        <v/>
      </c>
      <c r="M312" s="71">
        <f>IFERROR(M311/M310,"-")</f>
        <v/>
      </c>
      <c r="N312" s="71">
        <f>IFERROR(N311/N310,"-")</f>
        <v/>
      </c>
      <c r="O312" s="71">
        <f>IFERROR(O311/O310,"-")</f>
        <v/>
      </c>
      <c r="P312" s="71">
        <f>IFERROR(P311/P310,"-")</f>
        <v/>
      </c>
    </row>
    <row r="313" ht="15.75" customHeight="1" s="45">
      <c r="A313" s="61" t="n">
        <v>46289</v>
      </c>
      <c r="B313" s="82" t="inlineStr">
        <is>
          <t>Pós-Projeto</t>
        </is>
      </c>
      <c r="C313" s="87" t="inlineStr">
        <is>
          <t>Tempo Médio — 🟡 Amarelo (hh:mm)</t>
        </is>
      </c>
      <c r="D313" s="73" t="n">
        <v>0.08592592592592592</v>
      </c>
      <c r="E313" s="73" t="n">
        <v>0.08685185185185185</v>
      </c>
      <c r="F313" s="73" t="n">
        <v>0.05793981481481481</v>
      </c>
      <c r="G313" s="73" t="n">
        <v>0.05877314814814815</v>
      </c>
      <c r="H313" s="73" t="n">
        <v>0.03770833333333334</v>
      </c>
      <c r="I313" s="73" t="n">
        <v>0.05237268518518518</v>
      </c>
      <c r="J313" s="73" t="n">
        <v>0.1249074074074074</v>
      </c>
      <c r="K313" s="73" t="n">
        <v>0.07494212962962964</v>
      </c>
      <c r="L313" s="73" t="n">
        <v>0.05325231481481481</v>
      </c>
      <c r="M313" s="73" t="n">
        <v>0.06729166666666667</v>
      </c>
      <c r="N313" s="73" t="n">
        <v>0.1285416666666667</v>
      </c>
      <c r="O313" s="73" t="n">
        <v>0.04356481481481481</v>
      </c>
      <c r="P313" s="73" t="n">
        <v>0.02741898148148148</v>
      </c>
    </row>
    <row r="314" ht="15.75" customHeight="1" s="45">
      <c r="A314" s="61" t="n">
        <v>46289</v>
      </c>
      <c r="B314" s="82" t="inlineStr">
        <is>
          <t>Pós-Projeto</t>
        </is>
      </c>
      <c r="C314" s="88" t="inlineStr">
        <is>
          <t>Tempo Médio — 🟠 Laranja (hh:mm)</t>
        </is>
      </c>
      <c r="D314" s="75" t="n">
        <v>0.01734953703703704</v>
      </c>
      <c r="E314" s="75" t="n">
        <v>0.01086805555555556</v>
      </c>
      <c r="F314" s="75" t="n">
        <v>0.004548611111111111</v>
      </c>
      <c r="G314" s="75" t="n">
        <v>0.005034722222222223</v>
      </c>
      <c r="H314" s="75" t="n">
        <v>0.003900462962962963</v>
      </c>
      <c r="I314" s="75" t="n">
        <v>0.005717592592592593</v>
      </c>
      <c r="J314" s="75" t="n">
        <v>0.01386574074074074</v>
      </c>
      <c r="K314" s="75" t="n">
        <v>0.01376157407407407</v>
      </c>
      <c r="L314" s="75" t="n">
        <v>0.01173611111111111</v>
      </c>
      <c r="M314" s="75" t="n">
        <v>0.01520833333333333</v>
      </c>
      <c r="N314" s="75" t="n">
        <v>0.0221412037037037</v>
      </c>
      <c r="O314" s="75" t="n">
        <v>0.01017361111111111</v>
      </c>
      <c r="P314" s="75" t="n">
        <v>0.006793981481481482</v>
      </c>
    </row>
    <row r="315" ht="15.75" customHeight="1" s="45">
      <c r="A315" s="76" t="n">
        <v>46289</v>
      </c>
      <c r="B315" s="82" t="inlineStr">
        <is>
          <t>Pós-Projeto</t>
        </is>
      </c>
      <c r="C315" s="91" t="inlineStr">
        <is>
          <t>Tempo Médio — 🟢 Verde   (hh:mm)</t>
        </is>
      </c>
      <c r="D315" s="79" t="n">
        <v>0.08686342592592593</v>
      </c>
      <c r="E315" s="79" t="n">
        <v>0.1627662037037037</v>
      </c>
      <c r="F315" s="79" t="n">
        <v>0.0696875</v>
      </c>
      <c r="G315" s="79" t="n">
        <v>0.09976851851851852</v>
      </c>
      <c r="H315" s="79" t="n">
        <v>0.08922453703703703</v>
      </c>
      <c r="I315" s="79" t="n">
        <v>0.09083333333333334</v>
      </c>
      <c r="J315" s="79" t="n">
        <v>0.09425925925925926</v>
      </c>
      <c r="K315" s="79" t="n">
        <v>0.1127083333333333</v>
      </c>
      <c r="L315" s="79" t="n">
        <v>0.09543981481481481</v>
      </c>
      <c r="M315" s="79" t="n">
        <v>0.07420138888888889</v>
      </c>
      <c r="N315" s="79" t="n">
        <v>0.1067013888888889</v>
      </c>
      <c r="O315" s="79" t="n">
        <v>0.09554398148148148</v>
      </c>
      <c r="P315" s="79" t="n">
        <v>0.04200231481481481</v>
      </c>
    </row>
    <row r="316" ht="15.75" customHeight="1" s="45">
      <c r="A316" s="57" t="n">
        <v>46290</v>
      </c>
      <c r="B316" s="81" t="inlineStr">
        <is>
          <t>Pós-Projeto</t>
        </is>
      </c>
      <c r="C316" s="59" t="inlineStr">
        <is>
          <t>Acolhim. + Atend. Urgência + Atend. UPA</t>
        </is>
      </c>
      <c r="D316" s="60">
        <f>SUM(D317:D319)</f>
        <v/>
      </c>
      <c r="E316" s="60">
        <f>SUM(E317:E319)</f>
        <v/>
      </c>
      <c r="F316" s="60">
        <f>SUM(F317:F319)</f>
        <v/>
      </c>
      <c r="G316" s="60">
        <f>SUM(G317:G319)</f>
        <v/>
      </c>
      <c r="H316" s="60">
        <f>SUM(H317:H319)</f>
        <v/>
      </c>
      <c r="I316" s="60">
        <f>SUM(I317:I319)</f>
        <v/>
      </c>
      <c r="J316" s="60">
        <f>SUM(J317:J319)</f>
        <v/>
      </c>
      <c r="K316" s="60">
        <f>SUM(K317:K319)</f>
        <v/>
      </c>
      <c r="L316" s="60">
        <f>SUM(L317:L319)</f>
        <v/>
      </c>
      <c r="M316" s="60">
        <f>SUM(M317:M319)</f>
        <v/>
      </c>
      <c r="N316" s="60">
        <f>SUM(N317:N319)</f>
        <v/>
      </c>
      <c r="O316" s="60">
        <f>SUM(O317:O319)</f>
        <v/>
      </c>
      <c r="P316" s="60">
        <f>SUM(P317:P319)</f>
        <v/>
      </c>
    </row>
    <row r="317" ht="15.75" customHeight="1" s="45">
      <c r="A317" s="61" t="n">
        <v>46290</v>
      </c>
      <c r="B317" s="82" t="inlineStr">
        <is>
          <t>Pós-Projeto</t>
        </is>
      </c>
      <c r="C317" s="83" t="inlineStr">
        <is>
          <t>Acolhimento c/ Classif. de Risco</t>
        </is>
      </c>
      <c r="D317" s="64" t="n">
        <v>222</v>
      </c>
      <c r="E317" s="64" t="n">
        <v>149</v>
      </c>
      <c r="F317" s="64" t="n">
        <v>162</v>
      </c>
      <c r="G317" s="64" t="n">
        <v>133</v>
      </c>
      <c r="H317" s="64" t="n">
        <v>159</v>
      </c>
      <c r="I317" s="64" t="n">
        <v>205</v>
      </c>
      <c r="J317" s="64" t="n">
        <v>122</v>
      </c>
      <c r="K317" s="64" t="n">
        <v>263</v>
      </c>
      <c r="L317" s="64" t="n">
        <v>159</v>
      </c>
      <c r="M317" s="64" t="n">
        <v>225</v>
      </c>
      <c r="N317" s="64" t="n">
        <v>217</v>
      </c>
      <c r="O317" s="64" t="n">
        <v>238</v>
      </c>
      <c r="P317" s="64" t="n">
        <v>217</v>
      </c>
    </row>
    <row r="318" ht="15.75" customHeight="1" s="45">
      <c r="A318" s="61" t="n">
        <v>46290</v>
      </c>
      <c r="B318" s="82" t="inlineStr">
        <is>
          <t>Pós-Projeto</t>
        </is>
      </c>
      <c r="C318" s="84" t="inlineStr">
        <is>
          <t>Atend. Urgência Obs. ≤ 24h</t>
        </is>
      </c>
      <c r="D318" s="66" t="n">
        <v>32</v>
      </c>
      <c r="E318" s="66" t="n">
        <v>18</v>
      </c>
      <c r="F318" s="66" t="n">
        <v>14</v>
      </c>
      <c r="G318" s="66" t="n">
        <v>11</v>
      </c>
      <c r="H318" s="66" t="n">
        <v>21</v>
      </c>
      <c r="I318" s="66" t="n">
        <v>21</v>
      </c>
      <c r="J318" s="66" t="n">
        <v>16</v>
      </c>
      <c r="K318" s="66" t="n">
        <v>28</v>
      </c>
      <c r="L318" s="66" t="n">
        <v>40</v>
      </c>
      <c r="M318" s="66" t="n">
        <v>17</v>
      </c>
      <c r="N318" s="66" t="n">
        <v>20</v>
      </c>
      <c r="O318" s="66" t="n">
        <v>6</v>
      </c>
      <c r="P318" s="66" t="n">
        <v>24</v>
      </c>
    </row>
    <row r="319" ht="15.75" customHeight="1" s="45">
      <c r="A319" s="61" t="n">
        <v>46290</v>
      </c>
      <c r="B319" s="82" t="inlineStr">
        <is>
          <t>Pós-Projeto</t>
        </is>
      </c>
      <c r="C319" s="83" t="inlineStr">
        <is>
          <t>Atend. Médico em UPA</t>
        </is>
      </c>
      <c r="D319" s="64" t="n">
        <v>196</v>
      </c>
      <c r="E319" s="64" t="n">
        <v>99</v>
      </c>
      <c r="F319" s="64" t="n">
        <v>108</v>
      </c>
      <c r="G319" s="64" t="n">
        <v>82</v>
      </c>
      <c r="H319" s="64" t="n">
        <v>132</v>
      </c>
      <c r="I319" s="64" t="n">
        <v>153</v>
      </c>
      <c r="J319" s="64" t="n">
        <v>94</v>
      </c>
      <c r="K319" s="64" t="n">
        <v>212</v>
      </c>
      <c r="L319" s="64" t="n">
        <v>123</v>
      </c>
      <c r="M319" s="64" t="n">
        <v>172</v>
      </c>
      <c r="N319" s="64" t="n">
        <v>204</v>
      </c>
      <c r="O319" s="64" t="n">
        <v>187</v>
      </c>
      <c r="P319" s="64" t="n">
        <v>107</v>
      </c>
    </row>
    <row r="320" ht="15.75" customHeight="1" s="45">
      <c r="A320" s="61" t="n">
        <v>46290</v>
      </c>
      <c r="B320" s="82" t="inlineStr">
        <is>
          <t>Pós-Projeto</t>
        </is>
      </c>
      <c r="C320" s="84" t="inlineStr">
        <is>
          <t>Exames Laboratoriais</t>
        </is>
      </c>
      <c r="D320" s="66" t="n">
        <v>669</v>
      </c>
      <c r="E320" s="66" t="n">
        <v>395</v>
      </c>
      <c r="F320" s="66" t="n">
        <v>483</v>
      </c>
      <c r="G320" s="66" t="n">
        <v>110</v>
      </c>
      <c r="H320" s="66" t="n">
        <v>451</v>
      </c>
      <c r="I320" s="66" t="n">
        <v>803</v>
      </c>
      <c r="J320" s="66" t="n">
        <v>392</v>
      </c>
      <c r="K320" s="66" t="n">
        <v>884</v>
      </c>
      <c r="L320" s="66" t="n">
        <v>563</v>
      </c>
      <c r="M320" s="66" t="n">
        <v>582</v>
      </c>
      <c r="N320" s="66" t="n">
        <v>646</v>
      </c>
      <c r="O320" s="66" t="n">
        <v>403</v>
      </c>
      <c r="P320" s="66" t="n">
        <v>746</v>
      </c>
    </row>
    <row r="321" ht="15.75" customHeight="1" s="45">
      <c r="A321" s="61" t="n">
        <v>46290</v>
      </c>
      <c r="B321" s="82" t="inlineStr">
        <is>
          <t>Pós-Projeto</t>
        </is>
      </c>
      <c r="C321" s="83" t="inlineStr">
        <is>
          <t>Radiografias</t>
        </is>
      </c>
      <c r="D321" s="64" t="n">
        <v>24</v>
      </c>
      <c r="E321" s="64" t="n">
        <v>7</v>
      </c>
      <c r="F321" s="64" t="n">
        <v>5</v>
      </c>
      <c r="G321" s="67" t="n">
        <v>0</v>
      </c>
      <c r="H321" s="64" t="n">
        <v>18</v>
      </c>
      <c r="I321" s="64" t="n">
        <v>43</v>
      </c>
      <c r="J321" s="64" t="n">
        <v>19</v>
      </c>
      <c r="K321" s="64" t="n">
        <v>45</v>
      </c>
      <c r="L321" s="64" t="n">
        <v>14</v>
      </c>
      <c r="M321" s="64" t="n">
        <v>33</v>
      </c>
      <c r="N321" s="64" t="n">
        <v>24</v>
      </c>
      <c r="O321" s="64" t="n">
        <v>22</v>
      </c>
      <c r="P321" s="64" t="n">
        <v>34</v>
      </c>
    </row>
    <row r="322" ht="15.75" customHeight="1" s="45">
      <c r="A322" s="61" t="n">
        <v>46290</v>
      </c>
      <c r="B322" s="82" t="inlineStr">
        <is>
          <t>Pós-Projeto</t>
        </is>
      </c>
      <c r="C322" s="84" t="inlineStr">
        <is>
          <t>Eletrocardiogramas</t>
        </is>
      </c>
      <c r="D322" s="66" t="n">
        <v>10</v>
      </c>
      <c r="E322" s="66" t="n">
        <v>4</v>
      </c>
      <c r="F322" s="66" t="n">
        <v>16</v>
      </c>
      <c r="G322" s="66" t="n">
        <v>15</v>
      </c>
      <c r="H322" s="66" t="n">
        <v>16</v>
      </c>
      <c r="I322" s="66" t="n">
        <v>21</v>
      </c>
      <c r="J322" s="66" t="n">
        <v>13</v>
      </c>
      <c r="K322" s="66" t="n">
        <v>20</v>
      </c>
      <c r="L322" s="66" t="n">
        <v>10</v>
      </c>
      <c r="M322" s="66" t="n">
        <v>17</v>
      </c>
      <c r="N322" s="66" t="n">
        <v>10</v>
      </c>
      <c r="O322" s="66" t="n">
        <v>18</v>
      </c>
      <c r="P322" s="66" t="n">
        <v>17</v>
      </c>
    </row>
    <row r="323" ht="15.75" customHeight="1" s="45">
      <c r="A323" s="61" t="n">
        <v>46290</v>
      </c>
      <c r="B323" s="82" t="inlineStr">
        <is>
          <t>Pós-Projeto</t>
        </is>
      </c>
      <c r="C323" s="85" t="inlineStr">
        <is>
          <t>GAEs Abertas</t>
        </is>
      </c>
      <c r="D323" s="69" t="n">
        <v>232</v>
      </c>
      <c r="E323" s="69" t="n">
        <v>154</v>
      </c>
      <c r="F323" s="69" t="n">
        <v>165</v>
      </c>
      <c r="G323" s="69" t="n">
        <v>132</v>
      </c>
      <c r="H323" s="69" t="n">
        <v>163</v>
      </c>
      <c r="I323" s="69" t="n">
        <v>219</v>
      </c>
      <c r="J323" s="69" t="n">
        <v>123</v>
      </c>
      <c r="K323" s="69" t="n">
        <v>297</v>
      </c>
      <c r="L323" s="69" t="n">
        <v>169</v>
      </c>
      <c r="M323" s="69" t="n">
        <v>236</v>
      </c>
      <c r="N323" s="69" t="n">
        <v>233</v>
      </c>
      <c r="O323" s="69" t="n">
        <v>247</v>
      </c>
      <c r="P323" s="69" t="n">
        <v>226</v>
      </c>
    </row>
    <row r="324" ht="15.75" customHeight="1" s="45">
      <c r="A324" s="61" t="n">
        <v>46290</v>
      </c>
      <c r="B324" s="82" t="inlineStr">
        <is>
          <t>Pós-Projeto</t>
        </is>
      </c>
      <c r="C324" s="85" t="inlineStr">
        <is>
          <t>GAEs Classificadas</t>
        </is>
      </c>
      <c r="D324" s="69" t="n">
        <v>221</v>
      </c>
      <c r="E324" s="69" t="n">
        <v>153</v>
      </c>
      <c r="F324" s="69" t="n">
        <v>162</v>
      </c>
      <c r="G324" s="69" t="n">
        <v>130</v>
      </c>
      <c r="H324" s="69" t="n">
        <v>158</v>
      </c>
      <c r="I324" s="69" t="n">
        <v>205</v>
      </c>
      <c r="J324" s="69" t="n">
        <v>122</v>
      </c>
      <c r="K324" s="69" t="n">
        <v>260</v>
      </c>
      <c r="L324" s="69" t="n">
        <v>160</v>
      </c>
      <c r="M324" s="69" t="n">
        <v>228</v>
      </c>
      <c r="N324" s="69" t="n">
        <v>217</v>
      </c>
      <c r="O324" s="69" t="n">
        <v>238</v>
      </c>
      <c r="P324" s="69" t="n">
        <v>216</v>
      </c>
    </row>
    <row r="325" ht="15.75" customHeight="1" s="45">
      <c r="A325" s="61" t="n">
        <v>46290</v>
      </c>
      <c r="B325" s="82" t="inlineStr">
        <is>
          <t>Pós-Projeto</t>
        </is>
      </c>
      <c r="C325" s="86" t="inlineStr">
        <is>
          <t>Percentual de GAEs abertas classificadas</t>
        </is>
      </c>
      <c r="D325" s="71">
        <f>IFERROR(D324/D323,"-")</f>
        <v/>
      </c>
      <c r="E325" s="71">
        <f>IFERROR(E324/E323,"-")</f>
        <v/>
      </c>
      <c r="F325" s="71">
        <f>IFERROR(F324/F323,"-")</f>
        <v/>
      </c>
      <c r="G325" s="71">
        <f>IFERROR(G324/G323,"-")</f>
        <v/>
      </c>
      <c r="H325" s="71">
        <f>IFERROR(H324/H323,"-")</f>
        <v/>
      </c>
      <c r="I325" s="71">
        <f>IFERROR(I324/I323,"-")</f>
        <v/>
      </c>
      <c r="J325" s="71">
        <f>IFERROR(J324/J323,"-")</f>
        <v/>
      </c>
      <c r="K325" s="71">
        <f>IFERROR(K324/K323,"-")</f>
        <v/>
      </c>
      <c r="L325" s="71">
        <f>IFERROR(L324/L323,"-")</f>
        <v/>
      </c>
      <c r="M325" s="71">
        <f>IFERROR(M324/M323,"-")</f>
        <v/>
      </c>
      <c r="N325" s="71">
        <f>IFERROR(N324/N323,"-")</f>
        <v/>
      </c>
      <c r="O325" s="71">
        <f>IFERROR(O324/O323,"-")</f>
        <v/>
      </c>
      <c r="P325" s="71">
        <f>IFERROR(P324/P323,"-")</f>
        <v/>
      </c>
    </row>
    <row r="326" ht="15.75" customHeight="1" s="45">
      <c r="A326" s="61" t="n">
        <v>46290</v>
      </c>
      <c r="B326" s="82" t="inlineStr">
        <is>
          <t>Pós-Projeto</t>
        </is>
      </c>
      <c r="C326" s="87" t="inlineStr">
        <is>
          <t>Tempo Médio — 🟡 Amarelo (hh:mm)</t>
        </is>
      </c>
      <c r="D326" s="73" t="n">
        <v>0.06637731481481482</v>
      </c>
      <c r="E326" s="73" t="n">
        <v>0.09265046296296296</v>
      </c>
      <c r="F326" s="73" t="n">
        <v>0.06871527777777778</v>
      </c>
      <c r="G326" s="73" t="n">
        <v>0.04061342592592593</v>
      </c>
      <c r="H326" s="73" t="n">
        <v>0.06773148148148148</v>
      </c>
      <c r="I326" s="73" t="n">
        <v>0.04342592592592592</v>
      </c>
      <c r="J326" s="73" t="n">
        <v>0.05302083333333334</v>
      </c>
      <c r="K326" s="73" t="n">
        <v>0.07722222222222222</v>
      </c>
      <c r="L326" s="73" t="n">
        <v>0.05056712962962963</v>
      </c>
      <c r="M326" s="73" t="n">
        <v>0.02729166666666667</v>
      </c>
      <c r="N326" s="73" t="n">
        <v>0.1421990740740741</v>
      </c>
      <c r="O326" s="73" t="n">
        <v>0.03209490740740741</v>
      </c>
      <c r="P326" s="73" t="n">
        <v>0.04484953703703703</v>
      </c>
    </row>
    <row r="327" ht="15.75" customHeight="1" s="45">
      <c r="A327" s="61" t="n">
        <v>46290</v>
      </c>
      <c r="B327" s="82" t="inlineStr">
        <is>
          <t>Pós-Projeto</t>
        </is>
      </c>
      <c r="C327" s="88" t="inlineStr">
        <is>
          <t>Tempo Médio — 🟠 Laranja (hh:mm)</t>
        </is>
      </c>
      <c r="D327" s="75" t="n">
        <v>0.008831018518518519</v>
      </c>
      <c r="E327" s="75" t="n">
        <v>0.01311342592592593</v>
      </c>
      <c r="F327" s="75" t="n">
        <v>0.005601851851851852</v>
      </c>
      <c r="G327" s="75" t="n">
        <v>0.009236111111111112</v>
      </c>
      <c r="H327" s="75" t="n">
        <v>0.005821759259259259</v>
      </c>
      <c r="I327" s="75" t="n">
        <v>0.004803240740740741</v>
      </c>
      <c r="J327" s="75" t="n">
        <v>0.007314814814814815</v>
      </c>
      <c r="K327" s="75" t="n">
        <v>0.01512731481481482</v>
      </c>
      <c r="L327" s="75" t="n">
        <v>0.01368055555555556</v>
      </c>
      <c r="M327" s="75" t="n">
        <v>0.0205787037037037</v>
      </c>
      <c r="N327" s="75" t="n">
        <v>0.0331712962962963</v>
      </c>
      <c r="O327" s="75" t="n">
        <v>0.006759259259259259</v>
      </c>
      <c r="P327" s="75" t="n">
        <v>0.01021990740740741</v>
      </c>
    </row>
    <row r="328" ht="15.75" customHeight="1" s="45">
      <c r="A328" s="76" t="n">
        <v>46290</v>
      </c>
      <c r="B328" s="82" t="inlineStr">
        <is>
          <t>Pós-Projeto</t>
        </is>
      </c>
      <c r="C328" s="91" t="inlineStr">
        <is>
          <t>Tempo Médio — 🟢 Verde   (hh:mm)</t>
        </is>
      </c>
      <c r="D328" s="79" t="n">
        <v>0.08126157407407407</v>
      </c>
      <c r="E328" s="79" t="n">
        <v>0.09685185185185186</v>
      </c>
      <c r="F328" s="79" t="n">
        <v>0.09983796296296296</v>
      </c>
      <c r="G328" s="79" t="n">
        <v>0.1093171296296296</v>
      </c>
      <c r="H328" s="79" t="n">
        <v>0.078125</v>
      </c>
      <c r="I328" s="79" t="n">
        <v>0.0803125</v>
      </c>
      <c r="J328" s="79" t="n">
        <v>0.04627314814814815</v>
      </c>
      <c r="K328" s="79" t="n">
        <v>0.07732638888888889</v>
      </c>
      <c r="L328" s="79" t="n">
        <v>0.09605324074074074</v>
      </c>
      <c r="M328" s="79" t="n">
        <v>0.0503125</v>
      </c>
      <c r="N328" s="79" t="n">
        <v>0.04966435185185185</v>
      </c>
      <c r="O328" s="79" t="n">
        <v>0.1322685185185185</v>
      </c>
      <c r="P328" s="79" t="n">
        <v>0.07825231481481482</v>
      </c>
    </row>
    <row r="329" ht="15.75" customHeight="1" s="45">
      <c r="A329" s="57" t="n">
        <v>46291</v>
      </c>
      <c r="B329" s="81" t="inlineStr">
        <is>
          <t>Pós-Projeto</t>
        </is>
      </c>
      <c r="C329" s="59" t="inlineStr">
        <is>
          <t>Acolhim. + Atend. Urgência + Atend. UPA</t>
        </is>
      </c>
      <c r="D329" s="60">
        <f>SUM(D330:D332)</f>
        <v/>
      </c>
      <c r="E329" s="60">
        <f>SUM(E330:E332)</f>
        <v/>
      </c>
      <c r="F329" s="60">
        <f>SUM(F330:F332)</f>
        <v/>
      </c>
      <c r="G329" s="60">
        <f>SUM(G330:G332)</f>
        <v/>
      </c>
      <c r="H329" s="60">
        <f>SUM(H330:H332)</f>
        <v/>
      </c>
      <c r="I329" s="60">
        <f>SUM(I330:I332)</f>
        <v/>
      </c>
      <c r="J329" s="60">
        <f>SUM(J330:J332)</f>
        <v/>
      </c>
      <c r="K329" s="60">
        <f>SUM(K330:K332)</f>
        <v/>
      </c>
      <c r="L329" s="60">
        <f>SUM(L330:L332)</f>
        <v/>
      </c>
      <c r="M329" s="60">
        <f>SUM(M330:M332)</f>
        <v/>
      </c>
      <c r="N329" s="60">
        <f>SUM(N330:N332)</f>
        <v/>
      </c>
      <c r="O329" s="60">
        <f>SUM(O330:O332)</f>
        <v/>
      </c>
      <c r="P329" s="60">
        <f>SUM(P330:P332)</f>
        <v/>
      </c>
    </row>
    <row r="330" ht="15.75" customHeight="1" s="45">
      <c r="A330" s="61" t="n">
        <v>46291</v>
      </c>
      <c r="B330" s="82" t="inlineStr">
        <is>
          <t>Pós-Projeto</t>
        </is>
      </c>
      <c r="C330" s="83" t="inlineStr">
        <is>
          <t>Acolhimento c/ Classif. de Risco</t>
        </is>
      </c>
      <c r="D330" s="66" t="n">
        <v>165</v>
      </c>
      <c r="E330" s="66" t="n">
        <v>149</v>
      </c>
      <c r="F330" s="66" t="n">
        <v>129</v>
      </c>
      <c r="G330" s="66" t="n">
        <v>123</v>
      </c>
      <c r="H330" s="66" t="n">
        <v>117</v>
      </c>
      <c r="I330" s="66" t="n">
        <v>165</v>
      </c>
      <c r="J330" s="66" t="n">
        <v>109</v>
      </c>
      <c r="K330" s="66" t="n">
        <v>241</v>
      </c>
      <c r="L330" s="66" t="n">
        <v>130</v>
      </c>
      <c r="M330" s="66" t="n">
        <v>205</v>
      </c>
      <c r="N330" s="66" t="n">
        <v>172</v>
      </c>
      <c r="O330" s="66" t="n">
        <v>241</v>
      </c>
      <c r="P330" s="66" t="n">
        <v>201</v>
      </c>
    </row>
    <row r="331" ht="15.75" customHeight="1" s="45">
      <c r="A331" s="61" t="n">
        <v>46291</v>
      </c>
      <c r="B331" s="82" t="inlineStr">
        <is>
          <t>Pós-Projeto</t>
        </is>
      </c>
      <c r="C331" s="84" t="inlineStr">
        <is>
          <t>Atend. Urgência Obs. ≤ 24h</t>
        </is>
      </c>
      <c r="D331" s="64" t="n">
        <v>32</v>
      </c>
      <c r="E331" s="64" t="n">
        <v>20</v>
      </c>
      <c r="F331" s="64" t="n">
        <v>17</v>
      </c>
      <c r="G331" s="64" t="n">
        <v>16</v>
      </c>
      <c r="H331" s="64" t="n">
        <v>20</v>
      </c>
      <c r="I331" s="64" t="n">
        <v>19</v>
      </c>
      <c r="J331" s="64" t="n">
        <v>41</v>
      </c>
      <c r="K331" s="64" t="n">
        <v>45</v>
      </c>
      <c r="L331" s="64" t="n">
        <v>39</v>
      </c>
      <c r="M331" s="64" t="n">
        <v>22</v>
      </c>
      <c r="N331" s="64" t="n">
        <v>17</v>
      </c>
      <c r="O331" s="64" t="n">
        <v>5</v>
      </c>
      <c r="P331" s="64" t="n">
        <v>24</v>
      </c>
    </row>
    <row r="332" ht="15.75" customHeight="1" s="45">
      <c r="A332" s="61" t="n">
        <v>46291</v>
      </c>
      <c r="B332" s="82" t="inlineStr">
        <is>
          <t>Pós-Projeto</t>
        </is>
      </c>
      <c r="C332" s="83" t="inlineStr">
        <is>
          <t>Atend. Médico em UPA</t>
        </is>
      </c>
      <c r="D332" s="66" t="n">
        <v>126</v>
      </c>
      <c r="E332" s="66" t="n">
        <v>101</v>
      </c>
      <c r="F332" s="66" t="n">
        <v>121</v>
      </c>
      <c r="G332" s="66" t="n">
        <v>80</v>
      </c>
      <c r="H332" s="66" t="n">
        <v>75</v>
      </c>
      <c r="I332" s="66" t="n">
        <v>140</v>
      </c>
      <c r="J332" s="66" t="n">
        <v>61</v>
      </c>
      <c r="K332" s="66" t="n">
        <v>190</v>
      </c>
      <c r="L332" s="66" t="n">
        <v>98</v>
      </c>
      <c r="M332" s="66" t="n">
        <v>136</v>
      </c>
      <c r="N332" s="66" t="n">
        <v>164</v>
      </c>
      <c r="O332" s="66" t="n">
        <v>153</v>
      </c>
      <c r="P332" s="66" t="n">
        <v>144</v>
      </c>
    </row>
    <row r="333" ht="15.75" customHeight="1" s="45">
      <c r="A333" s="61" t="n">
        <v>46291</v>
      </c>
      <c r="B333" s="82" t="inlineStr">
        <is>
          <t>Pós-Projeto</t>
        </is>
      </c>
      <c r="C333" s="84" t="inlineStr">
        <is>
          <t>Exames Laboratoriais</t>
        </is>
      </c>
      <c r="D333" s="64" t="n">
        <v>604</v>
      </c>
      <c r="E333" s="64" t="n">
        <v>466</v>
      </c>
      <c r="F333" s="64" t="n">
        <v>290</v>
      </c>
      <c r="G333" s="64" t="n">
        <v>269</v>
      </c>
      <c r="H333" s="64" t="n">
        <v>254</v>
      </c>
      <c r="I333" s="64" t="n">
        <v>735</v>
      </c>
      <c r="J333" s="64" t="n">
        <v>344</v>
      </c>
      <c r="K333" s="64" t="n">
        <v>763</v>
      </c>
      <c r="L333" s="64" t="n">
        <v>673</v>
      </c>
      <c r="M333" s="64" t="n">
        <v>556</v>
      </c>
      <c r="N333" s="64" t="n">
        <v>680</v>
      </c>
      <c r="O333" s="64" t="n">
        <v>396</v>
      </c>
      <c r="P333" s="64" t="n">
        <v>262</v>
      </c>
    </row>
    <row r="334" ht="15.75" customHeight="1" s="45">
      <c r="A334" s="61" t="n">
        <v>46291</v>
      </c>
      <c r="B334" s="82" t="inlineStr">
        <is>
          <t>Pós-Projeto</t>
        </is>
      </c>
      <c r="C334" s="83" t="inlineStr">
        <is>
          <t>Radiografias</t>
        </is>
      </c>
      <c r="D334" s="66" t="n">
        <v>12</v>
      </c>
      <c r="E334" s="66" t="n">
        <v>13</v>
      </c>
      <c r="F334" s="66" t="n">
        <v>3</v>
      </c>
      <c r="G334" s="67" t="n">
        <v>0</v>
      </c>
      <c r="H334" s="66" t="n">
        <v>12</v>
      </c>
      <c r="I334" s="66" t="n">
        <v>24</v>
      </c>
      <c r="J334" s="66" t="n">
        <v>21</v>
      </c>
      <c r="K334" s="66" t="n">
        <v>33</v>
      </c>
      <c r="L334" s="66" t="n">
        <v>13</v>
      </c>
      <c r="M334" s="66" t="n">
        <v>34</v>
      </c>
      <c r="N334" s="66" t="n">
        <v>14</v>
      </c>
      <c r="O334" s="66" t="n">
        <v>34</v>
      </c>
      <c r="P334" s="66" t="n">
        <v>22</v>
      </c>
    </row>
    <row r="335" ht="15.75" customHeight="1" s="45">
      <c r="A335" s="61" t="n">
        <v>46291</v>
      </c>
      <c r="B335" s="82" t="inlineStr">
        <is>
          <t>Pós-Projeto</t>
        </is>
      </c>
      <c r="C335" s="84" t="inlineStr">
        <is>
          <t>Eletrocardiogramas</t>
        </is>
      </c>
      <c r="D335" s="64" t="n">
        <v>17</v>
      </c>
      <c r="E335" s="64" t="n">
        <v>17</v>
      </c>
      <c r="F335" s="64" t="n">
        <v>21</v>
      </c>
      <c r="G335" s="64" t="n">
        <v>4</v>
      </c>
      <c r="H335" s="64" t="n">
        <v>4</v>
      </c>
      <c r="I335" s="64" t="n">
        <v>22</v>
      </c>
      <c r="J335" s="64" t="n">
        <v>12</v>
      </c>
      <c r="K335" s="64" t="n">
        <v>29</v>
      </c>
      <c r="L335" s="64" t="n">
        <v>9</v>
      </c>
      <c r="M335" s="64" t="n">
        <v>13</v>
      </c>
      <c r="N335" s="64" t="n">
        <v>14</v>
      </c>
      <c r="O335" s="64" t="n">
        <v>18</v>
      </c>
      <c r="P335" s="64" t="n">
        <v>18</v>
      </c>
    </row>
    <row r="336" ht="15.75" customHeight="1" s="45">
      <c r="A336" s="61" t="n">
        <v>46291</v>
      </c>
      <c r="B336" s="82" t="inlineStr">
        <is>
          <t>Pós-Projeto</t>
        </is>
      </c>
      <c r="C336" s="85" t="inlineStr">
        <is>
          <t>GAEs Abertas</t>
        </is>
      </c>
      <c r="D336" s="69" t="n">
        <v>173</v>
      </c>
      <c r="E336" s="69" t="n">
        <v>154</v>
      </c>
      <c r="F336" s="69" t="n">
        <v>134</v>
      </c>
      <c r="G336" s="69" t="n">
        <v>128</v>
      </c>
      <c r="H336" s="69" t="n">
        <v>123</v>
      </c>
      <c r="I336" s="69" t="n">
        <v>172</v>
      </c>
      <c r="J336" s="69" t="n">
        <v>112</v>
      </c>
      <c r="K336" s="69" t="n">
        <v>258</v>
      </c>
      <c r="L336" s="69" t="n">
        <v>139</v>
      </c>
      <c r="M336" s="69" t="n">
        <v>217</v>
      </c>
      <c r="N336" s="69" t="n">
        <v>177</v>
      </c>
      <c r="O336" s="69" t="n">
        <v>251</v>
      </c>
      <c r="P336" s="69" t="n">
        <v>206</v>
      </c>
    </row>
    <row r="337" ht="15.75" customHeight="1" s="45">
      <c r="A337" s="61" t="n">
        <v>46291</v>
      </c>
      <c r="B337" s="82" t="inlineStr">
        <is>
          <t>Pós-Projeto</t>
        </is>
      </c>
      <c r="C337" s="85" t="inlineStr">
        <is>
          <t>GAEs Classificadas</t>
        </is>
      </c>
      <c r="D337" s="69" t="n">
        <v>167</v>
      </c>
      <c r="E337" s="69" t="n">
        <v>145</v>
      </c>
      <c r="F337" s="69" t="n">
        <v>129</v>
      </c>
      <c r="G337" s="69" t="n">
        <v>124</v>
      </c>
      <c r="H337" s="69" t="n">
        <v>117</v>
      </c>
      <c r="I337" s="69" t="n">
        <v>165</v>
      </c>
      <c r="J337" s="69" t="n">
        <v>111</v>
      </c>
      <c r="K337" s="69" t="n">
        <v>239</v>
      </c>
      <c r="L337" s="69" t="n">
        <v>130</v>
      </c>
      <c r="M337" s="69" t="n">
        <v>202</v>
      </c>
      <c r="N337" s="69" t="n">
        <v>172</v>
      </c>
      <c r="O337" s="69" t="n">
        <v>241</v>
      </c>
      <c r="P337" s="69" t="n">
        <v>199</v>
      </c>
    </row>
    <row r="338" ht="15.75" customHeight="1" s="45">
      <c r="A338" s="61" t="n">
        <v>46291</v>
      </c>
      <c r="B338" s="82" t="inlineStr">
        <is>
          <t>Pós-Projeto</t>
        </is>
      </c>
      <c r="C338" s="86" t="inlineStr">
        <is>
          <t>Percentual de GAEs abertas classificadas</t>
        </is>
      </c>
      <c r="D338" s="71">
        <f>IFERROR(D337/D336,"-")</f>
        <v/>
      </c>
      <c r="E338" s="71">
        <f>IFERROR(E337/E336,"-")</f>
        <v/>
      </c>
      <c r="F338" s="71">
        <f>IFERROR(F337/F336,"-")</f>
        <v/>
      </c>
      <c r="G338" s="71">
        <f>IFERROR(G337/G336,"-")</f>
        <v/>
      </c>
      <c r="H338" s="71">
        <f>IFERROR(H337/H336,"-")</f>
        <v/>
      </c>
      <c r="I338" s="71">
        <f>IFERROR(I337/I336,"-")</f>
        <v/>
      </c>
      <c r="J338" s="71">
        <f>IFERROR(J337/J336,"-")</f>
        <v/>
      </c>
      <c r="K338" s="71">
        <f>IFERROR(K337/K336,"-")</f>
        <v/>
      </c>
      <c r="L338" s="71">
        <f>IFERROR(L337/L336,"-")</f>
        <v/>
      </c>
      <c r="M338" s="71">
        <f>IFERROR(M337/M336,"-")</f>
        <v/>
      </c>
      <c r="N338" s="71">
        <f>IFERROR(N337/N336,"-")</f>
        <v/>
      </c>
      <c r="O338" s="71">
        <f>IFERROR(O337/O336,"-")</f>
        <v/>
      </c>
      <c r="P338" s="71">
        <f>IFERROR(P337/P336,"-")</f>
        <v/>
      </c>
    </row>
    <row r="339" ht="15.75" customHeight="1" s="45">
      <c r="A339" s="61" t="n">
        <v>46291</v>
      </c>
      <c r="B339" s="82" t="inlineStr">
        <is>
          <t>Pós-Projeto</t>
        </is>
      </c>
      <c r="C339" s="87" t="inlineStr">
        <is>
          <t>Tempo Médio — 🟡 Amarelo (hh:mm)</t>
        </is>
      </c>
      <c r="D339" s="73" t="n">
        <v>0.05712962962962963</v>
      </c>
      <c r="E339" s="73" t="n">
        <v>0.09767361111111111</v>
      </c>
      <c r="F339" s="73" t="n">
        <v>0.01854166666666667</v>
      </c>
      <c r="G339" s="73" t="n">
        <v>0.03059027777777778</v>
      </c>
      <c r="H339" s="73" t="n">
        <v>0.05984953703703703</v>
      </c>
      <c r="I339" s="73" t="n">
        <v>0.05581018518518518</v>
      </c>
      <c r="J339" s="73" t="n">
        <v>0.04972222222222222</v>
      </c>
      <c r="K339" s="73" t="n">
        <v>0.03392361111111111</v>
      </c>
      <c r="L339" s="73" t="n">
        <v>0.045625</v>
      </c>
      <c r="M339" s="73" t="n">
        <v>0.06300925925925926</v>
      </c>
      <c r="N339" s="73" t="n">
        <v>0.04854166666666666</v>
      </c>
      <c r="O339" s="73" t="n">
        <v>0.02125</v>
      </c>
      <c r="P339" s="73" t="n">
        <v>0.03282407407407407</v>
      </c>
    </row>
    <row r="340" ht="15.75" customHeight="1" s="45">
      <c r="A340" s="61" t="n">
        <v>46291</v>
      </c>
      <c r="B340" s="82" t="inlineStr">
        <is>
          <t>Pós-Projeto</t>
        </is>
      </c>
      <c r="C340" s="88" t="inlineStr">
        <is>
          <t>Tempo Médio — 🟠 Laranja (hh:mm)</t>
        </is>
      </c>
      <c r="D340" s="75" t="n">
        <v>0.01506944444444444</v>
      </c>
      <c r="E340" s="75" t="n">
        <v>0.005289351851851852</v>
      </c>
      <c r="F340" s="75" t="n">
        <v>0.004907407407407407</v>
      </c>
      <c r="G340" s="75" t="n">
        <v>0.004039351851851852</v>
      </c>
      <c r="H340" s="75" t="n">
        <v>0.02965277777777778</v>
      </c>
      <c r="I340" s="75" t="n">
        <v>0.005902777777777778</v>
      </c>
      <c r="J340" s="75" t="n">
        <v>0.005740740740740741</v>
      </c>
      <c r="K340" s="75" t="n">
        <v>0.01181712962962963</v>
      </c>
      <c r="L340" s="75" t="n">
        <v>0.007430555555555556</v>
      </c>
      <c r="M340" s="75" t="n">
        <v>0.02576388888888889</v>
      </c>
      <c r="N340" s="75" t="n">
        <v>0.009560185185185185</v>
      </c>
      <c r="O340" s="75" t="n">
        <v>0.007094907407407407</v>
      </c>
      <c r="P340" s="75" t="n">
        <v>0.008587962962962962</v>
      </c>
    </row>
    <row r="341" ht="15.75" customHeight="1" s="45">
      <c r="A341" s="76" t="n">
        <v>46291</v>
      </c>
      <c r="B341" s="82" t="inlineStr">
        <is>
          <t>Pós-Projeto</t>
        </is>
      </c>
      <c r="C341" s="91" t="inlineStr">
        <is>
          <t>Tempo Médio — 🟢 Verde   (hh:mm)</t>
        </is>
      </c>
      <c r="D341" s="79" t="n">
        <v>0.1216666666666667</v>
      </c>
      <c r="E341" s="79" t="n">
        <v>0.1612962962962963</v>
      </c>
      <c r="F341" s="79" t="n">
        <v>0.03616898148148148</v>
      </c>
      <c r="G341" s="79" t="n">
        <v>0.09775462962962964</v>
      </c>
      <c r="H341" s="79" t="n">
        <v>0.08721064814814815</v>
      </c>
      <c r="I341" s="79" t="n">
        <v>0.08456018518518518</v>
      </c>
      <c r="J341" s="79" t="n">
        <v>0.07968749999999999</v>
      </c>
      <c r="K341" s="79" t="n">
        <v>0.04939814814814815</v>
      </c>
      <c r="L341" s="79" t="n">
        <v>0.06287037037037037</v>
      </c>
      <c r="M341" s="79" t="n">
        <v>0.06131944444444445</v>
      </c>
      <c r="N341" s="79" t="n">
        <v>0.05641203703703704</v>
      </c>
      <c r="O341" s="79" t="n">
        <v>0.07268518518518519</v>
      </c>
      <c r="P341" s="79" t="n">
        <v>0.06134259259259259</v>
      </c>
    </row>
    <row r="342" ht="15.75" customHeight="1" s="45">
      <c r="A342" s="57" t="n">
        <v>46292</v>
      </c>
      <c r="B342" s="81" t="inlineStr">
        <is>
          <t>Pós-Projeto</t>
        </is>
      </c>
      <c r="C342" s="59" t="inlineStr">
        <is>
          <t>Acolhim. + Atend. Urgência + Atend. UPA</t>
        </is>
      </c>
      <c r="D342" s="60">
        <f>SUM(D343:D345)</f>
        <v/>
      </c>
      <c r="E342" s="60">
        <f>SUM(E343:E345)</f>
        <v/>
      </c>
      <c r="F342" s="60">
        <f>SUM(F343:F345)</f>
        <v/>
      </c>
      <c r="G342" s="60">
        <f>SUM(G343:G345)</f>
        <v/>
      </c>
      <c r="H342" s="60">
        <f>SUM(H343:H345)</f>
        <v/>
      </c>
      <c r="I342" s="60">
        <f>SUM(I343:I345)</f>
        <v/>
      </c>
      <c r="J342" s="60">
        <f>SUM(J343:J345)</f>
        <v/>
      </c>
      <c r="K342" s="60">
        <f>SUM(K343:K345)</f>
        <v/>
      </c>
      <c r="L342" s="60">
        <f>SUM(L343:L345)</f>
        <v/>
      </c>
      <c r="M342" s="60">
        <f>SUM(M343:M345)</f>
        <v/>
      </c>
      <c r="N342" s="60">
        <f>SUM(N343:N345)</f>
        <v/>
      </c>
      <c r="O342" s="60">
        <f>SUM(O343:O345)</f>
        <v/>
      </c>
      <c r="P342" s="60">
        <f>SUM(P343:P345)</f>
        <v/>
      </c>
    </row>
    <row r="343" ht="15.75" customHeight="1" s="45">
      <c r="A343" s="61" t="n">
        <v>46292</v>
      </c>
      <c r="B343" s="82" t="inlineStr">
        <is>
          <t>Pós-Projeto</t>
        </is>
      </c>
      <c r="C343" s="83" t="inlineStr">
        <is>
          <t>Acolhimento c/ Classif. de Risco</t>
        </is>
      </c>
      <c r="D343" s="64" t="n">
        <v>188</v>
      </c>
      <c r="E343" s="64" t="n">
        <v>147</v>
      </c>
      <c r="F343" s="64" t="n">
        <v>125</v>
      </c>
      <c r="G343" s="64" t="n">
        <v>116</v>
      </c>
      <c r="H343" s="64" t="n">
        <v>143</v>
      </c>
      <c r="I343" s="64" t="n">
        <v>194</v>
      </c>
      <c r="J343" s="64" t="n">
        <v>89</v>
      </c>
      <c r="K343" s="64" t="n">
        <v>229</v>
      </c>
      <c r="L343" s="64" t="n">
        <v>150</v>
      </c>
      <c r="M343" s="64" t="n">
        <v>137</v>
      </c>
      <c r="N343" s="64" t="n">
        <v>166</v>
      </c>
      <c r="O343" s="64" t="n">
        <v>208</v>
      </c>
      <c r="P343" s="64" t="n">
        <v>224</v>
      </c>
    </row>
    <row r="344" ht="15.75" customHeight="1" s="45">
      <c r="A344" s="61" t="n">
        <v>46292</v>
      </c>
      <c r="B344" s="82" t="inlineStr">
        <is>
          <t>Pós-Projeto</t>
        </is>
      </c>
      <c r="C344" s="84" t="inlineStr">
        <is>
          <t>Atend. Urgência Obs. ≤ 24h</t>
        </is>
      </c>
      <c r="D344" s="66" t="n">
        <v>20</v>
      </c>
      <c r="E344" s="66" t="n">
        <v>27</v>
      </c>
      <c r="F344" s="66" t="n">
        <v>21</v>
      </c>
      <c r="G344" s="66" t="n">
        <v>14</v>
      </c>
      <c r="H344" s="66" t="n">
        <v>16</v>
      </c>
      <c r="I344" s="66" t="n">
        <v>25</v>
      </c>
      <c r="J344" s="66" t="n">
        <v>12</v>
      </c>
      <c r="K344" s="66" t="n">
        <v>45</v>
      </c>
      <c r="L344" s="66" t="n">
        <v>36</v>
      </c>
      <c r="M344" s="66" t="n">
        <v>25</v>
      </c>
      <c r="N344" s="66" t="n">
        <v>23</v>
      </c>
      <c r="O344" s="66" t="n">
        <v>2</v>
      </c>
      <c r="P344" s="66" t="n">
        <v>13</v>
      </c>
    </row>
    <row r="345" ht="15.75" customHeight="1" s="45">
      <c r="A345" s="61" t="n">
        <v>46292</v>
      </c>
      <c r="B345" s="82" t="inlineStr">
        <is>
          <t>Pós-Projeto</t>
        </is>
      </c>
      <c r="C345" s="83" t="inlineStr">
        <is>
          <t>Atend. Médico em UPA</t>
        </is>
      </c>
      <c r="D345" s="64" t="n">
        <v>116</v>
      </c>
      <c r="E345" s="64" t="n">
        <v>84</v>
      </c>
      <c r="F345" s="64" t="n">
        <v>94</v>
      </c>
      <c r="G345" s="64" t="n">
        <v>72</v>
      </c>
      <c r="H345" s="64" t="n">
        <v>67</v>
      </c>
      <c r="I345" s="64" t="n">
        <v>156</v>
      </c>
      <c r="J345" s="64" t="n">
        <v>61</v>
      </c>
      <c r="K345" s="64" t="n">
        <v>125</v>
      </c>
      <c r="L345" s="64" t="n">
        <v>70</v>
      </c>
      <c r="M345" s="64" t="n">
        <v>69</v>
      </c>
      <c r="N345" s="64" t="n">
        <v>161</v>
      </c>
      <c r="O345" s="64" t="n">
        <v>129</v>
      </c>
      <c r="P345" s="64" t="n">
        <v>121</v>
      </c>
    </row>
    <row r="346" ht="15.75" customHeight="1" s="45">
      <c r="A346" s="61" t="n">
        <v>46292</v>
      </c>
      <c r="B346" s="82" t="inlineStr">
        <is>
          <t>Pós-Projeto</t>
        </is>
      </c>
      <c r="C346" s="84" t="inlineStr">
        <is>
          <t>Exames Laboratoriais</t>
        </is>
      </c>
      <c r="D346" s="66" t="n">
        <v>655</v>
      </c>
      <c r="E346" s="66" t="n">
        <v>498</v>
      </c>
      <c r="F346" s="66" t="n">
        <v>511</v>
      </c>
      <c r="G346" s="66" t="n">
        <v>181</v>
      </c>
      <c r="H346" s="66" t="n">
        <v>265</v>
      </c>
      <c r="I346" s="66" t="n">
        <v>700</v>
      </c>
      <c r="J346" s="66" t="n">
        <v>481</v>
      </c>
      <c r="K346" s="66" t="n">
        <v>783</v>
      </c>
      <c r="L346" s="66" t="n">
        <v>506</v>
      </c>
      <c r="M346" s="66" t="n">
        <v>530</v>
      </c>
      <c r="N346" s="66" t="n">
        <v>628</v>
      </c>
      <c r="O346" s="66" t="n">
        <v>556</v>
      </c>
      <c r="P346" s="66" t="n">
        <v>198</v>
      </c>
    </row>
    <row r="347" ht="15.75" customHeight="1" s="45">
      <c r="A347" s="61" t="n">
        <v>46292</v>
      </c>
      <c r="B347" s="82" t="inlineStr">
        <is>
          <t>Pós-Projeto</t>
        </is>
      </c>
      <c r="C347" s="83" t="inlineStr">
        <is>
          <t>Radiografias</t>
        </is>
      </c>
      <c r="D347" s="64" t="n">
        <v>14</v>
      </c>
      <c r="E347" s="64" t="n">
        <v>15</v>
      </c>
      <c r="F347" s="64" t="n">
        <v>13</v>
      </c>
      <c r="G347" s="67" t="n">
        <v>0</v>
      </c>
      <c r="H347" s="64" t="n">
        <v>7</v>
      </c>
      <c r="I347" s="64" t="n">
        <v>24</v>
      </c>
      <c r="J347" s="64" t="n">
        <v>19</v>
      </c>
      <c r="K347" s="64" t="n">
        <v>30</v>
      </c>
      <c r="L347" s="64" t="n">
        <v>11</v>
      </c>
      <c r="M347" s="64" t="n">
        <v>16</v>
      </c>
      <c r="N347" s="64" t="n">
        <v>15</v>
      </c>
      <c r="O347" s="64" t="n">
        <v>29</v>
      </c>
      <c r="P347" s="64" t="n">
        <v>31</v>
      </c>
    </row>
    <row r="348" ht="15.75" customHeight="1" s="45">
      <c r="A348" s="61" t="n">
        <v>46292</v>
      </c>
      <c r="B348" s="82" t="inlineStr">
        <is>
          <t>Pós-Projeto</t>
        </is>
      </c>
      <c r="C348" s="84" t="inlineStr">
        <is>
          <t>Eletrocardiogramas</t>
        </is>
      </c>
      <c r="D348" s="66" t="n">
        <v>13</v>
      </c>
      <c r="E348" s="66" t="n">
        <v>17</v>
      </c>
      <c r="F348" s="66" t="n">
        <v>23</v>
      </c>
      <c r="G348" s="66" t="n">
        <v>15</v>
      </c>
      <c r="H348" s="66" t="n">
        <v>6</v>
      </c>
      <c r="I348" s="66" t="n">
        <v>14</v>
      </c>
      <c r="J348" s="66" t="n">
        <v>15</v>
      </c>
      <c r="K348" s="66" t="n">
        <v>19</v>
      </c>
      <c r="L348" s="66" t="n">
        <v>15</v>
      </c>
      <c r="M348" s="66" t="n">
        <v>14</v>
      </c>
      <c r="N348" s="66" t="n">
        <v>25</v>
      </c>
      <c r="O348" s="66" t="n">
        <v>14</v>
      </c>
      <c r="P348" s="66" t="n">
        <v>17</v>
      </c>
    </row>
    <row r="349" ht="15.75" customHeight="1" s="45">
      <c r="A349" s="61" t="n">
        <v>46292</v>
      </c>
      <c r="B349" s="82" t="inlineStr">
        <is>
          <t>Pós-Projeto</t>
        </is>
      </c>
      <c r="C349" s="85" t="inlineStr">
        <is>
          <t>GAEs Abertas</t>
        </is>
      </c>
      <c r="D349" s="69" t="n">
        <v>198</v>
      </c>
      <c r="E349" s="69" t="n">
        <v>149</v>
      </c>
      <c r="F349" s="69" t="n">
        <v>133</v>
      </c>
      <c r="G349" s="69" t="n">
        <v>120</v>
      </c>
      <c r="H349" s="69" t="n">
        <v>148</v>
      </c>
      <c r="I349" s="69" t="n">
        <v>205</v>
      </c>
      <c r="J349" s="69" t="n">
        <v>91</v>
      </c>
      <c r="K349" s="69" t="n">
        <v>260</v>
      </c>
      <c r="L349" s="69" t="n">
        <v>156</v>
      </c>
      <c r="M349" s="69" t="n">
        <v>146</v>
      </c>
      <c r="N349" s="69" t="n">
        <v>176</v>
      </c>
      <c r="O349" s="69" t="n">
        <v>224</v>
      </c>
      <c r="P349" s="69" t="n">
        <v>230</v>
      </c>
    </row>
    <row r="350" ht="15.75" customHeight="1" s="45">
      <c r="A350" s="61" t="n">
        <v>46292</v>
      </c>
      <c r="B350" s="82" t="inlineStr">
        <is>
          <t>Pós-Projeto</t>
        </is>
      </c>
      <c r="C350" s="85" t="inlineStr">
        <is>
          <t>GAEs Classificadas</t>
        </is>
      </c>
      <c r="D350" s="69" t="n">
        <v>186</v>
      </c>
      <c r="E350" s="69" t="n">
        <v>147</v>
      </c>
      <c r="F350" s="69" t="n">
        <v>127</v>
      </c>
      <c r="G350" s="69" t="n">
        <v>116</v>
      </c>
      <c r="H350" s="69" t="n">
        <v>146</v>
      </c>
      <c r="I350" s="69" t="n">
        <v>194</v>
      </c>
      <c r="J350" s="69" t="n">
        <v>89</v>
      </c>
      <c r="K350" s="69" t="n">
        <v>229</v>
      </c>
      <c r="L350" s="69" t="n">
        <v>149</v>
      </c>
      <c r="M350" s="69" t="n">
        <v>139</v>
      </c>
      <c r="N350" s="69" t="n">
        <v>166</v>
      </c>
      <c r="O350" s="69" t="n">
        <v>212</v>
      </c>
      <c r="P350" s="69" t="n">
        <v>224</v>
      </c>
    </row>
    <row r="351" ht="15.75" customHeight="1" s="45">
      <c r="A351" s="61" t="n">
        <v>46292</v>
      </c>
      <c r="B351" s="82" t="inlineStr">
        <is>
          <t>Pós-Projeto</t>
        </is>
      </c>
      <c r="C351" s="86" t="inlineStr">
        <is>
          <t>Percentual de GAEs abertas classificadas</t>
        </is>
      </c>
      <c r="D351" s="71">
        <f>IFERROR(D350/D349,"-")</f>
        <v/>
      </c>
      <c r="E351" s="71">
        <f>IFERROR(E350/E349,"-")</f>
        <v/>
      </c>
      <c r="F351" s="71">
        <f>IFERROR(F350/F349,"-")</f>
        <v/>
      </c>
      <c r="G351" s="71">
        <f>IFERROR(G350/G349,"-")</f>
        <v/>
      </c>
      <c r="H351" s="71">
        <f>IFERROR(H350/H349,"-")</f>
        <v/>
      </c>
      <c r="I351" s="71">
        <f>IFERROR(I350/I349,"-")</f>
        <v/>
      </c>
      <c r="J351" s="71">
        <f>IFERROR(J350/J349,"-")</f>
        <v/>
      </c>
      <c r="K351" s="71">
        <f>IFERROR(K350/K349,"-")</f>
        <v/>
      </c>
      <c r="L351" s="71">
        <f>IFERROR(L350/L349,"-")</f>
        <v/>
      </c>
      <c r="M351" s="71">
        <f>IFERROR(M350/M349,"-")</f>
        <v/>
      </c>
      <c r="N351" s="71">
        <f>IFERROR(N350/N349,"-")</f>
        <v/>
      </c>
      <c r="O351" s="71">
        <f>IFERROR(O350/O349,"-")</f>
        <v/>
      </c>
      <c r="P351" s="71">
        <f>IFERROR(P350/P349,"-")</f>
        <v/>
      </c>
    </row>
    <row r="352" ht="15.75" customHeight="1" s="45">
      <c r="A352" s="61" t="n">
        <v>46292</v>
      </c>
      <c r="B352" s="82" t="inlineStr">
        <is>
          <t>Pós-Projeto</t>
        </is>
      </c>
      <c r="C352" s="87" t="inlineStr">
        <is>
          <t>Tempo Médio — 🟡 Amarelo (hh:mm)</t>
        </is>
      </c>
      <c r="D352" s="73" t="n">
        <v>0.1077083333333333</v>
      </c>
      <c r="E352" s="73" t="n">
        <v>0.07751157407407408</v>
      </c>
      <c r="F352" s="73" t="n">
        <v>0.06666666666666667</v>
      </c>
      <c r="G352" s="73" t="n">
        <v>0.03506944444444444</v>
      </c>
      <c r="H352" s="73" t="n">
        <v>0.07567129629629629</v>
      </c>
      <c r="I352" s="73" t="n">
        <v>0.02265046296296296</v>
      </c>
      <c r="J352" s="73" t="n">
        <v>0.04755787037037037</v>
      </c>
      <c r="K352" s="73" t="n">
        <v>0.0446875</v>
      </c>
      <c r="L352" s="73" t="n">
        <v>0.135162037037037</v>
      </c>
      <c r="M352" s="73" t="n">
        <v>0.01996527777777778</v>
      </c>
      <c r="N352" s="73" t="n">
        <v>0.09856481481481481</v>
      </c>
      <c r="O352" s="73" t="n">
        <v>0.03635416666666667</v>
      </c>
      <c r="P352" s="73" t="n">
        <v>0.04184027777777777</v>
      </c>
    </row>
    <row r="353" ht="15.75" customHeight="1" s="45">
      <c r="A353" s="61" t="n">
        <v>46292</v>
      </c>
      <c r="B353" s="82" t="inlineStr">
        <is>
          <t>Pós-Projeto</t>
        </is>
      </c>
      <c r="C353" s="88" t="inlineStr">
        <is>
          <t>Tempo Médio — 🟠 Laranja (hh:mm)</t>
        </is>
      </c>
      <c r="D353" s="75" t="n">
        <v>0.0130787037037037</v>
      </c>
      <c r="E353" s="75" t="n">
        <v>0.01115740740740741</v>
      </c>
      <c r="F353" s="75" t="n">
        <v>0.003912037037037037</v>
      </c>
      <c r="G353" s="75" t="n">
        <v>0.004131944444444444</v>
      </c>
      <c r="H353" s="75" t="n">
        <v>0.006689814814814815</v>
      </c>
      <c r="I353" s="75" t="n">
        <v>0.005694444444444445</v>
      </c>
      <c r="J353" s="75" t="n">
        <v>0.01482638888888889</v>
      </c>
      <c r="K353" s="75" t="n">
        <v>0.01572916666666667</v>
      </c>
      <c r="L353" s="75" t="n">
        <v>0.02027777777777778</v>
      </c>
      <c r="M353" s="75" t="n">
        <v>0.01162037037037037</v>
      </c>
      <c r="N353" s="75" t="n">
        <v>0.02664351851851852</v>
      </c>
      <c r="O353" s="75" t="n">
        <v>0.01</v>
      </c>
      <c r="P353" s="75" t="n">
        <v>0.009930555555555555</v>
      </c>
    </row>
    <row r="354" ht="15.75" customHeight="1" s="45">
      <c r="A354" s="76" t="n">
        <v>46292</v>
      </c>
      <c r="B354" s="82" t="inlineStr">
        <is>
          <t>Pós-Projeto</t>
        </is>
      </c>
      <c r="C354" s="91" t="inlineStr">
        <is>
          <t>Tempo Médio — 🟢 Verde   (hh:mm)</t>
        </is>
      </c>
      <c r="D354" s="79" t="n">
        <v>0.06890046296296297</v>
      </c>
      <c r="E354" s="79" t="n">
        <v>0.2554629629629629</v>
      </c>
      <c r="F354" s="79" t="n">
        <v>0.109837962962963</v>
      </c>
      <c r="G354" s="79" t="n">
        <v>0.1588773148148148</v>
      </c>
      <c r="H354" s="79" t="n">
        <v>0.1681365740740741</v>
      </c>
      <c r="I354" s="79" t="n">
        <v>0.1116550925925926</v>
      </c>
      <c r="J354" s="79" t="n">
        <v>0.128275462962963</v>
      </c>
      <c r="K354" s="79" t="n">
        <v>0.1476041666666667</v>
      </c>
      <c r="L354" s="79" t="n">
        <v>0.1546527777777778</v>
      </c>
      <c r="M354" s="79" t="n">
        <v>0.03373842592592593</v>
      </c>
      <c r="N354" s="79" t="n">
        <v>0.0700462962962963</v>
      </c>
      <c r="O354" s="79" t="n">
        <v>0.09986111111111111</v>
      </c>
      <c r="P354" s="79" t="n">
        <v>0.07456018518518519</v>
      </c>
    </row>
    <row r="355" ht="15.75" customHeight="1" s="45">
      <c r="A355" s="57" t="n">
        <v>46293</v>
      </c>
      <c r="B355" s="81" t="inlineStr">
        <is>
          <t>Pós-Projeto</t>
        </is>
      </c>
      <c r="C355" s="59" t="inlineStr">
        <is>
          <t>Acolhim. + Atend. Urgência + Atend. UPA</t>
        </is>
      </c>
      <c r="D355" s="60">
        <f>SUM(D356:D358)</f>
        <v/>
      </c>
      <c r="E355" s="60">
        <f>SUM(E356:E358)</f>
        <v/>
      </c>
      <c r="F355" s="60">
        <f>SUM(F356:F358)</f>
        <v/>
      </c>
      <c r="G355" s="60">
        <f>SUM(G356:G358)</f>
        <v/>
      </c>
      <c r="H355" s="60">
        <f>SUM(H356:H358)</f>
        <v/>
      </c>
      <c r="I355" s="60">
        <f>SUM(I356:I358)</f>
        <v/>
      </c>
      <c r="J355" s="60">
        <f>SUM(J356:J358)</f>
        <v/>
      </c>
      <c r="K355" s="60">
        <f>SUM(K356:K358)</f>
        <v/>
      </c>
      <c r="L355" s="60">
        <f>SUM(L356:L358)</f>
        <v/>
      </c>
      <c r="M355" s="60">
        <f>SUM(M356:M358)</f>
        <v/>
      </c>
      <c r="N355" s="60">
        <f>SUM(N356:N358)</f>
        <v/>
      </c>
      <c r="O355" s="60">
        <f>SUM(O356:O358)</f>
        <v/>
      </c>
      <c r="P355" s="60">
        <f>SUM(P356:P358)</f>
        <v/>
      </c>
    </row>
    <row r="356" ht="15.75" customHeight="1" s="45">
      <c r="A356" s="61" t="n">
        <v>46293</v>
      </c>
      <c r="B356" s="82" t="inlineStr">
        <is>
          <t>Pós-Projeto</t>
        </is>
      </c>
      <c r="C356" s="83" t="inlineStr">
        <is>
          <t>Acolhimento c/ Classif. de Risco</t>
        </is>
      </c>
      <c r="D356" s="66" t="n">
        <v>239</v>
      </c>
      <c r="E356" s="66" t="n">
        <v>190</v>
      </c>
      <c r="F356" s="66" t="n">
        <v>165</v>
      </c>
      <c r="G356" s="66" t="n">
        <v>165</v>
      </c>
      <c r="H356" s="66" t="n">
        <v>167</v>
      </c>
      <c r="I356" s="66" t="n">
        <v>230</v>
      </c>
      <c r="J356" s="66" t="n">
        <v>168</v>
      </c>
      <c r="K356" s="66" t="n">
        <v>337</v>
      </c>
      <c r="L356" s="66" t="n">
        <v>162</v>
      </c>
      <c r="M356" s="66" t="n">
        <v>271</v>
      </c>
      <c r="N356" s="66" t="n">
        <v>216</v>
      </c>
      <c r="O356" s="66" t="n">
        <v>328</v>
      </c>
      <c r="P356" s="66" t="n">
        <v>306</v>
      </c>
    </row>
    <row r="357" ht="15.75" customHeight="1" s="45">
      <c r="A357" s="61" t="n">
        <v>46293</v>
      </c>
      <c r="B357" s="82" t="inlineStr">
        <is>
          <t>Pós-Projeto</t>
        </is>
      </c>
      <c r="C357" s="84" t="inlineStr">
        <is>
          <t>Atend. Urgência Obs. ≤ 24h</t>
        </is>
      </c>
      <c r="D357" s="64" t="n">
        <v>21</v>
      </c>
      <c r="E357" s="64" t="n">
        <v>26</v>
      </c>
      <c r="F357" s="64" t="n">
        <v>19</v>
      </c>
      <c r="G357" s="64" t="n">
        <v>17</v>
      </c>
      <c r="H357" s="64" t="n">
        <v>17</v>
      </c>
      <c r="I357" s="64" t="n">
        <v>28</v>
      </c>
      <c r="J357" s="64" t="n">
        <v>17</v>
      </c>
      <c r="K357" s="64" t="n">
        <v>44</v>
      </c>
      <c r="L357" s="64" t="n">
        <v>31</v>
      </c>
      <c r="M357" s="64" t="n">
        <v>23</v>
      </c>
      <c r="N357" s="64" t="n">
        <v>16</v>
      </c>
      <c r="O357" s="64" t="n">
        <v>5</v>
      </c>
      <c r="P357" s="64" t="n">
        <v>15</v>
      </c>
    </row>
    <row r="358" ht="15.75" customHeight="1" s="45">
      <c r="A358" s="61" t="n">
        <v>46293</v>
      </c>
      <c r="B358" s="82" t="inlineStr">
        <is>
          <t>Pós-Projeto</t>
        </is>
      </c>
      <c r="C358" s="83" t="inlineStr">
        <is>
          <t>Atend. Médico em UPA</t>
        </is>
      </c>
      <c r="D358" s="66" t="n">
        <v>159</v>
      </c>
      <c r="E358" s="66" t="n">
        <v>133</v>
      </c>
      <c r="F358" s="66" t="n">
        <v>113</v>
      </c>
      <c r="G358" s="66" t="n">
        <v>109</v>
      </c>
      <c r="H358" s="66" t="n">
        <v>107</v>
      </c>
      <c r="I358" s="66" t="n">
        <v>207</v>
      </c>
      <c r="J358" s="66" t="n">
        <v>113</v>
      </c>
      <c r="K358" s="66" t="n">
        <v>258</v>
      </c>
      <c r="L358" s="66" t="n">
        <v>118</v>
      </c>
      <c r="M358" s="66" t="n">
        <v>178</v>
      </c>
      <c r="N358" s="66" t="n">
        <v>202</v>
      </c>
      <c r="O358" s="66" t="n">
        <v>229</v>
      </c>
      <c r="P358" s="66" t="n">
        <v>166</v>
      </c>
    </row>
    <row r="359" ht="15.75" customHeight="1" s="45">
      <c r="A359" s="61" t="n">
        <v>46293</v>
      </c>
      <c r="B359" s="82" t="inlineStr">
        <is>
          <t>Pós-Projeto</t>
        </is>
      </c>
      <c r="C359" s="84" t="inlineStr">
        <is>
          <t>Exames Laboratoriais</t>
        </is>
      </c>
      <c r="D359" s="64" t="n">
        <v>548</v>
      </c>
      <c r="E359" s="64" t="n">
        <v>492</v>
      </c>
      <c r="F359" s="64" t="n">
        <v>616</v>
      </c>
      <c r="G359" s="64" t="n">
        <v>376</v>
      </c>
      <c r="H359" s="64" t="n">
        <v>514</v>
      </c>
      <c r="I359" s="64" t="n">
        <v>508</v>
      </c>
      <c r="J359" s="64" t="n">
        <v>441</v>
      </c>
      <c r="K359" s="64" t="n">
        <v>971</v>
      </c>
      <c r="L359" s="64" t="n">
        <v>668</v>
      </c>
      <c r="M359" s="64" t="n">
        <v>657</v>
      </c>
      <c r="N359" s="64" t="n">
        <v>486</v>
      </c>
      <c r="O359" s="64" t="n">
        <v>455</v>
      </c>
      <c r="P359" s="64" t="n">
        <v>299</v>
      </c>
    </row>
    <row r="360" ht="15.75" customHeight="1" s="45">
      <c r="A360" s="61" t="n">
        <v>46293</v>
      </c>
      <c r="B360" s="82" t="inlineStr">
        <is>
          <t>Pós-Projeto</t>
        </is>
      </c>
      <c r="C360" s="83" t="inlineStr">
        <is>
          <t>Radiografias</t>
        </is>
      </c>
      <c r="D360" s="66" t="n">
        <v>8</v>
      </c>
      <c r="E360" s="66" t="n">
        <v>21</v>
      </c>
      <c r="F360" s="66" t="n">
        <v>8</v>
      </c>
      <c r="G360" s="67" t="n">
        <v>0</v>
      </c>
      <c r="H360" s="66" t="n">
        <v>15</v>
      </c>
      <c r="I360" s="66" t="n">
        <v>24</v>
      </c>
      <c r="J360" s="66" t="n">
        <v>21</v>
      </c>
      <c r="K360" s="66" t="n">
        <v>33</v>
      </c>
      <c r="L360" s="66" t="n">
        <v>19</v>
      </c>
      <c r="M360" s="66" t="n">
        <v>41</v>
      </c>
      <c r="N360" s="66" t="n">
        <v>12</v>
      </c>
      <c r="O360" s="66" t="n">
        <v>44</v>
      </c>
      <c r="P360" s="66" t="n">
        <v>43</v>
      </c>
    </row>
    <row r="361" ht="15.75" customHeight="1" s="45">
      <c r="A361" s="61" t="n">
        <v>46293</v>
      </c>
      <c r="B361" s="82" t="inlineStr">
        <is>
          <t>Pós-Projeto</t>
        </is>
      </c>
      <c r="C361" s="84" t="inlineStr">
        <is>
          <t>Eletrocardiogramas</t>
        </is>
      </c>
      <c r="D361" s="64" t="n">
        <v>16</v>
      </c>
      <c r="E361" s="64" t="n">
        <v>13</v>
      </c>
      <c r="F361" s="64" t="n">
        <v>33</v>
      </c>
      <c r="G361" s="64" t="n">
        <v>20</v>
      </c>
      <c r="H361" s="64" t="n">
        <v>12</v>
      </c>
      <c r="I361" s="64" t="n">
        <v>20</v>
      </c>
      <c r="J361" s="64" t="n">
        <v>11</v>
      </c>
      <c r="K361" s="64" t="n">
        <v>18</v>
      </c>
      <c r="L361" s="64" t="n">
        <v>21</v>
      </c>
      <c r="M361" s="64" t="n">
        <v>18</v>
      </c>
      <c r="N361" s="64" t="n">
        <v>16</v>
      </c>
      <c r="O361" s="64" t="n">
        <v>18</v>
      </c>
      <c r="P361" s="64" t="n">
        <v>19</v>
      </c>
    </row>
    <row r="362" ht="15.75" customHeight="1" s="45">
      <c r="A362" s="61" t="n">
        <v>46293</v>
      </c>
      <c r="B362" s="82" t="inlineStr">
        <is>
          <t>Pós-Projeto</t>
        </is>
      </c>
      <c r="C362" s="85" t="inlineStr">
        <is>
          <t>GAEs Abertas</t>
        </is>
      </c>
      <c r="D362" s="69" t="n">
        <v>258</v>
      </c>
      <c r="E362" s="69" t="n">
        <v>195</v>
      </c>
      <c r="F362" s="69" t="n">
        <v>174</v>
      </c>
      <c r="G362" s="69" t="n">
        <v>188</v>
      </c>
      <c r="H362" s="69" t="n">
        <v>176</v>
      </c>
      <c r="I362" s="69" t="n">
        <v>243</v>
      </c>
      <c r="J362" s="69" t="n">
        <v>174</v>
      </c>
      <c r="K362" s="69" t="n">
        <v>373</v>
      </c>
      <c r="L362" s="69" t="n">
        <v>168</v>
      </c>
      <c r="M362" s="69" t="n">
        <v>293</v>
      </c>
      <c r="N362" s="69" t="n">
        <v>229</v>
      </c>
      <c r="O362" s="69" t="n">
        <v>338</v>
      </c>
      <c r="P362" s="69" t="n">
        <v>316</v>
      </c>
    </row>
    <row r="363" ht="15.75" customHeight="1" s="45">
      <c r="A363" s="61" t="n">
        <v>46293</v>
      </c>
      <c r="B363" s="82" t="inlineStr">
        <is>
          <t>Pós-Projeto</t>
        </is>
      </c>
      <c r="C363" s="85" t="inlineStr">
        <is>
          <t>GAEs Classificadas</t>
        </is>
      </c>
      <c r="D363" s="69" t="n">
        <v>242</v>
      </c>
      <c r="E363" s="69" t="n">
        <v>190</v>
      </c>
      <c r="F363" s="69" t="n">
        <v>163</v>
      </c>
      <c r="G363" s="69" t="n">
        <v>166</v>
      </c>
      <c r="H363" s="69" t="n">
        <v>162</v>
      </c>
      <c r="I363" s="69" t="n">
        <v>229</v>
      </c>
      <c r="J363" s="69" t="n">
        <v>167</v>
      </c>
      <c r="K363" s="69" t="n">
        <v>341</v>
      </c>
      <c r="L363" s="69" t="n">
        <v>161</v>
      </c>
      <c r="M363" s="69" t="n">
        <v>268</v>
      </c>
      <c r="N363" s="69" t="n">
        <v>216</v>
      </c>
      <c r="O363" s="69" t="n">
        <v>324</v>
      </c>
      <c r="P363" s="69" t="n">
        <v>308</v>
      </c>
    </row>
    <row r="364" ht="15.75" customHeight="1" s="45">
      <c r="A364" s="61" t="n">
        <v>46293</v>
      </c>
      <c r="B364" s="82" t="inlineStr">
        <is>
          <t>Pós-Projeto</t>
        </is>
      </c>
      <c r="C364" s="86" t="inlineStr">
        <is>
          <t>Percentual de GAEs abertas classificadas</t>
        </is>
      </c>
      <c r="D364" s="71">
        <f>IFERROR(D363/D362,"-")</f>
        <v/>
      </c>
      <c r="E364" s="71">
        <f>IFERROR(E363/E362,"-")</f>
        <v/>
      </c>
      <c r="F364" s="71">
        <f>IFERROR(F363/F362,"-")</f>
        <v/>
      </c>
      <c r="G364" s="71">
        <f>IFERROR(G363/G362,"-")</f>
        <v/>
      </c>
      <c r="H364" s="71">
        <f>IFERROR(H363/H362,"-")</f>
        <v/>
      </c>
      <c r="I364" s="71">
        <f>IFERROR(I363/I362,"-")</f>
        <v/>
      </c>
      <c r="J364" s="71">
        <f>IFERROR(J363/J362,"-")</f>
        <v/>
      </c>
      <c r="K364" s="71">
        <f>IFERROR(K363/K362,"-")</f>
        <v/>
      </c>
      <c r="L364" s="71">
        <f>IFERROR(L363/L362,"-")</f>
        <v/>
      </c>
      <c r="M364" s="71">
        <f>IFERROR(M363/M362,"-")</f>
        <v/>
      </c>
      <c r="N364" s="71">
        <f>IFERROR(N363/N362,"-")</f>
        <v/>
      </c>
      <c r="O364" s="71">
        <f>IFERROR(O363/O362,"-")</f>
        <v/>
      </c>
      <c r="P364" s="71">
        <f>IFERROR(P363/P362,"-")</f>
        <v/>
      </c>
    </row>
    <row r="365" ht="15.75" customHeight="1" s="45">
      <c r="A365" s="61" t="n">
        <v>46293</v>
      </c>
      <c r="B365" s="82" t="inlineStr">
        <is>
          <t>Pós-Projeto</t>
        </is>
      </c>
      <c r="C365" s="87" t="inlineStr">
        <is>
          <t>Tempo Médio — 🟡 Amarelo (hh:mm)</t>
        </is>
      </c>
      <c r="D365" s="73" t="n">
        <v>0.1003587962962963</v>
      </c>
      <c r="E365" s="73" t="n">
        <v>0.03684027777777778</v>
      </c>
      <c r="F365" s="73" t="n">
        <v>0.0374537037037037</v>
      </c>
      <c r="G365" s="73" t="n">
        <v>0.05418981481481482</v>
      </c>
      <c r="H365" s="73" t="n">
        <v>0.04592592592592593</v>
      </c>
      <c r="I365" s="73" t="n">
        <v>0.01674768518518518</v>
      </c>
      <c r="J365" s="73" t="n">
        <v>0.06570601851851852</v>
      </c>
      <c r="K365" s="73" t="n">
        <v>0.07868055555555556</v>
      </c>
      <c r="L365" s="73" t="n">
        <v>0.1108449074074074</v>
      </c>
      <c r="M365" s="73" t="n">
        <v>0.03627314814814815</v>
      </c>
      <c r="N365" s="73" t="n">
        <v>0.06984953703703704</v>
      </c>
      <c r="O365" s="73" t="n">
        <v>0.03314814814814815</v>
      </c>
      <c r="P365" s="73" t="n">
        <v>0.0621875</v>
      </c>
    </row>
    <row r="366" ht="15.75" customHeight="1" s="45">
      <c r="A366" s="61" t="n">
        <v>46293</v>
      </c>
      <c r="B366" s="82" t="inlineStr">
        <is>
          <t>Pós-Projeto</t>
        </is>
      </c>
      <c r="C366" s="88" t="inlineStr">
        <is>
          <t>Tempo Médio — 🟠 Laranja (hh:mm)</t>
        </is>
      </c>
      <c r="D366" s="75" t="n">
        <v>0.0109375</v>
      </c>
      <c r="E366" s="75" t="n">
        <v>0.008055555555555555</v>
      </c>
      <c r="F366" s="75" t="n">
        <v>0.007395833333333333</v>
      </c>
      <c r="G366" s="75" t="n">
        <v>0.008576388888888889</v>
      </c>
      <c r="H366" s="75" t="n">
        <v>0.005706018518518518</v>
      </c>
      <c r="I366" s="75" t="n">
        <v>0.00337962962962963</v>
      </c>
      <c r="J366" s="75" t="n">
        <v>0.007858796296296296</v>
      </c>
      <c r="K366" s="75" t="n">
        <v>0.02215277777777778</v>
      </c>
      <c r="L366" s="75" t="n">
        <v>0.01454861111111111</v>
      </c>
      <c r="M366" s="75" t="n">
        <v>0.01219907407407407</v>
      </c>
      <c r="N366" s="75" t="n">
        <v>0.009641203703703704</v>
      </c>
      <c r="O366" s="75" t="n">
        <v>0.009606481481481481</v>
      </c>
      <c r="P366" s="75" t="n">
        <v>0.0121412037037037</v>
      </c>
    </row>
    <row r="367" ht="15.75" customHeight="1" s="45">
      <c r="A367" s="76" t="n">
        <v>46293</v>
      </c>
      <c r="B367" s="82" t="inlineStr">
        <is>
          <t>Pós-Projeto</t>
        </is>
      </c>
      <c r="C367" s="91" t="inlineStr">
        <is>
          <t>Tempo Médio — 🟢 Verde   (hh:mm)</t>
        </is>
      </c>
      <c r="D367" s="79" t="n">
        <v>0.08315972222222222</v>
      </c>
      <c r="E367" s="79" t="n">
        <v>0.09274305555555555</v>
      </c>
      <c r="F367" s="79" t="n">
        <v>0.1096064814814815</v>
      </c>
      <c r="G367" s="79" t="n">
        <v>0.1465509259259259</v>
      </c>
      <c r="H367" s="79" t="n">
        <v>0.09641203703703703</v>
      </c>
      <c r="I367" s="79" t="n">
        <v>0.09575231481481482</v>
      </c>
      <c r="J367" s="79" t="n">
        <v>0.09756944444444444</v>
      </c>
      <c r="K367" s="79" t="n">
        <v>0.09240740740740741</v>
      </c>
      <c r="L367" s="79" t="n">
        <v>0.07731481481481481</v>
      </c>
      <c r="M367" s="79" t="n">
        <v>0.06872685185185186</v>
      </c>
      <c r="N367" s="79" t="n">
        <v>0.07628472222222223</v>
      </c>
      <c r="O367" s="79" t="n">
        <v>0.06384259259259259</v>
      </c>
      <c r="P367" s="79" t="n">
        <v>0.08238425925925925</v>
      </c>
    </row>
    <row r="368" ht="15.75" customHeight="1" s="45">
      <c r="A368" s="57" t="n">
        <v>46294</v>
      </c>
      <c r="B368" s="81" t="inlineStr">
        <is>
          <t>Pós-Projeto</t>
        </is>
      </c>
      <c r="C368" s="59" t="inlineStr">
        <is>
          <t>Acolhim. + Atend. Urgência + Atend. UPA</t>
        </is>
      </c>
      <c r="D368" s="60">
        <f>SUM(D369:D371)</f>
        <v/>
      </c>
      <c r="E368" s="60">
        <f>SUM(E369:E371)</f>
        <v/>
      </c>
      <c r="F368" s="60">
        <f>SUM(F369:F371)</f>
        <v/>
      </c>
      <c r="G368" s="60">
        <f>SUM(G369:G371)</f>
        <v/>
      </c>
      <c r="H368" s="60">
        <f>SUM(H369:H371)</f>
        <v/>
      </c>
      <c r="I368" s="60">
        <f>SUM(I369:I371)</f>
        <v/>
      </c>
      <c r="J368" s="60">
        <f>SUM(J369:J371)</f>
        <v/>
      </c>
      <c r="K368" s="60">
        <f>SUM(K369:K371)</f>
        <v/>
      </c>
      <c r="L368" s="60">
        <f>SUM(L369:L371)</f>
        <v/>
      </c>
      <c r="M368" s="60">
        <f>SUM(M369:M371)</f>
        <v/>
      </c>
      <c r="N368" s="60">
        <f>SUM(N369:N371)</f>
        <v/>
      </c>
      <c r="O368" s="60">
        <f>SUM(O369:O371)</f>
        <v/>
      </c>
      <c r="P368" s="60">
        <f>SUM(P369:P371)</f>
        <v/>
      </c>
    </row>
    <row r="369" ht="15.75" customHeight="1" s="45">
      <c r="A369" s="61" t="n">
        <v>46294</v>
      </c>
      <c r="B369" s="82" t="inlineStr">
        <is>
          <t>Pós-Projeto</t>
        </is>
      </c>
      <c r="C369" s="83" t="inlineStr">
        <is>
          <t>Acolhimento c/ Classif. de Risco</t>
        </is>
      </c>
      <c r="D369" s="64" t="n">
        <v>216</v>
      </c>
      <c r="E369" s="64" t="n">
        <v>178</v>
      </c>
      <c r="F369" s="64" t="n">
        <v>156</v>
      </c>
      <c r="G369" s="64" t="n">
        <v>156</v>
      </c>
      <c r="H369" s="64" t="n">
        <v>170</v>
      </c>
      <c r="I369" s="64" t="n">
        <v>236</v>
      </c>
      <c r="J369" s="64" t="n">
        <v>152</v>
      </c>
      <c r="K369" s="64" t="n">
        <v>274</v>
      </c>
      <c r="L369" s="64" t="n">
        <v>161</v>
      </c>
      <c r="M369" s="64" t="n">
        <v>250</v>
      </c>
      <c r="N369" s="64" t="n">
        <v>226</v>
      </c>
      <c r="O369" s="64" t="n">
        <v>281</v>
      </c>
      <c r="P369" s="64" t="n">
        <v>270</v>
      </c>
    </row>
    <row r="370" ht="15.75" customHeight="1" s="45">
      <c r="A370" s="61" t="n">
        <v>46294</v>
      </c>
      <c r="B370" s="82" t="inlineStr">
        <is>
          <t>Pós-Projeto</t>
        </is>
      </c>
      <c r="C370" s="84" t="inlineStr">
        <is>
          <t>Atend. Urgência Obs. ≤ 24h</t>
        </is>
      </c>
      <c r="D370" s="66" t="n">
        <v>21</v>
      </c>
      <c r="E370" s="66" t="n">
        <v>24</v>
      </c>
      <c r="F370" s="66" t="n">
        <v>23</v>
      </c>
      <c r="G370" s="66" t="n">
        <v>16</v>
      </c>
      <c r="H370" s="66" t="n">
        <v>11</v>
      </c>
      <c r="I370" s="66" t="n">
        <v>29</v>
      </c>
      <c r="J370" s="66" t="n">
        <v>21</v>
      </c>
      <c r="K370" s="66" t="n">
        <v>35</v>
      </c>
      <c r="L370" s="66" t="n">
        <v>31</v>
      </c>
      <c r="M370" s="66" t="n">
        <v>18</v>
      </c>
      <c r="N370" s="66" t="n">
        <v>13</v>
      </c>
      <c r="O370" s="66" t="n">
        <v>6</v>
      </c>
      <c r="P370" s="66" t="n">
        <v>25</v>
      </c>
    </row>
    <row r="371" ht="15.75" customHeight="1" s="45">
      <c r="A371" s="61" t="n">
        <v>46294</v>
      </c>
      <c r="B371" s="82" t="inlineStr">
        <is>
          <t>Pós-Projeto</t>
        </is>
      </c>
      <c r="C371" s="83" t="inlineStr">
        <is>
          <t>Atend. Médico em UPA</t>
        </is>
      </c>
      <c r="D371" s="64" t="n">
        <v>148</v>
      </c>
      <c r="E371" s="64" t="n">
        <v>142</v>
      </c>
      <c r="F371" s="64" t="n">
        <v>122</v>
      </c>
      <c r="G371" s="64" t="n">
        <v>82</v>
      </c>
      <c r="H371" s="64" t="n">
        <v>106</v>
      </c>
      <c r="I371" s="64" t="n">
        <v>191</v>
      </c>
      <c r="J371" s="64" t="n">
        <v>100</v>
      </c>
      <c r="K371" s="64" t="n">
        <v>235</v>
      </c>
      <c r="L371" s="64" t="n">
        <v>95</v>
      </c>
      <c r="M371" s="64" t="n">
        <v>202</v>
      </c>
      <c r="N371" s="64" t="n">
        <v>210</v>
      </c>
      <c r="O371" s="64" t="n">
        <v>207</v>
      </c>
      <c r="P371" s="64" t="n">
        <v>156</v>
      </c>
    </row>
    <row r="372" ht="15.75" customHeight="1" s="45">
      <c r="A372" s="61" t="n">
        <v>46294</v>
      </c>
      <c r="B372" s="82" t="inlineStr">
        <is>
          <t>Pós-Projeto</t>
        </is>
      </c>
      <c r="C372" s="84" t="inlineStr">
        <is>
          <t>Exames Laboratoriais</t>
        </is>
      </c>
      <c r="D372" s="66" t="n">
        <v>627</v>
      </c>
      <c r="E372" s="66" t="n">
        <v>492</v>
      </c>
      <c r="F372" s="66" t="n">
        <v>597</v>
      </c>
      <c r="G372" s="66" t="n">
        <v>196</v>
      </c>
      <c r="H372" s="66" t="n">
        <v>636</v>
      </c>
      <c r="I372" s="66" t="n">
        <v>798</v>
      </c>
      <c r="J372" s="66" t="n">
        <v>543</v>
      </c>
      <c r="K372" s="66" t="n">
        <v>886</v>
      </c>
      <c r="L372" s="66" t="n">
        <v>439</v>
      </c>
      <c r="M372" s="66" t="n">
        <v>594</v>
      </c>
      <c r="N372" s="66" t="n">
        <v>652</v>
      </c>
      <c r="O372" s="66" t="n">
        <v>564</v>
      </c>
      <c r="P372" s="66" t="n">
        <v>775</v>
      </c>
    </row>
    <row r="373" ht="15.75" customHeight="1" s="45">
      <c r="A373" s="61" t="n">
        <v>46294</v>
      </c>
      <c r="B373" s="82" t="inlineStr">
        <is>
          <t>Pós-Projeto</t>
        </is>
      </c>
      <c r="C373" s="83" t="inlineStr">
        <is>
          <t>Radiografias</t>
        </is>
      </c>
      <c r="D373" s="64" t="n">
        <v>18</v>
      </c>
      <c r="E373" s="64" t="n">
        <v>22</v>
      </c>
      <c r="F373" s="64" t="n">
        <v>19</v>
      </c>
      <c r="G373" s="67" t="n">
        <v>0</v>
      </c>
      <c r="H373" s="64" t="n">
        <v>17</v>
      </c>
      <c r="I373" s="64" t="n">
        <v>29</v>
      </c>
      <c r="J373" s="64" t="n">
        <v>14</v>
      </c>
      <c r="K373" s="64" t="n">
        <v>50</v>
      </c>
      <c r="L373" s="64" t="n">
        <v>18</v>
      </c>
      <c r="M373" s="64" t="n">
        <v>54</v>
      </c>
      <c r="N373" s="64" t="n">
        <v>25</v>
      </c>
      <c r="O373" s="64" t="n">
        <v>44</v>
      </c>
      <c r="P373" s="64" t="n">
        <v>40</v>
      </c>
    </row>
    <row r="374" ht="15.75" customHeight="1" s="45">
      <c r="A374" s="61" t="n">
        <v>46294</v>
      </c>
      <c r="B374" s="82" t="inlineStr">
        <is>
          <t>Pós-Projeto</t>
        </is>
      </c>
      <c r="C374" s="84" t="inlineStr">
        <is>
          <t>Eletrocardiogramas</t>
        </is>
      </c>
      <c r="D374" s="66" t="n">
        <v>20</v>
      </c>
      <c r="E374" s="66" t="n">
        <v>8</v>
      </c>
      <c r="F374" s="66" t="n">
        <v>23</v>
      </c>
      <c r="G374" s="66" t="n">
        <v>16</v>
      </c>
      <c r="H374" s="66" t="n">
        <v>17</v>
      </c>
      <c r="I374" s="66" t="n">
        <v>16</v>
      </c>
      <c r="J374" s="66" t="n">
        <v>18</v>
      </c>
      <c r="K374" s="66" t="n">
        <v>24</v>
      </c>
      <c r="L374" s="66" t="n">
        <v>15</v>
      </c>
      <c r="M374" s="66" t="n">
        <v>18</v>
      </c>
      <c r="N374" s="66" t="n">
        <v>27</v>
      </c>
      <c r="O374" s="66" t="n">
        <v>14</v>
      </c>
      <c r="P374" s="66" t="n">
        <v>19</v>
      </c>
    </row>
    <row r="375" ht="15.75" customHeight="1" s="45">
      <c r="A375" s="61" t="n">
        <v>46294</v>
      </c>
      <c r="B375" s="82" t="inlineStr">
        <is>
          <t>Pós-Projeto</t>
        </is>
      </c>
      <c r="C375" s="85" t="inlineStr">
        <is>
          <t>GAEs Abertas</t>
        </is>
      </c>
      <c r="D375" s="69" t="n">
        <v>228</v>
      </c>
      <c r="E375" s="69" t="n">
        <v>181</v>
      </c>
      <c r="F375" s="69" t="n">
        <v>163</v>
      </c>
      <c r="G375" s="69" t="n">
        <v>166</v>
      </c>
      <c r="H375" s="69" t="n">
        <v>176</v>
      </c>
      <c r="I375" s="69" t="n">
        <v>243</v>
      </c>
      <c r="J375" s="69" t="n">
        <v>156</v>
      </c>
      <c r="K375" s="69" t="n">
        <v>298</v>
      </c>
      <c r="L375" s="69" t="n">
        <v>180</v>
      </c>
      <c r="M375" s="69" t="n">
        <v>258</v>
      </c>
      <c r="N375" s="69" t="n">
        <v>238</v>
      </c>
      <c r="O375" s="69" t="n">
        <v>301</v>
      </c>
      <c r="P375" s="69" t="n">
        <v>286</v>
      </c>
    </row>
    <row r="376" ht="15.75" customHeight="1" s="45">
      <c r="A376" s="61" t="n">
        <v>46294</v>
      </c>
      <c r="B376" s="82" t="inlineStr">
        <is>
          <t>Pós-Projeto</t>
        </is>
      </c>
      <c r="C376" s="85" t="inlineStr">
        <is>
          <t>GAEs Classificadas</t>
        </is>
      </c>
      <c r="D376" s="69" t="n">
        <v>213</v>
      </c>
      <c r="E376" s="69" t="n">
        <v>178</v>
      </c>
      <c r="F376" s="69" t="n">
        <v>157</v>
      </c>
      <c r="G376" s="69" t="n">
        <v>154</v>
      </c>
      <c r="H376" s="69" t="n">
        <v>169</v>
      </c>
      <c r="I376" s="69" t="n">
        <v>237</v>
      </c>
      <c r="J376" s="69" t="n">
        <v>152</v>
      </c>
      <c r="K376" s="69" t="n">
        <v>271</v>
      </c>
      <c r="L376" s="69" t="n">
        <v>161</v>
      </c>
      <c r="M376" s="69" t="n">
        <v>254</v>
      </c>
      <c r="N376" s="69" t="n">
        <v>226</v>
      </c>
      <c r="O376" s="69" t="n">
        <v>286</v>
      </c>
      <c r="P376" s="69" t="n">
        <v>269</v>
      </c>
    </row>
    <row r="377" ht="15.75" customHeight="1" s="45">
      <c r="A377" s="61" t="n">
        <v>46294</v>
      </c>
      <c r="B377" s="82" t="inlineStr">
        <is>
          <t>Pós-Projeto</t>
        </is>
      </c>
      <c r="C377" s="86" t="inlineStr">
        <is>
          <t>Percentual de GAEs abertas classificadas</t>
        </is>
      </c>
      <c r="D377" s="71">
        <f>IFERROR(D376/D375,"-")</f>
        <v/>
      </c>
      <c r="E377" s="71">
        <f>IFERROR(E376/E375,"-")</f>
        <v/>
      </c>
      <c r="F377" s="71">
        <f>IFERROR(F376/F375,"-")</f>
        <v/>
      </c>
      <c r="G377" s="71">
        <f>IFERROR(G376/G375,"-")</f>
        <v/>
      </c>
      <c r="H377" s="71">
        <f>IFERROR(H376/H375,"-")</f>
        <v/>
      </c>
      <c r="I377" s="71">
        <f>IFERROR(I376/I375,"-")</f>
        <v/>
      </c>
      <c r="J377" s="71">
        <f>IFERROR(J376/J375,"-")</f>
        <v/>
      </c>
      <c r="K377" s="71">
        <f>IFERROR(K376/K375,"-")</f>
        <v/>
      </c>
      <c r="L377" s="71">
        <f>IFERROR(L376/L375,"-")</f>
        <v/>
      </c>
      <c r="M377" s="71">
        <f>IFERROR(M376/M375,"-")</f>
        <v/>
      </c>
      <c r="N377" s="71">
        <f>IFERROR(N376/N375,"-")</f>
        <v/>
      </c>
      <c r="O377" s="71">
        <f>IFERROR(O376/O375,"-")</f>
        <v/>
      </c>
      <c r="P377" s="71">
        <f>IFERROR(P376/P375,"-")</f>
        <v/>
      </c>
    </row>
    <row r="378" ht="15.75" customHeight="1" s="45">
      <c r="A378" s="61" t="n">
        <v>46294</v>
      </c>
      <c r="B378" s="82" t="inlineStr">
        <is>
          <t>Pós-Projeto</t>
        </is>
      </c>
      <c r="C378" s="87" t="inlineStr">
        <is>
          <t>Tempo Médio — 🟡 Amarelo (hh:mm)</t>
        </is>
      </c>
      <c r="D378" s="73" t="n">
        <v>0.1359375</v>
      </c>
      <c r="E378" s="73" t="n">
        <v>0.01369212962962963</v>
      </c>
      <c r="F378" s="73" t="n">
        <v>0.03765046296296296</v>
      </c>
      <c r="G378" s="73" t="n">
        <v>0.03349537037037037</v>
      </c>
      <c r="H378" s="73" t="n">
        <v>0.07957175925925926</v>
      </c>
      <c r="I378" s="73" t="n">
        <v>0.03349537037037037</v>
      </c>
      <c r="J378" s="73" t="n">
        <v>0.1229166666666667</v>
      </c>
      <c r="K378" s="73" t="n">
        <v>0.04391203703703703</v>
      </c>
      <c r="L378" s="73" t="n">
        <v>0.1156828703703704</v>
      </c>
      <c r="M378" s="73" t="n">
        <v>0.01739583333333333</v>
      </c>
      <c r="N378" s="73" t="n">
        <v>0.03690972222222222</v>
      </c>
      <c r="O378" s="73" t="n">
        <v>0.05853009259259259</v>
      </c>
      <c r="P378" s="73" t="n">
        <v>0.1075462962962963</v>
      </c>
    </row>
    <row r="379" ht="15.75" customHeight="1" s="45">
      <c r="A379" s="61" t="n">
        <v>46294</v>
      </c>
      <c r="B379" s="82" t="inlineStr">
        <is>
          <t>Pós-Projeto</t>
        </is>
      </c>
      <c r="C379" s="88" t="inlineStr">
        <is>
          <t>Tempo Médio — 🟠 Laranja (hh:mm)</t>
        </is>
      </c>
      <c r="D379" s="75" t="n">
        <v>0.01090277777777778</v>
      </c>
      <c r="E379" s="75" t="n">
        <v>0.005162037037037037</v>
      </c>
      <c r="F379" s="75" t="n">
        <v>0.00443287037037037</v>
      </c>
      <c r="G379" s="75" t="n">
        <v>0.005694444444444445</v>
      </c>
      <c r="H379" s="75" t="n">
        <v>0.008136574074074074</v>
      </c>
      <c r="I379" s="75" t="n">
        <v>0.003923611111111111</v>
      </c>
      <c r="J379" s="75" t="n">
        <v>0.01347222222222222</v>
      </c>
      <c r="K379" s="75" t="n">
        <v>0.01149305555555555</v>
      </c>
      <c r="L379" s="75" t="n">
        <v>0.01961805555555556</v>
      </c>
      <c r="M379" s="75" t="n">
        <v>0.006087962962962963</v>
      </c>
      <c r="N379" s="75" t="n">
        <v>0.01180555555555556</v>
      </c>
      <c r="O379" s="75" t="n">
        <v>0.008958333333333334</v>
      </c>
      <c r="P379" s="75" t="n">
        <v>0.01046296296296296</v>
      </c>
    </row>
    <row r="380" ht="15.75" customHeight="1" s="45">
      <c r="A380" s="76" t="n">
        <v>46294</v>
      </c>
      <c r="B380" s="82" t="inlineStr">
        <is>
          <t>Pós-Projeto</t>
        </is>
      </c>
      <c r="C380" s="91" t="inlineStr">
        <is>
          <t>Tempo Médio — 🟢 Verde   (hh:mm)</t>
        </is>
      </c>
      <c r="D380" s="79" t="n">
        <v>0.06100694444444445</v>
      </c>
      <c r="E380" s="79" t="n">
        <v>0.03408564814814815</v>
      </c>
      <c r="F380" s="79" t="n">
        <v>0.04105324074074074</v>
      </c>
      <c r="G380" s="79" t="n">
        <v>0.08709490740740741</v>
      </c>
      <c r="H380" s="79" t="n">
        <v>0.1038773148148148</v>
      </c>
      <c r="I380" s="79" t="n">
        <v>0.07781250000000001</v>
      </c>
      <c r="J380" s="79" t="n">
        <v>0.08309027777777778</v>
      </c>
      <c r="K380" s="79" t="n">
        <v>0.07148148148148148</v>
      </c>
      <c r="L380" s="79" t="n">
        <v>0.1137847222222222</v>
      </c>
      <c r="M380" s="79" t="n">
        <v>0.03862268518518518</v>
      </c>
      <c r="N380" s="79" t="n">
        <v>0.06210648148148148</v>
      </c>
      <c r="O380" s="79" t="n">
        <v>0.1157060185185185</v>
      </c>
      <c r="P380" s="79" t="n">
        <v>0.06446759259259259</v>
      </c>
    </row>
    <row r="381" ht="15.75" customHeight="1" s="45">
      <c r="A381" s="57" t="n">
        <v>46295</v>
      </c>
      <c r="B381" s="81" t="inlineStr">
        <is>
          <t>Pós-Projeto</t>
        </is>
      </c>
      <c r="C381" s="59" t="inlineStr">
        <is>
          <t>Acolhim. + Atend. Urgência + Atend. UPA</t>
        </is>
      </c>
      <c r="D381" s="60">
        <f>SUM(D382:D384)</f>
        <v/>
      </c>
      <c r="E381" s="60">
        <f>SUM(E382:E384)</f>
        <v/>
      </c>
      <c r="F381" s="60">
        <f>SUM(F382:F384)</f>
        <v/>
      </c>
      <c r="G381" s="60">
        <f>SUM(G382:G384)</f>
        <v/>
      </c>
      <c r="H381" s="60">
        <f>SUM(H382:H384)</f>
        <v/>
      </c>
      <c r="I381" s="60">
        <f>SUM(I382:I384)</f>
        <v/>
      </c>
      <c r="J381" s="60">
        <f>SUM(J382:J384)</f>
        <v/>
      </c>
      <c r="K381" s="60">
        <f>SUM(K382:K384)</f>
        <v/>
      </c>
      <c r="L381" s="60">
        <f>SUM(L382:L384)</f>
        <v/>
      </c>
      <c r="M381" s="60">
        <f>SUM(M382:M384)</f>
        <v/>
      </c>
      <c r="N381" s="60">
        <f>SUM(N382:N384)</f>
        <v/>
      </c>
      <c r="O381" s="60">
        <f>SUM(O382:O384)</f>
        <v/>
      </c>
      <c r="P381" s="60">
        <f>SUM(P382:P384)</f>
        <v/>
      </c>
    </row>
    <row r="382" ht="15.75" customHeight="1" s="45">
      <c r="A382" s="61" t="n">
        <v>46295</v>
      </c>
      <c r="B382" s="82" t="inlineStr">
        <is>
          <t>Pós-Projeto</t>
        </is>
      </c>
      <c r="C382" s="83" t="inlineStr">
        <is>
          <t>Acolhimento c/ Classif. de Risco</t>
        </is>
      </c>
      <c r="D382" s="66" t="n">
        <v>213</v>
      </c>
      <c r="E382" s="66" t="n">
        <v>174</v>
      </c>
      <c r="F382" s="66" t="n">
        <v>166</v>
      </c>
      <c r="G382" s="66" t="n">
        <v>147</v>
      </c>
      <c r="H382" s="66" t="n">
        <v>132</v>
      </c>
      <c r="I382" s="66" t="n">
        <v>235</v>
      </c>
      <c r="J382" s="66" t="n">
        <v>138</v>
      </c>
      <c r="K382" s="66" t="n">
        <v>287</v>
      </c>
      <c r="L382" s="66" t="n">
        <v>135</v>
      </c>
      <c r="M382" s="66" t="n">
        <v>256</v>
      </c>
      <c r="N382" s="66" t="n">
        <v>219</v>
      </c>
      <c r="O382" s="66" t="n">
        <v>302</v>
      </c>
      <c r="P382" s="66" t="n">
        <v>243</v>
      </c>
    </row>
    <row r="383" ht="15.75" customHeight="1" s="45">
      <c r="A383" s="61" t="n">
        <v>46295</v>
      </c>
      <c r="B383" s="82" t="inlineStr">
        <is>
          <t>Pós-Projeto</t>
        </is>
      </c>
      <c r="C383" s="84" t="inlineStr">
        <is>
          <t>Atend. Urgência Obs. ≤ 24h</t>
        </is>
      </c>
      <c r="D383" s="64" t="n">
        <v>18</v>
      </c>
      <c r="E383" s="64" t="n">
        <v>30</v>
      </c>
      <c r="F383" s="64" t="n">
        <v>18</v>
      </c>
      <c r="G383" s="64" t="n">
        <v>15</v>
      </c>
      <c r="H383" s="64" t="n">
        <v>6</v>
      </c>
      <c r="I383" s="64" t="n">
        <v>28</v>
      </c>
      <c r="J383" s="64" t="n">
        <v>9</v>
      </c>
      <c r="K383" s="64" t="n">
        <v>29</v>
      </c>
      <c r="L383" s="64" t="n">
        <v>23</v>
      </c>
      <c r="M383" s="64" t="n">
        <v>16</v>
      </c>
      <c r="N383" s="64" t="n">
        <v>9</v>
      </c>
      <c r="O383" s="64" t="n">
        <v>2</v>
      </c>
      <c r="P383" s="64" t="n">
        <v>18</v>
      </c>
    </row>
    <row r="384" ht="15.75" customHeight="1" s="45">
      <c r="A384" s="61" t="n">
        <v>46295</v>
      </c>
      <c r="B384" s="82" t="inlineStr">
        <is>
          <t>Pós-Projeto</t>
        </is>
      </c>
      <c r="C384" s="83" t="inlineStr">
        <is>
          <t>Atend. Médico em UPA</t>
        </is>
      </c>
      <c r="D384" s="66" t="n">
        <v>170</v>
      </c>
      <c r="E384" s="66" t="n">
        <v>116</v>
      </c>
      <c r="F384" s="66" t="n">
        <v>128</v>
      </c>
      <c r="G384" s="66" t="n">
        <v>99</v>
      </c>
      <c r="H384" s="66" t="n">
        <v>73</v>
      </c>
      <c r="I384" s="66" t="n">
        <v>203</v>
      </c>
      <c r="J384" s="66" t="n">
        <v>130</v>
      </c>
      <c r="K384" s="66" t="n">
        <v>211</v>
      </c>
      <c r="L384" s="66" t="n">
        <v>122</v>
      </c>
      <c r="M384" s="66" t="n">
        <v>187</v>
      </c>
      <c r="N384" s="66" t="n">
        <v>197</v>
      </c>
      <c r="O384" s="66" t="n">
        <v>250</v>
      </c>
      <c r="P384" s="66" t="n">
        <v>142</v>
      </c>
    </row>
    <row r="385" ht="15.75" customHeight="1" s="45">
      <c r="A385" s="61" t="n">
        <v>46295</v>
      </c>
      <c r="B385" s="82" t="inlineStr">
        <is>
          <t>Pós-Projeto</t>
        </is>
      </c>
      <c r="C385" s="84" t="inlineStr">
        <is>
          <t>Exames Laboratoriais</t>
        </is>
      </c>
      <c r="D385" s="64" t="n">
        <v>637</v>
      </c>
      <c r="E385" s="64" t="n">
        <v>449</v>
      </c>
      <c r="F385" s="64" t="n">
        <v>567</v>
      </c>
      <c r="G385" s="64" t="n">
        <v>237</v>
      </c>
      <c r="H385" s="64" t="n">
        <v>333</v>
      </c>
      <c r="I385" s="64" t="n">
        <v>705</v>
      </c>
      <c r="J385" s="64" t="n">
        <v>294</v>
      </c>
      <c r="K385" s="64" t="n">
        <v>689</v>
      </c>
      <c r="L385" s="64" t="n">
        <v>551</v>
      </c>
      <c r="M385" s="64" t="n">
        <v>567</v>
      </c>
      <c r="N385" s="64" t="n">
        <v>686</v>
      </c>
      <c r="O385" s="64" t="n">
        <v>666</v>
      </c>
      <c r="P385" s="64" t="n">
        <v>526</v>
      </c>
    </row>
    <row r="386" ht="15.75" customHeight="1" s="45">
      <c r="A386" s="61" t="n">
        <v>46295</v>
      </c>
      <c r="B386" s="82" t="inlineStr">
        <is>
          <t>Pós-Projeto</t>
        </is>
      </c>
      <c r="C386" s="83" t="inlineStr">
        <is>
          <t>Radiografias</t>
        </is>
      </c>
      <c r="D386" s="66" t="n">
        <v>14</v>
      </c>
      <c r="E386" s="66" t="n">
        <v>12</v>
      </c>
      <c r="F386" s="67" t="n">
        <v>0</v>
      </c>
      <c r="G386" s="67" t="n">
        <v>0</v>
      </c>
      <c r="H386" s="66" t="n">
        <v>17</v>
      </c>
      <c r="I386" s="66" t="n">
        <v>36</v>
      </c>
      <c r="J386" s="66" t="n">
        <v>14</v>
      </c>
      <c r="K386" s="66" t="n">
        <v>43</v>
      </c>
      <c r="L386" s="66" t="n">
        <v>15</v>
      </c>
      <c r="M386" s="66" t="n">
        <v>43</v>
      </c>
      <c r="N386" s="66" t="n">
        <v>28</v>
      </c>
      <c r="O386" s="66" t="n">
        <v>39</v>
      </c>
      <c r="P386" s="66" t="n">
        <v>42</v>
      </c>
    </row>
    <row r="387" ht="15.75" customHeight="1" s="45">
      <c r="A387" s="61" t="n">
        <v>46295</v>
      </c>
      <c r="B387" s="82" t="inlineStr">
        <is>
          <t>Pós-Projeto</t>
        </is>
      </c>
      <c r="C387" s="84" t="inlineStr">
        <is>
          <t>Eletrocardiogramas</t>
        </is>
      </c>
      <c r="D387" s="64" t="n">
        <v>22</v>
      </c>
      <c r="E387" s="64" t="n">
        <v>16</v>
      </c>
      <c r="F387" s="64" t="n">
        <v>23</v>
      </c>
      <c r="G387" s="64" t="n">
        <v>10</v>
      </c>
      <c r="H387" s="64" t="n">
        <v>6</v>
      </c>
      <c r="I387" s="64" t="n">
        <v>21</v>
      </c>
      <c r="J387" s="64" t="n">
        <v>17</v>
      </c>
      <c r="K387" s="64" t="n">
        <v>18</v>
      </c>
      <c r="L387" s="64" t="n">
        <v>21</v>
      </c>
      <c r="M387" s="64" t="n">
        <v>14</v>
      </c>
      <c r="N387" s="64" t="n">
        <v>12</v>
      </c>
      <c r="O387" s="64" t="n">
        <v>11</v>
      </c>
      <c r="P387" s="64" t="n">
        <v>33</v>
      </c>
    </row>
    <row r="388" ht="15.75" customHeight="1" s="45">
      <c r="A388" s="61" t="n">
        <v>46295</v>
      </c>
      <c r="B388" s="82" t="inlineStr">
        <is>
          <t>Pós-Projeto</t>
        </is>
      </c>
      <c r="C388" s="85" t="inlineStr">
        <is>
          <t>GAEs Abertas</t>
        </is>
      </c>
      <c r="D388" s="69" t="n">
        <v>231</v>
      </c>
      <c r="E388" s="69" t="n">
        <v>182</v>
      </c>
      <c r="F388" s="69" t="n">
        <v>167</v>
      </c>
      <c r="G388" s="69" t="n">
        <v>151</v>
      </c>
      <c r="H388" s="69" t="n">
        <v>144</v>
      </c>
      <c r="I388" s="69" t="n">
        <v>241</v>
      </c>
      <c r="J388" s="69" t="n">
        <v>142</v>
      </c>
      <c r="K388" s="69" t="n">
        <v>296</v>
      </c>
      <c r="L388" s="69" t="n">
        <v>141</v>
      </c>
      <c r="M388" s="69" t="n">
        <v>262</v>
      </c>
      <c r="N388" s="69" t="n">
        <v>227</v>
      </c>
      <c r="O388" s="69" t="n">
        <v>304</v>
      </c>
      <c r="P388" s="69" t="n">
        <v>249</v>
      </c>
    </row>
    <row r="389" ht="15.75" customHeight="1" s="45">
      <c r="A389" s="61" t="n">
        <v>46295</v>
      </c>
      <c r="B389" s="82" t="inlineStr">
        <is>
          <t>Pós-Projeto</t>
        </is>
      </c>
      <c r="C389" s="85" t="inlineStr">
        <is>
          <t>GAEs Classificadas</t>
        </is>
      </c>
      <c r="D389" s="69" t="n">
        <v>214</v>
      </c>
      <c r="E389" s="69" t="n">
        <v>174</v>
      </c>
      <c r="F389" s="69" t="n">
        <v>170</v>
      </c>
      <c r="G389" s="69" t="n">
        <v>147</v>
      </c>
      <c r="H389" s="69" t="n">
        <v>131</v>
      </c>
      <c r="I389" s="69" t="n">
        <v>233</v>
      </c>
      <c r="J389" s="69" t="n">
        <v>137</v>
      </c>
      <c r="K389" s="69" t="n">
        <v>286</v>
      </c>
      <c r="L389" s="69" t="n">
        <v>134</v>
      </c>
      <c r="M389" s="69" t="n">
        <v>250</v>
      </c>
      <c r="N389" s="69" t="n">
        <v>219</v>
      </c>
      <c r="O389" s="69" t="n">
        <v>294</v>
      </c>
      <c r="P389" s="69" t="n">
        <v>242</v>
      </c>
    </row>
    <row r="390" ht="15.75" customHeight="1" s="45">
      <c r="A390" s="61" t="n">
        <v>46295</v>
      </c>
      <c r="B390" s="82" t="inlineStr">
        <is>
          <t>Pós-Projeto</t>
        </is>
      </c>
      <c r="C390" s="86" t="inlineStr">
        <is>
          <t>Percentual de GAEs abertas classificadas</t>
        </is>
      </c>
      <c r="D390" s="71">
        <f>IFERROR(D389/D388,"-")</f>
        <v/>
      </c>
      <c r="E390" s="71">
        <f>IFERROR(E389/E388,"-")</f>
        <v/>
      </c>
      <c r="F390" s="71">
        <f>IFERROR(F389/F388,"-")</f>
        <v/>
      </c>
      <c r="G390" s="71">
        <f>IFERROR(G389/G388,"-")</f>
        <v/>
      </c>
      <c r="H390" s="71">
        <f>IFERROR(H389/H388,"-")</f>
        <v/>
      </c>
      <c r="I390" s="71">
        <f>IFERROR(I389/I388,"-")</f>
        <v/>
      </c>
      <c r="J390" s="71">
        <f>IFERROR(J389/J388,"-")</f>
        <v/>
      </c>
      <c r="K390" s="71">
        <f>IFERROR(K389/K388,"-")</f>
        <v/>
      </c>
      <c r="L390" s="71">
        <f>IFERROR(L389/L388,"-")</f>
        <v/>
      </c>
      <c r="M390" s="71">
        <f>IFERROR(M389/M388,"-")</f>
        <v/>
      </c>
      <c r="N390" s="71">
        <f>IFERROR(N389/N388,"-")</f>
        <v/>
      </c>
      <c r="O390" s="71">
        <f>IFERROR(O389/O388,"-")</f>
        <v/>
      </c>
      <c r="P390" s="71">
        <f>IFERROR(P389/P388,"-")</f>
        <v/>
      </c>
    </row>
    <row r="391" ht="15.75" customHeight="1" s="45">
      <c r="A391" s="61" t="n">
        <v>46295</v>
      </c>
      <c r="B391" s="82" t="inlineStr">
        <is>
          <t>Pós-Projeto</t>
        </is>
      </c>
      <c r="C391" s="87" t="inlineStr">
        <is>
          <t>Tempo Médio — 🟡 Amarelo (hh:mm)</t>
        </is>
      </c>
      <c r="D391" s="73" t="n">
        <v>0.03267361111111111</v>
      </c>
      <c r="E391" s="73" t="n">
        <v>0.0312037037037037</v>
      </c>
      <c r="F391" s="73" t="n">
        <v>0.03509259259259259</v>
      </c>
      <c r="G391" s="73" t="n">
        <v>0.02288194444444444</v>
      </c>
      <c r="H391" s="73" t="n">
        <v>0.1138194444444444</v>
      </c>
      <c r="I391" s="73" t="n">
        <v>0.02135416666666667</v>
      </c>
      <c r="J391" s="73" t="n">
        <v>0.05711805555555555</v>
      </c>
      <c r="K391" s="73" t="n">
        <v>0.08050925925925925</v>
      </c>
      <c r="L391" s="73" t="n">
        <v>0.1121180555555556</v>
      </c>
      <c r="M391" s="73" t="n">
        <v>0.02430555555555556</v>
      </c>
      <c r="N391" s="73" t="n">
        <v>0.1095949074074074</v>
      </c>
      <c r="O391" s="73" t="n">
        <v>0.05674768518518519</v>
      </c>
      <c r="P391" s="73" t="n">
        <v>0.1221064814814815</v>
      </c>
    </row>
    <row r="392" ht="15.75" customHeight="1" s="45">
      <c r="A392" s="61" t="n">
        <v>46295</v>
      </c>
      <c r="B392" s="82" t="inlineStr">
        <is>
          <t>Pós-Projeto</t>
        </is>
      </c>
      <c r="C392" s="88" t="inlineStr">
        <is>
          <t>Tempo Médio — 🟠 Laranja (hh:mm)</t>
        </is>
      </c>
      <c r="D392" s="75" t="n">
        <v>0.007060185185185185</v>
      </c>
      <c r="E392" s="75" t="n">
        <v>0.009537037037037037</v>
      </c>
      <c r="F392" s="75" t="n">
        <v>0.002928240740740741</v>
      </c>
      <c r="G392" s="75" t="n">
        <v>0.00431712962962963</v>
      </c>
      <c r="H392" s="75" t="n">
        <v>0.009953703703703704</v>
      </c>
      <c r="I392" s="75" t="n">
        <v>0.003599537037037037</v>
      </c>
      <c r="J392" s="75" t="n">
        <v>0.01774305555555556</v>
      </c>
      <c r="K392" s="75" t="n">
        <v>0.01626157407407407</v>
      </c>
      <c r="L392" s="75" t="n">
        <v>0.008310185185185184</v>
      </c>
      <c r="M392" s="75" t="n">
        <v>0.008148148148148147</v>
      </c>
      <c r="N392" s="75" t="n">
        <v>0.01173611111111111</v>
      </c>
      <c r="O392" s="75" t="n">
        <v>0.009872685185185186</v>
      </c>
      <c r="P392" s="75" t="n">
        <v>0.01065972222222222</v>
      </c>
    </row>
    <row r="393" ht="15.75" customHeight="1" s="45">
      <c r="A393" s="76" t="n">
        <v>46295</v>
      </c>
      <c r="B393" s="82" t="inlineStr">
        <is>
          <t>Pós-Projeto</t>
        </is>
      </c>
      <c r="C393" s="91" t="inlineStr">
        <is>
          <t>Tempo Médio — 🟢 Verde   (hh:mm)</t>
        </is>
      </c>
      <c r="D393" s="79" t="n">
        <v>0.08952546296296296</v>
      </c>
      <c r="E393" s="79" t="n">
        <v>0.06895833333333333</v>
      </c>
      <c r="F393" s="79" t="n">
        <v>0.05697916666666666</v>
      </c>
      <c r="G393" s="79" t="n">
        <v>0.05568287037037037</v>
      </c>
      <c r="H393" s="79" t="n">
        <v>0.1046412037037037</v>
      </c>
      <c r="I393" s="79" t="n">
        <v>0.06064814814814815</v>
      </c>
      <c r="J393" s="79" t="n">
        <v>0.03763888888888889</v>
      </c>
      <c r="K393" s="79" t="n">
        <v>0.08</v>
      </c>
      <c r="L393" s="79" t="n">
        <v>0.08524305555555556</v>
      </c>
      <c r="M393" s="79" t="n">
        <v>0.04484953703703703</v>
      </c>
      <c r="N393" s="79" t="n">
        <v>0.09012731481481481</v>
      </c>
      <c r="O393" s="79" t="n">
        <v>0.06317129629629629</v>
      </c>
      <c r="P393" s="79" t="n">
        <v>0.07395833333333333</v>
      </c>
    </row>
  </sheetData>
  <autoFilter ref="A3:P393"/>
  <mergeCells count="4">
    <mergeCell ref="K2:P2"/>
    <mergeCell ref="A1:P1"/>
    <mergeCell ref="A2:C2"/>
    <mergeCell ref="D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P25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  <selection pane="bottomLeft" activeCell="C9" activeCellId="0" sqref="C9"/>
    </sheetView>
  </sheetViews>
  <sheetFormatPr baseColWidth="8" defaultColWidth="8.6796875" defaultRowHeight="15" zeroHeight="0" outlineLevelRow="0"/>
  <cols>
    <col width="13" customWidth="1" style="44" min="1" max="1"/>
    <col width="12" customWidth="1" style="44" min="2" max="2"/>
    <col width="36.71" customWidth="1" style="44" min="3" max="3"/>
    <col width="15" customWidth="1" style="44" min="4" max="16"/>
  </cols>
  <sheetData>
    <row r="1" ht="31.5" customHeight="1" s="45">
      <c r="A1" s="46" t="inlineStr">
        <is>
          <t>ANÁLISE COMPARATIVA DE INDICADORES — UPAs PORTE I e PORTE III — ANTES e APÓS O PROJETO</t>
        </is>
      </c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8" t="n"/>
    </row>
    <row r="2" ht="25.5" customHeight="1" s="45">
      <c r="A2" s="49" t="inlineStr">
        <is>
          <t>Obs.: O indicador TAXA DE MORTALIDADE é de responsabilidade da SUPPH.</t>
        </is>
      </c>
      <c r="B2" s="47" t="n"/>
      <c r="C2" s="50" t="n"/>
      <c r="D2" s="51" t="inlineStr">
        <is>
          <t>— PORTE I —</t>
        </is>
      </c>
      <c r="E2" s="47" t="n"/>
      <c r="F2" s="47" t="n"/>
      <c r="G2" s="47" t="n"/>
      <c r="H2" s="47" t="n"/>
      <c r="I2" s="47" t="n"/>
      <c r="J2" s="50" t="n"/>
      <c r="K2" s="52" t="inlineStr">
        <is>
          <t>— PORTE III —</t>
        </is>
      </c>
      <c r="L2" s="47" t="n"/>
      <c r="M2" s="47" t="n"/>
      <c r="N2" s="47" t="n"/>
      <c r="O2" s="47" t="n"/>
      <c r="P2" s="53" t="n"/>
    </row>
    <row r="3" ht="36" customHeight="1" s="45">
      <c r="A3" s="54" t="inlineStr">
        <is>
          <t>Data</t>
        </is>
      </c>
      <c r="B3" s="54" t="inlineStr">
        <is>
          <t>Fase</t>
        </is>
      </c>
      <c r="C3" s="54" t="inlineStr">
        <is>
          <t>Indicador</t>
        </is>
      </c>
      <c r="D3" s="55" t="inlineStr">
        <is>
          <t>UPA
CEILÂNDIA II</t>
        </is>
      </c>
      <c r="E3" s="55" t="inlineStr">
        <is>
          <t>UPA
PARANOÁ</t>
        </is>
      </c>
      <c r="F3" s="55" t="inlineStr">
        <is>
          <t>UPA
GAMA</t>
        </is>
      </c>
      <c r="G3" s="55" t="inlineStr">
        <is>
          <t>UPA
PLANALTINA</t>
        </is>
      </c>
      <c r="H3" s="55" t="inlineStr">
        <is>
          <t>UPA RIACHO FUNDO II</t>
        </is>
      </c>
      <c r="I3" s="55" t="inlineStr">
        <is>
          <t>UPA VICENTE PIRES</t>
        </is>
      </c>
      <c r="J3" s="55" t="inlineStr">
        <is>
          <t>UPA BRAZLÂNDIA</t>
        </is>
      </c>
      <c r="K3" s="56" t="inlineStr">
        <is>
          <t>UPA
CEILÂNDIA</t>
        </is>
      </c>
      <c r="L3" s="56" t="inlineStr">
        <is>
          <t>UPA NÚCLEO BANDEIRANTE</t>
        </is>
      </c>
      <c r="M3" s="56" t="inlineStr">
        <is>
          <t>UPA RECANTO DAS EMAS</t>
        </is>
      </c>
      <c r="N3" s="56" t="inlineStr">
        <is>
          <t>UPA SAMAMBAIA</t>
        </is>
      </c>
      <c r="O3" s="56" t="inlineStr">
        <is>
          <t>UPA
SÃO SEBASTIÃO</t>
        </is>
      </c>
      <c r="P3" s="56" t="inlineStr">
        <is>
          <t>UPA SOBRADINHO</t>
        </is>
      </c>
    </row>
    <row r="4" ht="15.75" customHeight="1" s="45">
      <c r="A4" s="57" t="n">
        <v>46296</v>
      </c>
      <c r="B4" s="58" t="inlineStr">
        <is>
          <t>Pós-Projeto</t>
        </is>
      </c>
      <c r="C4" s="59" t="inlineStr">
        <is>
          <t>Acolhim. + Atend. Urgência + Atend. UPA</t>
        </is>
      </c>
      <c r="D4" s="60">
        <f>SUM(D5:D7)</f>
        <v/>
      </c>
      <c r="E4" s="60">
        <f>SUM(E5:E7)</f>
        <v/>
      </c>
      <c r="F4" s="60">
        <f>SUM(F5:F7)</f>
        <v/>
      </c>
      <c r="G4" s="60">
        <f>SUM(G5:G7)</f>
        <v/>
      </c>
      <c r="H4" s="60">
        <f>SUM(H5:H7)</f>
        <v/>
      </c>
      <c r="I4" s="60">
        <f>SUM(I5:I7)</f>
        <v/>
      </c>
      <c r="J4" s="60">
        <f>SUM(J5:J7)</f>
        <v/>
      </c>
      <c r="K4" s="60">
        <f>SUM(K5:K7)</f>
        <v/>
      </c>
      <c r="L4" s="60">
        <f>SUM(L5:L7)</f>
        <v/>
      </c>
      <c r="M4" s="60">
        <f>SUM(M5:M7)</f>
        <v/>
      </c>
      <c r="N4" s="60">
        <f>SUM(N5:N7)</f>
        <v/>
      </c>
      <c r="O4" s="60">
        <f>SUM(O5:O7)</f>
        <v/>
      </c>
      <c r="P4" s="60">
        <f>SUM(P5:P7)</f>
        <v/>
      </c>
    </row>
    <row r="5" ht="15.75" customHeight="1" s="45">
      <c r="A5" s="61" t="n">
        <v>46296</v>
      </c>
      <c r="B5" s="62" t="inlineStr">
        <is>
          <t>Pós-Projeto</t>
        </is>
      </c>
      <c r="C5" s="63" t="inlineStr">
        <is>
          <t>Acolhimento c/ Classif. de Risco</t>
        </is>
      </c>
      <c r="D5" s="64" t="n">
        <v>220</v>
      </c>
      <c r="E5" s="64" t="n">
        <v>202</v>
      </c>
      <c r="F5" s="64" t="n">
        <v>198</v>
      </c>
      <c r="G5" s="64" t="n">
        <v>176</v>
      </c>
      <c r="H5" s="64" t="n">
        <v>147</v>
      </c>
      <c r="I5" s="64" t="n">
        <v>270</v>
      </c>
      <c r="J5" s="64" t="n">
        <v>152</v>
      </c>
      <c r="K5" s="64" t="n">
        <v>324</v>
      </c>
      <c r="L5" s="64" t="n">
        <v>195</v>
      </c>
      <c r="M5" s="64" t="n">
        <v>269</v>
      </c>
      <c r="N5" s="64" t="n">
        <v>258</v>
      </c>
      <c r="O5" s="64" t="n">
        <v>287</v>
      </c>
      <c r="P5" s="64" t="n">
        <v>249</v>
      </c>
    </row>
    <row r="6" ht="15.75" customHeight="1" s="45">
      <c r="A6" s="61" t="n">
        <v>46296</v>
      </c>
      <c r="B6" s="62" t="inlineStr">
        <is>
          <t>Pós-Projeto</t>
        </is>
      </c>
      <c r="C6" s="65" t="inlineStr">
        <is>
          <t>Atend. Urgência Obs. ≤ 24h</t>
        </is>
      </c>
      <c r="D6" s="66" t="n">
        <v>2</v>
      </c>
      <c r="E6" s="66" t="n">
        <v>63</v>
      </c>
      <c r="F6" s="66" t="n">
        <v>2</v>
      </c>
      <c r="G6" s="66" t="n">
        <v>23</v>
      </c>
      <c r="H6" s="66" t="n">
        <v>35</v>
      </c>
      <c r="I6" s="66" t="n">
        <v>3</v>
      </c>
      <c r="J6" s="66" t="n">
        <v>23</v>
      </c>
      <c r="K6" s="66" t="n">
        <v>38</v>
      </c>
      <c r="L6" s="66" t="n">
        <v>36</v>
      </c>
      <c r="M6" s="66" t="n">
        <v>13</v>
      </c>
      <c r="N6" s="66" t="n">
        <v>16</v>
      </c>
      <c r="O6" s="66" t="n">
        <v>21</v>
      </c>
      <c r="P6" s="66" t="n">
        <v>8</v>
      </c>
    </row>
    <row r="7" ht="15.75" customHeight="1" s="45">
      <c r="A7" s="61" t="n">
        <v>46296</v>
      </c>
      <c r="B7" s="62" t="inlineStr">
        <is>
          <t>Pós-Projeto</t>
        </is>
      </c>
      <c r="C7" s="63" t="inlineStr">
        <is>
          <t>Atend. Médico em UPA</t>
        </is>
      </c>
      <c r="D7" s="64" t="n">
        <v>181</v>
      </c>
      <c r="E7" s="64" t="n">
        <v>110</v>
      </c>
      <c r="F7" s="64" t="n">
        <v>106</v>
      </c>
      <c r="G7" s="64" t="n">
        <v>108</v>
      </c>
      <c r="H7" s="64" t="n">
        <v>83</v>
      </c>
      <c r="I7" s="64" t="n">
        <v>208</v>
      </c>
      <c r="J7" s="64" t="n">
        <v>89</v>
      </c>
      <c r="K7" s="64" t="n">
        <v>222</v>
      </c>
      <c r="L7" s="64" t="n">
        <v>116</v>
      </c>
      <c r="M7" s="64" t="n">
        <v>139</v>
      </c>
      <c r="N7" s="64" t="n">
        <v>192</v>
      </c>
      <c r="O7" s="64" t="n">
        <v>212</v>
      </c>
      <c r="P7" s="64" t="n">
        <v>158</v>
      </c>
    </row>
    <row r="8" ht="15.75" customHeight="1" s="45">
      <c r="A8" s="61" t="n">
        <v>46296</v>
      </c>
      <c r="B8" s="62" t="inlineStr">
        <is>
          <t>Pós-Projeto</t>
        </is>
      </c>
      <c r="C8" s="65" t="inlineStr">
        <is>
          <t>Exames Laboratoriais</t>
        </is>
      </c>
      <c r="D8" s="66" t="n">
        <v>572</v>
      </c>
      <c r="E8" s="66" t="n">
        <v>525</v>
      </c>
      <c r="F8" s="66" t="n">
        <v>827</v>
      </c>
      <c r="G8" s="66" t="n">
        <v>163</v>
      </c>
      <c r="H8" s="66" t="n">
        <v>395</v>
      </c>
      <c r="I8" s="66" t="n">
        <v>708</v>
      </c>
      <c r="J8" s="66" t="n">
        <v>331</v>
      </c>
      <c r="K8" s="66" t="n">
        <v>896</v>
      </c>
      <c r="L8" s="66" t="n">
        <v>608</v>
      </c>
      <c r="M8" s="66" t="n">
        <v>807</v>
      </c>
      <c r="N8" s="66" t="n">
        <v>695</v>
      </c>
      <c r="O8" s="66" t="n">
        <v>345</v>
      </c>
      <c r="P8" s="66" t="n">
        <v>704</v>
      </c>
    </row>
    <row r="9" ht="15.75" customHeight="1" s="45">
      <c r="A9" s="61" t="n">
        <v>46296</v>
      </c>
      <c r="B9" s="62" t="inlineStr">
        <is>
          <t>Pós-Projeto</t>
        </is>
      </c>
      <c r="C9" s="63" t="inlineStr">
        <is>
          <t>Radiografias</t>
        </is>
      </c>
      <c r="D9" s="64" t="n">
        <v>22</v>
      </c>
      <c r="E9" s="64" t="n">
        <v>18</v>
      </c>
      <c r="F9" s="64" t="n">
        <v>19</v>
      </c>
      <c r="G9" s="67" t="n">
        <v>0</v>
      </c>
      <c r="H9" s="64" t="n">
        <v>1</v>
      </c>
      <c r="I9" s="64" t="n">
        <v>32</v>
      </c>
      <c r="J9" s="64" t="n">
        <v>16</v>
      </c>
      <c r="K9" s="64" t="n">
        <v>44</v>
      </c>
      <c r="L9" s="64" t="n">
        <v>19</v>
      </c>
      <c r="M9" s="64" t="n">
        <v>47</v>
      </c>
      <c r="N9" s="64" t="n">
        <v>21</v>
      </c>
      <c r="O9" s="64" t="n">
        <v>31</v>
      </c>
      <c r="P9" s="64" t="n">
        <v>30</v>
      </c>
    </row>
    <row r="10" ht="15.75" customHeight="1" s="45">
      <c r="A10" s="61" t="n">
        <v>46296</v>
      </c>
      <c r="B10" s="62" t="inlineStr">
        <is>
          <t>Pós-Projeto</t>
        </is>
      </c>
      <c r="C10" s="65" t="inlineStr">
        <is>
          <t>Eletrocardiogramas</t>
        </is>
      </c>
      <c r="D10" s="67" t="n">
        <v>0</v>
      </c>
      <c r="E10" s="66" t="n">
        <v>16</v>
      </c>
      <c r="F10" s="66" t="n">
        <v>28</v>
      </c>
      <c r="G10" s="67" t="n">
        <v>0</v>
      </c>
      <c r="H10" s="67" t="n">
        <v>0</v>
      </c>
      <c r="I10" s="67" t="n">
        <v>0</v>
      </c>
      <c r="J10" s="67" t="n">
        <v>0</v>
      </c>
      <c r="K10" s="66" t="n">
        <v>2</v>
      </c>
      <c r="L10" s="67" t="n">
        <v>0</v>
      </c>
      <c r="M10" s="67" t="n">
        <v>0</v>
      </c>
      <c r="N10" s="66" t="n">
        <v>4</v>
      </c>
      <c r="O10" s="67" t="n">
        <v>0</v>
      </c>
      <c r="P10" s="66" t="n">
        <v>27</v>
      </c>
    </row>
    <row r="11" ht="15.75" customHeight="1" s="45">
      <c r="A11" s="61" t="n">
        <v>46296</v>
      </c>
      <c r="B11" s="62" t="inlineStr">
        <is>
          <t>Pós-Projeto</t>
        </is>
      </c>
      <c r="C11" s="68" t="inlineStr">
        <is>
          <t>GAEs Abertas</t>
        </is>
      </c>
      <c r="D11" s="69" t="n">
        <v>225</v>
      </c>
      <c r="E11" s="69" t="n">
        <v>208</v>
      </c>
      <c r="F11" s="69" t="n">
        <v>208</v>
      </c>
      <c r="G11" s="69" t="n">
        <v>179</v>
      </c>
      <c r="H11" s="69" t="n">
        <v>153</v>
      </c>
      <c r="I11" s="69" t="n">
        <v>294</v>
      </c>
      <c r="J11" s="69" t="n">
        <v>155</v>
      </c>
      <c r="K11" s="69" t="n">
        <v>346</v>
      </c>
      <c r="L11" s="69" t="n">
        <v>209</v>
      </c>
      <c r="M11" s="69" t="n">
        <v>278</v>
      </c>
      <c r="N11" s="69" t="n">
        <v>265</v>
      </c>
      <c r="O11" s="69" t="n">
        <v>294</v>
      </c>
      <c r="P11" s="69" t="n">
        <v>262</v>
      </c>
    </row>
    <row r="12" ht="15.75" customHeight="1" s="45">
      <c r="A12" s="61" t="n">
        <v>46296</v>
      </c>
      <c r="B12" s="62" t="inlineStr">
        <is>
          <t>Pós-Projeto</t>
        </is>
      </c>
      <c r="C12" s="68" t="inlineStr">
        <is>
          <t>GAEs Classificadas</t>
        </is>
      </c>
      <c r="D12" s="69" t="n">
        <v>220</v>
      </c>
      <c r="E12" s="69" t="n">
        <v>204</v>
      </c>
      <c r="F12" s="69" t="n">
        <v>196</v>
      </c>
      <c r="G12" s="69" t="n">
        <v>176</v>
      </c>
      <c r="H12" s="69" t="n">
        <v>148</v>
      </c>
      <c r="I12" s="69" t="n">
        <v>271</v>
      </c>
      <c r="J12" s="69" t="n">
        <v>152</v>
      </c>
      <c r="K12" s="69" t="n">
        <v>328</v>
      </c>
      <c r="L12" s="69" t="n">
        <v>196</v>
      </c>
      <c r="M12" s="69" t="n">
        <v>271</v>
      </c>
      <c r="N12" s="69" t="n">
        <v>261</v>
      </c>
      <c r="O12" s="69" t="n">
        <v>290</v>
      </c>
      <c r="P12" s="69" t="n">
        <v>258</v>
      </c>
    </row>
    <row r="13" ht="15.75" customHeight="1" s="45">
      <c r="A13" s="61" t="n">
        <v>46296</v>
      </c>
      <c r="B13" s="62" t="inlineStr">
        <is>
          <t>Pós-Projeto</t>
        </is>
      </c>
      <c r="C13" s="70" t="inlineStr">
        <is>
          <t>Percentual de GAEs abertas classificadas</t>
        </is>
      </c>
      <c r="D13" s="71">
        <f>IFERROR(D12/D11,"-")</f>
        <v/>
      </c>
      <c r="E13" s="71">
        <f>IFERROR(E12/E11,"-")</f>
        <v/>
      </c>
      <c r="F13" s="71">
        <f>IFERROR(F12/F11,"-")</f>
        <v/>
      </c>
      <c r="G13" s="71">
        <f>IFERROR(G12/G11,"-")</f>
        <v/>
      </c>
      <c r="H13" s="71">
        <f>IFERROR(H12/H11,"-")</f>
        <v/>
      </c>
      <c r="I13" s="71">
        <f>IFERROR(I12/I11,"-")</f>
        <v/>
      </c>
      <c r="J13" s="71">
        <f>IFERROR(J12/J11,"-")</f>
        <v/>
      </c>
      <c r="K13" s="71">
        <f>IFERROR(K12/K11,"-")</f>
        <v/>
      </c>
      <c r="L13" s="71">
        <f>IFERROR(L12/L11,"-")</f>
        <v/>
      </c>
      <c r="M13" s="71">
        <f>IFERROR(M12/M11,"-")</f>
        <v/>
      </c>
      <c r="N13" s="71">
        <f>IFERROR(N12/N11,"-")</f>
        <v/>
      </c>
      <c r="O13" s="71">
        <f>IFERROR(O12/O11,"-")</f>
        <v/>
      </c>
      <c r="P13" s="71">
        <f>IFERROR(P12/P11,"-")</f>
        <v/>
      </c>
    </row>
    <row r="14" ht="15.75" customHeight="1" s="45">
      <c r="A14" s="61" t="n">
        <v>46296</v>
      </c>
      <c r="B14" s="62" t="inlineStr">
        <is>
          <t>Pós-Projeto</t>
        </is>
      </c>
      <c r="C14" s="72" t="inlineStr">
        <is>
          <t>Tempo Médio — 🟡 Amarelo (hh:mm)</t>
        </is>
      </c>
      <c r="D14" s="121" t="n">
        <v>0.03519675925925926</v>
      </c>
      <c r="E14" s="121" t="n">
        <v>0.1118981481481481</v>
      </c>
      <c r="F14" s="121" t="n">
        <v>0.07542824074074074</v>
      </c>
      <c r="G14" s="121" t="n">
        <v>0.06539351851851852</v>
      </c>
      <c r="H14" s="121" t="n">
        <v>0.0371412037037037</v>
      </c>
      <c r="I14" s="121" t="n">
        <v>0.04791666666666667</v>
      </c>
      <c r="J14" s="121" t="n">
        <v>0.08258101851851851</v>
      </c>
      <c r="K14" s="121" t="n">
        <v>0.08203703703703703</v>
      </c>
      <c r="L14" s="121" t="n">
        <v>0.09068287037037037</v>
      </c>
      <c r="M14" s="121" t="n">
        <v>0.03797453703703704</v>
      </c>
      <c r="N14" s="121" t="n">
        <v>0.08282407407407408</v>
      </c>
      <c r="O14" s="121" t="n">
        <v>0.04895833333333333</v>
      </c>
      <c r="P14" s="121" t="n">
        <v>0.1150462962962963</v>
      </c>
    </row>
    <row r="15" ht="15.75" customHeight="1" s="45">
      <c r="A15" s="61" t="n">
        <v>46296</v>
      </c>
      <c r="B15" s="62" t="inlineStr">
        <is>
          <t>Pós-Projeto</t>
        </is>
      </c>
      <c r="C15" s="74" t="inlineStr">
        <is>
          <t>Tempo Médio — 🟠 Laranja (hh:mm)</t>
        </is>
      </c>
      <c r="D15" s="122" t="n">
        <v>0.006793981481481482</v>
      </c>
      <c r="E15" s="122" t="n">
        <v>0.01368055555555556</v>
      </c>
      <c r="F15" s="122" t="n">
        <v>0.002800925925925926</v>
      </c>
      <c r="G15" s="122" t="n">
        <v>0.005057870370370371</v>
      </c>
      <c r="H15" s="122" t="n">
        <v>0.0007986111111111112</v>
      </c>
      <c r="I15" s="122" t="n">
        <v>0.006273148148148148</v>
      </c>
      <c r="J15" s="122" t="n">
        <v>0.01358796296296296</v>
      </c>
      <c r="K15" s="122" t="n">
        <v>0.0128125</v>
      </c>
      <c r="L15" s="122" t="n">
        <v>0.01021990740740741</v>
      </c>
      <c r="M15" s="122" t="n">
        <v>0.007546296296296297</v>
      </c>
      <c r="N15" s="122" t="n">
        <v>0.008009259259259259</v>
      </c>
      <c r="O15" s="122" t="n">
        <v>0.010625</v>
      </c>
      <c r="P15" s="122" t="n">
        <v>0.01064814814814815</v>
      </c>
    </row>
    <row r="16" ht="15.75" customHeight="1" s="45">
      <c r="A16" s="76" t="n">
        <v>46296</v>
      </c>
      <c r="B16" s="77" t="inlineStr">
        <is>
          <t>Pós-Projeto</t>
        </is>
      </c>
      <c r="C16" s="78" t="inlineStr">
        <is>
          <t>Tempo Médio — 🟢 Verde   (hh:mm)</t>
        </is>
      </c>
      <c r="D16" s="123" t="n">
        <v>0.07028935185185185</v>
      </c>
      <c r="E16" s="123" t="n">
        <v>0.1311458333333333</v>
      </c>
      <c r="F16" s="123" t="n">
        <v>0.07011574074074074</v>
      </c>
      <c r="G16" s="123" t="n">
        <v>0.104375</v>
      </c>
      <c r="H16" s="123" t="n">
        <v>0.07954861111111111</v>
      </c>
      <c r="I16" s="123" t="n">
        <v>0.1003356481481481</v>
      </c>
      <c r="J16" s="123" t="n">
        <v>0.06923611111111111</v>
      </c>
      <c r="K16" s="123" t="n">
        <v>0.114525462962963</v>
      </c>
      <c r="L16" s="123" t="n">
        <v>0.09</v>
      </c>
      <c r="M16" s="123" t="n">
        <v>0.07217592592592592</v>
      </c>
      <c r="N16" s="123" t="n">
        <v>0.09519675925925926</v>
      </c>
      <c r="O16" s="123" t="n">
        <v>0.09391203703703704</v>
      </c>
      <c r="P16" s="123" t="n">
        <v>0.08714120370370371</v>
      </c>
    </row>
    <row r="17" ht="15.75" customHeight="1" s="45">
      <c r="A17" s="57" t="n">
        <v>46297</v>
      </c>
      <c r="B17" s="58" t="inlineStr">
        <is>
          <t>Pós-Projeto</t>
        </is>
      </c>
      <c r="C17" s="59" t="inlineStr">
        <is>
          <t>Acolhim. + Atend. Urgência + Atend. UPA</t>
        </is>
      </c>
      <c r="D17" s="60">
        <f>SUM(D18:D20)</f>
        <v/>
      </c>
      <c r="E17" s="60">
        <f>SUM(E18:E20)</f>
        <v/>
      </c>
      <c r="F17" s="60">
        <f>SUM(F18:F20)</f>
        <v/>
      </c>
      <c r="G17" s="60">
        <f>SUM(G18:G20)</f>
        <v/>
      </c>
      <c r="H17" s="60">
        <f>SUM(H18:H20)</f>
        <v/>
      </c>
      <c r="I17" s="60">
        <f>SUM(I18:I20)</f>
        <v/>
      </c>
      <c r="J17" s="60">
        <f>SUM(J18:J20)</f>
        <v/>
      </c>
      <c r="K17" s="60">
        <f>SUM(K18:K20)</f>
        <v/>
      </c>
      <c r="L17" s="60">
        <f>SUM(L18:L20)</f>
        <v/>
      </c>
      <c r="M17" s="60">
        <f>SUM(M18:M20)</f>
        <v/>
      </c>
      <c r="N17" s="60">
        <f>SUM(N18:N20)</f>
        <v/>
      </c>
      <c r="O17" s="60">
        <f>SUM(O18:O20)</f>
        <v/>
      </c>
      <c r="P17" s="60">
        <f>SUM(P18:P20)</f>
        <v/>
      </c>
    </row>
    <row r="18" ht="15.75" customHeight="1" s="45">
      <c r="A18" s="61" t="n">
        <v>46297</v>
      </c>
      <c r="B18" s="62" t="inlineStr">
        <is>
          <t>Pós-Projeto</t>
        </is>
      </c>
      <c r="C18" s="65" t="inlineStr">
        <is>
          <t>Acolhimento c/ Classif. de Risco</t>
        </is>
      </c>
      <c r="D18" s="66" t="n">
        <v>205</v>
      </c>
      <c r="E18" s="66" t="n">
        <v>155</v>
      </c>
      <c r="F18" s="66" t="n">
        <v>153</v>
      </c>
      <c r="G18" s="66" t="n">
        <v>151</v>
      </c>
      <c r="H18" s="66" t="n">
        <v>124</v>
      </c>
      <c r="I18" s="66" t="n">
        <v>209</v>
      </c>
      <c r="J18" s="66" t="n">
        <v>109</v>
      </c>
      <c r="K18" s="66" t="n">
        <v>244</v>
      </c>
      <c r="L18" s="66" t="n">
        <v>119</v>
      </c>
      <c r="M18" s="66" t="n">
        <v>195</v>
      </c>
      <c r="N18" s="66" t="n">
        <v>181</v>
      </c>
      <c r="O18" s="66" t="n">
        <v>236</v>
      </c>
      <c r="P18" s="66" t="n">
        <v>211</v>
      </c>
    </row>
    <row r="19" ht="15.75" customHeight="1" s="45">
      <c r="A19" s="61" t="n">
        <v>46297</v>
      </c>
      <c r="B19" s="62" t="inlineStr">
        <is>
          <t>Pós-Projeto</t>
        </is>
      </c>
      <c r="C19" s="63" t="inlineStr">
        <is>
          <t>Atend. Urgência Obs. ≤ 24h</t>
        </is>
      </c>
      <c r="D19" s="64" t="n">
        <v>4</v>
      </c>
      <c r="E19" s="64" t="n">
        <v>29</v>
      </c>
      <c r="F19" s="64" t="n">
        <v>25</v>
      </c>
      <c r="G19" s="64" t="n">
        <v>19</v>
      </c>
      <c r="H19" s="64" t="n">
        <v>16</v>
      </c>
      <c r="I19" s="64" t="n">
        <v>13</v>
      </c>
      <c r="J19" s="64" t="n">
        <v>14</v>
      </c>
      <c r="K19" s="64" t="n">
        <v>35</v>
      </c>
      <c r="L19" s="64" t="n">
        <v>28</v>
      </c>
      <c r="M19" s="64" t="n">
        <v>5</v>
      </c>
      <c r="N19" s="64" t="n">
        <v>25</v>
      </c>
      <c r="O19" s="64" t="n">
        <v>3</v>
      </c>
      <c r="P19" s="64" t="n">
        <v>23</v>
      </c>
    </row>
    <row r="20" ht="15.75" customHeight="1" s="45">
      <c r="A20" s="61" t="n">
        <v>46297</v>
      </c>
      <c r="B20" s="62" t="inlineStr">
        <is>
          <t>Pós-Projeto</t>
        </is>
      </c>
      <c r="C20" s="65" t="inlineStr">
        <is>
          <t>Atend. Médico em UPA</t>
        </is>
      </c>
      <c r="D20" s="66" t="n">
        <v>189</v>
      </c>
      <c r="E20" s="66" t="n">
        <v>74</v>
      </c>
      <c r="F20" s="66" t="n">
        <v>130</v>
      </c>
      <c r="G20" s="66" t="n">
        <v>107</v>
      </c>
      <c r="H20" s="66" t="n">
        <v>81</v>
      </c>
      <c r="I20" s="66" t="n">
        <v>179</v>
      </c>
      <c r="J20" s="66" t="n">
        <v>78</v>
      </c>
      <c r="K20" s="66" t="n">
        <v>212</v>
      </c>
      <c r="L20" s="66" t="n">
        <v>97</v>
      </c>
      <c r="M20" s="66" t="n">
        <v>105</v>
      </c>
      <c r="N20" s="66" t="n">
        <v>175</v>
      </c>
      <c r="O20" s="66" t="n">
        <v>194</v>
      </c>
      <c r="P20" s="66" t="n">
        <v>149</v>
      </c>
    </row>
    <row r="21" ht="15.75" customHeight="1" s="45">
      <c r="A21" s="61" t="n">
        <v>46297</v>
      </c>
      <c r="B21" s="62" t="inlineStr">
        <is>
          <t>Pós-Projeto</t>
        </is>
      </c>
      <c r="C21" s="63" t="inlineStr">
        <is>
          <t>Exames Laboratoriais</t>
        </is>
      </c>
      <c r="D21" s="64" t="n">
        <v>391</v>
      </c>
      <c r="E21" s="64" t="n">
        <v>493</v>
      </c>
      <c r="F21" s="64" t="n">
        <v>551</v>
      </c>
      <c r="G21" s="64" t="n">
        <v>319</v>
      </c>
      <c r="H21" s="64" t="n">
        <v>479</v>
      </c>
      <c r="I21" s="64" t="n">
        <v>614</v>
      </c>
      <c r="J21" s="64" t="n">
        <v>233</v>
      </c>
      <c r="K21" s="64" t="n">
        <v>774</v>
      </c>
      <c r="L21" s="64" t="n">
        <v>686</v>
      </c>
      <c r="M21" s="64" t="n">
        <v>460</v>
      </c>
      <c r="N21" s="64" t="n">
        <v>547</v>
      </c>
      <c r="O21" s="64" t="n">
        <v>360</v>
      </c>
      <c r="P21" s="64" t="n">
        <v>622</v>
      </c>
    </row>
    <row r="22" ht="15.75" customHeight="1" s="45">
      <c r="A22" s="61" t="n">
        <v>46297</v>
      </c>
      <c r="B22" s="62" t="inlineStr">
        <is>
          <t>Pós-Projeto</t>
        </is>
      </c>
      <c r="C22" s="65" t="inlineStr">
        <is>
          <t>Radiografias</t>
        </is>
      </c>
      <c r="D22" s="66" t="n">
        <v>20</v>
      </c>
      <c r="E22" s="66" t="n">
        <v>12</v>
      </c>
      <c r="F22" s="66" t="n">
        <v>14</v>
      </c>
      <c r="G22" s="67" t="n">
        <v>0</v>
      </c>
      <c r="H22" s="66" t="n">
        <v>14</v>
      </c>
      <c r="I22" s="66" t="n">
        <v>24</v>
      </c>
      <c r="J22" s="66" t="n">
        <v>21</v>
      </c>
      <c r="K22" s="66" t="n">
        <v>40</v>
      </c>
      <c r="L22" s="66" t="n">
        <v>27</v>
      </c>
      <c r="M22" s="66" t="n">
        <v>26</v>
      </c>
      <c r="N22" s="66" t="n">
        <v>25</v>
      </c>
      <c r="O22" s="66" t="n">
        <v>32</v>
      </c>
      <c r="P22" s="66" t="n">
        <v>38</v>
      </c>
    </row>
    <row r="23" ht="15.75" customHeight="1" s="45">
      <c r="A23" s="61" t="n">
        <v>46297</v>
      </c>
      <c r="B23" s="62" t="inlineStr">
        <is>
          <t>Pós-Projeto</t>
        </is>
      </c>
      <c r="C23" s="63" t="inlineStr">
        <is>
          <t>Eletrocardiogramas</t>
        </is>
      </c>
      <c r="D23" s="67" t="n">
        <v>0</v>
      </c>
      <c r="E23" s="64" t="n">
        <v>2</v>
      </c>
      <c r="F23" s="64" t="n">
        <v>14</v>
      </c>
      <c r="G23" s="64" t="n">
        <v>3</v>
      </c>
      <c r="H23" s="67" t="n">
        <v>0</v>
      </c>
      <c r="I23" s="67" t="n">
        <v>0</v>
      </c>
      <c r="J23" s="67" t="n">
        <v>0</v>
      </c>
      <c r="K23" s="67" t="n">
        <v>0</v>
      </c>
      <c r="L23" s="67" t="n">
        <v>0</v>
      </c>
      <c r="M23" s="67" t="n">
        <v>0</v>
      </c>
      <c r="N23" s="64" t="n">
        <v>9</v>
      </c>
      <c r="O23" s="67" t="n">
        <v>0</v>
      </c>
      <c r="P23" s="64" t="n">
        <v>8</v>
      </c>
    </row>
    <row r="24" ht="15.75" customHeight="1" s="45">
      <c r="A24" s="61" t="n">
        <v>46297</v>
      </c>
      <c r="B24" s="62" t="inlineStr">
        <is>
          <t>Pós-Projeto</t>
        </is>
      </c>
      <c r="C24" s="68" t="inlineStr">
        <is>
          <t>GAEs Abertas</t>
        </is>
      </c>
      <c r="D24" s="69" t="n">
        <v>219</v>
      </c>
      <c r="E24" s="69" t="n">
        <v>160</v>
      </c>
      <c r="F24" s="69" t="n">
        <v>157</v>
      </c>
      <c r="G24" s="69" t="n">
        <v>154</v>
      </c>
      <c r="H24" s="69" t="n">
        <v>123</v>
      </c>
      <c r="I24" s="69" t="n">
        <v>221</v>
      </c>
      <c r="J24" s="69" t="n">
        <v>118</v>
      </c>
      <c r="K24" s="69" t="n">
        <v>253</v>
      </c>
      <c r="L24" s="69" t="n">
        <v>124</v>
      </c>
      <c r="M24" s="69" t="n">
        <v>204</v>
      </c>
      <c r="N24" s="69" t="n">
        <v>185</v>
      </c>
      <c r="O24" s="69" t="n">
        <v>243</v>
      </c>
      <c r="P24" s="69" t="n">
        <v>216</v>
      </c>
    </row>
    <row r="25" ht="15.75" customHeight="1" s="45">
      <c r="A25" s="61" t="n">
        <v>46297</v>
      </c>
      <c r="B25" s="62" t="inlineStr">
        <is>
          <t>Pós-Projeto</t>
        </is>
      </c>
      <c r="C25" s="68" t="inlineStr">
        <is>
          <t>GAEs Classificadas</t>
        </is>
      </c>
      <c r="D25" s="69" t="n">
        <v>204</v>
      </c>
      <c r="E25" s="69" t="n">
        <v>153</v>
      </c>
      <c r="F25" s="69" t="n">
        <v>151</v>
      </c>
      <c r="G25" s="69" t="n">
        <v>152</v>
      </c>
      <c r="H25" s="69" t="n">
        <v>122</v>
      </c>
      <c r="I25" s="69" t="n">
        <v>208</v>
      </c>
      <c r="J25" s="69" t="n">
        <v>109</v>
      </c>
      <c r="K25" s="69" t="n">
        <v>241</v>
      </c>
      <c r="L25" s="69" t="n">
        <v>118</v>
      </c>
      <c r="M25" s="69" t="n">
        <v>193</v>
      </c>
      <c r="N25" s="69" t="n">
        <v>180</v>
      </c>
      <c r="O25" s="69" t="n">
        <v>238</v>
      </c>
      <c r="P25" s="69" t="n">
        <v>210</v>
      </c>
    </row>
    <row r="26" ht="15.75" customHeight="1" s="45">
      <c r="A26" s="61" t="n">
        <v>46297</v>
      </c>
      <c r="B26" s="62" t="inlineStr">
        <is>
          <t>Pós-Projeto</t>
        </is>
      </c>
      <c r="C26" s="70" t="inlineStr">
        <is>
          <t>Percentual de GAEs abertas classificadas</t>
        </is>
      </c>
      <c r="D26" s="71">
        <f>IFERROR(D25/D24,"-")</f>
        <v/>
      </c>
      <c r="E26" s="71">
        <f>IFERROR(E25/E24,"-")</f>
        <v/>
      </c>
      <c r="F26" s="71">
        <f>IFERROR(F25/F24,"-")</f>
        <v/>
      </c>
      <c r="G26" s="71">
        <f>IFERROR(G25/G24,"-")</f>
        <v/>
      </c>
      <c r="H26" s="71">
        <f>IFERROR(H25/H24,"-")</f>
        <v/>
      </c>
      <c r="I26" s="71">
        <f>IFERROR(I25/I24,"-")</f>
        <v/>
      </c>
      <c r="J26" s="71">
        <f>IFERROR(J25/J24,"-")</f>
        <v/>
      </c>
      <c r="K26" s="71">
        <f>IFERROR(K25/K24,"-")</f>
        <v/>
      </c>
      <c r="L26" s="71">
        <f>IFERROR(L25/L24,"-")</f>
        <v/>
      </c>
      <c r="M26" s="71">
        <f>IFERROR(M25/M24,"-")</f>
        <v/>
      </c>
      <c r="N26" s="71">
        <f>IFERROR(N25/N24,"-")</f>
        <v/>
      </c>
      <c r="O26" s="71">
        <f>IFERROR(O25/O24,"-")</f>
        <v/>
      </c>
      <c r="P26" s="71">
        <f>IFERROR(P25/P24,"-")</f>
        <v/>
      </c>
    </row>
    <row r="27" ht="15.75" customHeight="1" s="45">
      <c r="A27" s="61" t="n">
        <v>46297</v>
      </c>
      <c r="B27" s="62" t="inlineStr">
        <is>
          <t>Pós-Projeto</t>
        </is>
      </c>
      <c r="C27" s="72" t="inlineStr">
        <is>
          <t>Tempo Médio — 🟡 Amarelo (hh:mm)</t>
        </is>
      </c>
      <c r="D27" s="121" t="n">
        <v>0.034375</v>
      </c>
      <c r="E27" s="121" t="n">
        <v>0.1220833333333333</v>
      </c>
      <c r="F27" s="121" t="n">
        <v>0.04861111111111111</v>
      </c>
      <c r="G27" s="121" t="n">
        <v>0.02690972222222222</v>
      </c>
      <c r="H27" s="121" t="n">
        <v>0.05504629629629629</v>
      </c>
      <c r="I27" s="121" t="n">
        <v>0.025</v>
      </c>
      <c r="J27" s="121" t="n">
        <v>0.02024305555555556</v>
      </c>
      <c r="K27" s="121" t="n">
        <v>0.08844907407407407</v>
      </c>
      <c r="L27" s="121" t="n">
        <v>0.07706018518518519</v>
      </c>
      <c r="M27" s="121" t="n">
        <v>0.01688657407407407</v>
      </c>
      <c r="N27" s="121" t="n">
        <v>0.02686342592592593</v>
      </c>
      <c r="O27" s="121" t="n">
        <v>0.02232638888888889</v>
      </c>
      <c r="P27" s="121" t="n">
        <v>0.03758101851851852</v>
      </c>
    </row>
    <row r="28" ht="15.75" customHeight="1" s="45">
      <c r="A28" s="61" t="n">
        <v>46297</v>
      </c>
      <c r="B28" s="62" t="inlineStr">
        <is>
          <t>Pós-Projeto</t>
        </is>
      </c>
      <c r="C28" s="74" t="inlineStr">
        <is>
          <t>Tempo Médio — 🟠 Laranja (hh:mm)</t>
        </is>
      </c>
      <c r="D28" s="122" t="n">
        <v>0.004976851851851852</v>
      </c>
      <c r="E28" s="122" t="n">
        <v>0.009942129629629629</v>
      </c>
      <c r="F28" s="122" t="n">
        <v>0.006782407407407407</v>
      </c>
      <c r="G28" s="122" t="n">
        <v>0.00375</v>
      </c>
      <c r="H28" s="122" t="n">
        <v>0.004155092592592592</v>
      </c>
      <c r="I28" s="122" t="n">
        <v>0.003321759259259259</v>
      </c>
      <c r="J28" s="122" t="n">
        <v>0.005844907407407407</v>
      </c>
      <c r="K28" s="122" t="n">
        <v>0.01361111111111111</v>
      </c>
      <c r="L28" s="122" t="n">
        <v>0.00787037037037037</v>
      </c>
      <c r="M28" s="122" t="n">
        <v>0.009895833333333333</v>
      </c>
      <c r="N28" s="122" t="n">
        <v>0.006527777777777778</v>
      </c>
      <c r="O28" s="122" t="n">
        <v>0.007511574074074074</v>
      </c>
      <c r="P28" s="122" t="n">
        <v>0.005555555555555556</v>
      </c>
    </row>
    <row r="29" ht="15.75" customHeight="1" s="45">
      <c r="A29" s="76" t="n">
        <v>46297</v>
      </c>
      <c r="B29" s="77" t="inlineStr">
        <is>
          <t>Pós-Projeto</t>
        </is>
      </c>
      <c r="C29" s="78" t="inlineStr">
        <is>
          <t>Tempo Médio — 🟢 Verde   (hh:mm)</t>
        </is>
      </c>
      <c r="D29" s="123" t="n">
        <v>0.04972222222222222</v>
      </c>
      <c r="E29" s="123" t="n">
        <v>0.09802083333333333</v>
      </c>
      <c r="F29" s="123" t="n">
        <v>0.1110416666666667</v>
      </c>
      <c r="G29" s="123" t="n">
        <v>0.09268518518518519</v>
      </c>
      <c r="H29" s="123" t="n">
        <v>0.0778587962962963</v>
      </c>
      <c r="I29" s="123" t="n">
        <v>0.07172453703703703</v>
      </c>
      <c r="J29" s="123" t="n">
        <v>0.04671296296296296</v>
      </c>
      <c r="K29" s="123" t="n">
        <v>0.06503472222222222</v>
      </c>
      <c r="L29" s="123" t="n">
        <v>0.08798611111111111</v>
      </c>
      <c r="M29" s="123" t="n">
        <v>0.02425925925925926</v>
      </c>
      <c r="N29" s="123" t="n">
        <v>0.03788194444444445</v>
      </c>
      <c r="O29" s="123" t="n">
        <v>0.05688657407407408</v>
      </c>
      <c r="P29" s="123" t="n">
        <v>0.03731481481481481</v>
      </c>
    </row>
    <row r="30" ht="15.75" customHeight="1" s="45">
      <c r="A30" s="57" t="n">
        <v>46298</v>
      </c>
      <c r="B30" s="58" t="inlineStr">
        <is>
          <t>Pós-Projeto</t>
        </is>
      </c>
      <c r="C30" s="59" t="inlineStr">
        <is>
          <t>Acolhim. + Atend. Urgência + Atend. UPA</t>
        </is>
      </c>
      <c r="D30" s="60">
        <f>SUM(D31:D33)</f>
        <v/>
      </c>
      <c r="E30" s="60">
        <f>SUM(E31:E33)</f>
        <v/>
      </c>
      <c r="F30" s="60">
        <f>SUM(F31:F33)</f>
        <v/>
      </c>
      <c r="G30" s="60">
        <f>SUM(G31:G33)</f>
        <v/>
      </c>
      <c r="H30" s="60">
        <f>SUM(H31:H33)</f>
        <v/>
      </c>
      <c r="I30" s="60">
        <f>SUM(I31:I33)</f>
        <v/>
      </c>
      <c r="J30" s="60">
        <f>SUM(J31:J33)</f>
        <v/>
      </c>
      <c r="K30" s="60">
        <f>SUM(K31:K33)</f>
        <v/>
      </c>
      <c r="L30" s="60">
        <f>SUM(L31:L33)</f>
        <v/>
      </c>
      <c r="M30" s="60">
        <f>SUM(M31:M33)</f>
        <v/>
      </c>
      <c r="N30" s="60">
        <f>SUM(N31:N33)</f>
        <v/>
      </c>
      <c r="O30" s="60">
        <f>SUM(O31:O33)</f>
        <v/>
      </c>
      <c r="P30" s="60">
        <f>SUM(P31:P33)</f>
        <v/>
      </c>
    </row>
    <row r="31" ht="15.75" customHeight="1" s="45">
      <c r="A31" s="61" t="n">
        <v>46298</v>
      </c>
      <c r="B31" s="62" t="inlineStr">
        <is>
          <t>Pós-Projeto</t>
        </is>
      </c>
      <c r="C31" s="63" t="inlineStr">
        <is>
          <t>Acolhimento c/ Classif. de Risco</t>
        </is>
      </c>
      <c r="D31" s="64" t="n">
        <v>182</v>
      </c>
      <c r="E31" s="64" t="n">
        <v>132</v>
      </c>
      <c r="F31" s="64" t="n">
        <v>130</v>
      </c>
      <c r="G31" s="64" t="n">
        <v>130</v>
      </c>
      <c r="H31" s="64" t="n">
        <v>112</v>
      </c>
      <c r="I31" s="64" t="n">
        <v>173</v>
      </c>
      <c r="J31" s="64" t="n">
        <v>90</v>
      </c>
      <c r="K31" s="64" t="n">
        <v>215</v>
      </c>
      <c r="L31" s="64" t="n">
        <v>116</v>
      </c>
      <c r="M31" s="64" t="n">
        <v>160</v>
      </c>
      <c r="N31" s="64" t="n">
        <v>163</v>
      </c>
      <c r="O31" s="64" t="n">
        <v>192</v>
      </c>
      <c r="P31" s="64" t="n">
        <v>180</v>
      </c>
    </row>
    <row r="32" ht="15.75" customHeight="1" s="45">
      <c r="A32" s="61" t="n">
        <v>46298</v>
      </c>
      <c r="B32" s="62" t="inlineStr">
        <is>
          <t>Pós-Projeto</t>
        </is>
      </c>
      <c r="C32" s="65" t="inlineStr">
        <is>
          <t>Atend. Urgência Obs. ≤ 24h</t>
        </is>
      </c>
      <c r="D32" s="66" t="n">
        <v>26</v>
      </c>
      <c r="E32" s="66" t="n">
        <v>35</v>
      </c>
      <c r="F32" s="66" t="n">
        <v>24</v>
      </c>
      <c r="G32" s="66" t="n">
        <v>21</v>
      </c>
      <c r="H32" s="66" t="n">
        <v>27</v>
      </c>
      <c r="I32" s="66" t="n">
        <v>19</v>
      </c>
      <c r="J32" s="66" t="n">
        <v>16</v>
      </c>
      <c r="K32" s="66" t="n">
        <v>24</v>
      </c>
      <c r="L32" s="66" t="n">
        <v>31</v>
      </c>
      <c r="M32" s="66" t="n">
        <v>22</v>
      </c>
      <c r="N32" s="66" t="n">
        <v>32</v>
      </c>
      <c r="O32" s="66" t="n">
        <v>7</v>
      </c>
      <c r="P32" s="66" t="n">
        <v>21</v>
      </c>
    </row>
    <row r="33" ht="15.75" customHeight="1" s="45">
      <c r="A33" s="61" t="n">
        <v>46298</v>
      </c>
      <c r="B33" s="62" t="inlineStr">
        <is>
          <t>Pós-Projeto</t>
        </is>
      </c>
      <c r="C33" s="63" t="inlineStr">
        <is>
          <t>Atend. Médico em UPA</t>
        </is>
      </c>
      <c r="D33" s="64" t="n">
        <v>164</v>
      </c>
      <c r="E33" s="64" t="n">
        <v>72</v>
      </c>
      <c r="F33" s="64" t="n">
        <v>97</v>
      </c>
      <c r="G33" s="64" t="n">
        <v>68</v>
      </c>
      <c r="H33" s="64" t="n">
        <v>55</v>
      </c>
      <c r="I33" s="64" t="n">
        <v>147</v>
      </c>
      <c r="J33" s="64" t="n">
        <v>61</v>
      </c>
      <c r="K33" s="64" t="n">
        <v>127</v>
      </c>
      <c r="L33" s="64" t="n">
        <v>106</v>
      </c>
      <c r="M33" s="64" t="n">
        <v>100</v>
      </c>
      <c r="N33" s="64" t="n">
        <v>109</v>
      </c>
      <c r="O33" s="64" t="n">
        <v>131</v>
      </c>
      <c r="P33" s="64" t="n">
        <v>121</v>
      </c>
    </row>
    <row r="34" ht="15.75" customHeight="1" s="45">
      <c r="A34" s="61" t="n">
        <v>46298</v>
      </c>
      <c r="B34" s="62" t="inlineStr">
        <is>
          <t>Pós-Projeto</t>
        </is>
      </c>
      <c r="C34" s="65" t="inlineStr">
        <is>
          <t>Exames Laboratoriais</t>
        </is>
      </c>
      <c r="D34" s="66" t="n">
        <v>472</v>
      </c>
      <c r="E34" s="66" t="n">
        <v>463</v>
      </c>
      <c r="F34" s="66" t="n">
        <v>475</v>
      </c>
      <c r="G34" s="66" t="n">
        <v>135</v>
      </c>
      <c r="H34" s="66" t="n">
        <v>350</v>
      </c>
      <c r="I34" s="66" t="n">
        <v>579</v>
      </c>
      <c r="J34" s="66" t="n">
        <v>276</v>
      </c>
      <c r="K34" s="66" t="n">
        <v>653</v>
      </c>
      <c r="L34" s="66" t="n">
        <v>508</v>
      </c>
      <c r="M34" s="66" t="n">
        <v>467</v>
      </c>
      <c r="N34" s="66" t="n">
        <v>492</v>
      </c>
      <c r="O34" s="66" t="n">
        <v>284</v>
      </c>
      <c r="P34" s="66" t="n">
        <v>638</v>
      </c>
    </row>
    <row r="35" ht="15.75" customHeight="1" s="45">
      <c r="A35" s="61" t="n">
        <v>46298</v>
      </c>
      <c r="B35" s="62" t="inlineStr">
        <is>
          <t>Pós-Projeto</t>
        </is>
      </c>
      <c r="C35" s="63" t="inlineStr">
        <is>
          <t>Radiografias</t>
        </is>
      </c>
      <c r="D35" s="64" t="n">
        <v>18</v>
      </c>
      <c r="E35" s="64" t="n">
        <v>19</v>
      </c>
      <c r="F35" s="64" t="n">
        <v>8</v>
      </c>
      <c r="G35" s="67" t="n">
        <v>0</v>
      </c>
      <c r="H35" s="64" t="n">
        <v>6</v>
      </c>
      <c r="I35" s="64" t="n">
        <v>23</v>
      </c>
      <c r="J35" s="64" t="n">
        <v>12</v>
      </c>
      <c r="K35" s="64" t="n">
        <v>34</v>
      </c>
      <c r="L35" s="64" t="n">
        <v>13</v>
      </c>
      <c r="M35" s="64" t="n">
        <v>32</v>
      </c>
      <c r="N35" s="64" t="n">
        <v>12</v>
      </c>
      <c r="O35" s="64" t="n">
        <v>30</v>
      </c>
      <c r="P35" s="64" t="n">
        <v>30</v>
      </c>
    </row>
    <row r="36" ht="15.75" customHeight="1" s="45">
      <c r="A36" s="61" t="n">
        <v>46298</v>
      </c>
      <c r="B36" s="62" t="inlineStr">
        <is>
          <t>Pós-Projeto</t>
        </is>
      </c>
      <c r="C36" s="65" t="inlineStr">
        <is>
          <t>Eletrocardiogramas</t>
        </is>
      </c>
      <c r="D36" s="67" t="n">
        <v>0</v>
      </c>
      <c r="E36" s="67" t="n">
        <v>0</v>
      </c>
      <c r="F36" s="66" t="n">
        <v>34</v>
      </c>
      <c r="G36" s="67" t="n">
        <v>0</v>
      </c>
      <c r="H36" s="67" t="n">
        <v>0</v>
      </c>
      <c r="I36" s="67" t="n">
        <v>0</v>
      </c>
      <c r="J36" s="67" t="n">
        <v>0</v>
      </c>
      <c r="K36" s="67" t="n">
        <v>0</v>
      </c>
      <c r="L36" s="67" t="n">
        <v>0</v>
      </c>
      <c r="M36" s="67" t="n">
        <v>0</v>
      </c>
      <c r="N36" s="66" t="n">
        <v>3</v>
      </c>
      <c r="O36" s="67" t="n">
        <v>0</v>
      </c>
      <c r="P36" s="66" t="n">
        <v>1</v>
      </c>
    </row>
    <row r="37" ht="15.75" customHeight="1" s="45">
      <c r="A37" s="61" t="n">
        <v>46298</v>
      </c>
      <c r="B37" s="62" t="inlineStr">
        <is>
          <t>Pós-Projeto</t>
        </is>
      </c>
      <c r="C37" s="68" t="inlineStr">
        <is>
          <t>GAEs Abertas</t>
        </is>
      </c>
      <c r="D37" s="69" t="n">
        <v>185</v>
      </c>
      <c r="E37" s="69" t="n">
        <v>137</v>
      </c>
      <c r="F37" s="69" t="n">
        <v>138</v>
      </c>
      <c r="G37" s="69" t="n">
        <v>138</v>
      </c>
      <c r="H37" s="69" t="n">
        <v>115</v>
      </c>
      <c r="I37" s="69" t="n">
        <v>182</v>
      </c>
      <c r="J37" s="69" t="n">
        <v>92</v>
      </c>
      <c r="K37" s="69" t="n">
        <v>230</v>
      </c>
      <c r="L37" s="69" t="n">
        <v>123</v>
      </c>
      <c r="M37" s="69" t="n">
        <v>168</v>
      </c>
      <c r="N37" s="69" t="n">
        <v>172</v>
      </c>
      <c r="O37" s="69" t="n">
        <v>196</v>
      </c>
      <c r="P37" s="69" t="n">
        <v>183</v>
      </c>
    </row>
    <row r="38" ht="15.75" customHeight="1" s="45">
      <c r="A38" s="61" t="n">
        <v>46298</v>
      </c>
      <c r="B38" s="62" t="inlineStr">
        <is>
          <t>Pós-Projeto</t>
        </is>
      </c>
      <c r="C38" s="68" t="inlineStr">
        <is>
          <t>GAEs Classificadas</t>
        </is>
      </c>
      <c r="D38" s="69" t="n">
        <v>182</v>
      </c>
      <c r="E38" s="69" t="n">
        <v>132</v>
      </c>
      <c r="F38" s="69" t="n">
        <v>131</v>
      </c>
      <c r="G38" s="69" t="n">
        <v>129</v>
      </c>
      <c r="H38" s="69" t="n">
        <v>112</v>
      </c>
      <c r="I38" s="69" t="n">
        <v>174</v>
      </c>
      <c r="J38" s="69" t="n">
        <v>90</v>
      </c>
      <c r="K38" s="69" t="n">
        <v>217</v>
      </c>
      <c r="L38" s="69" t="n">
        <v>116</v>
      </c>
      <c r="M38" s="69" t="n">
        <v>161</v>
      </c>
      <c r="N38" s="69" t="n">
        <v>163</v>
      </c>
      <c r="O38" s="69" t="n">
        <v>191</v>
      </c>
      <c r="P38" s="69" t="n">
        <v>180</v>
      </c>
    </row>
    <row r="39" ht="15.75" customHeight="1" s="45">
      <c r="A39" s="61" t="n">
        <v>46298</v>
      </c>
      <c r="B39" s="62" t="inlineStr">
        <is>
          <t>Pós-Projeto</t>
        </is>
      </c>
      <c r="C39" s="70" t="inlineStr">
        <is>
          <t>Percentual de GAEs abertas classificadas</t>
        </is>
      </c>
      <c r="D39" s="71">
        <f>IFERROR(D38/D37,"-")</f>
        <v/>
      </c>
      <c r="E39" s="71">
        <f>IFERROR(E38/E37,"-")</f>
        <v/>
      </c>
      <c r="F39" s="71">
        <f>IFERROR(F38/F37,"-")</f>
        <v/>
      </c>
      <c r="G39" s="71">
        <f>IFERROR(G38/G37,"-")</f>
        <v/>
      </c>
      <c r="H39" s="71">
        <f>IFERROR(H38/H37,"-")</f>
        <v/>
      </c>
      <c r="I39" s="71">
        <f>IFERROR(I38/I37,"-")</f>
        <v/>
      </c>
      <c r="J39" s="71">
        <f>IFERROR(J38/J37,"-")</f>
        <v/>
      </c>
      <c r="K39" s="71">
        <f>IFERROR(K38/K37,"-")</f>
        <v/>
      </c>
      <c r="L39" s="71">
        <f>IFERROR(L38/L37,"-")</f>
        <v/>
      </c>
      <c r="M39" s="71">
        <f>IFERROR(M38/M37,"-")</f>
        <v/>
      </c>
      <c r="N39" s="71">
        <f>IFERROR(N38/N37,"-")</f>
        <v/>
      </c>
      <c r="O39" s="71">
        <f>IFERROR(O38/O37,"-")</f>
        <v/>
      </c>
      <c r="P39" s="71">
        <f>IFERROR(P38/P37,"-")</f>
        <v/>
      </c>
    </row>
    <row r="40" ht="15.75" customHeight="1" s="45">
      <c r="A40" s="61" t="n">
        <v>46298</v>
      </c>
      <c r="B40" s="62" t="inlineStr">
        <is>
          <t>Pós-Projeto</t>
        </is>
      </c>
      <c r="C40" s="72" t="inlineStr">
        <is>
          <t>Tempo Médio — 🟡 Amarelo (hh:mm)</t>
        </is>
      </c>
      <c r="D40" s="121" t="n">
        <v>0.04527777777777778</v>
      </c>
      <c r="E40" s="121" t="n">
        <v>0.04928240740740741</v>
      </c>
      <c r="F40" s="121" t="n">
        <v>0.1001851851851852</v>
      </c>
      <c r="G40" s="121" t="n">
        <v>0.02989583333333333</v>
      </c>
      <c r="H40" s="121" t="n">
        <v>0.1051157407407407</v>
      </c>
      <c r="I40" s="121" t="n">
        <v>0.04597222222222222</v>
      </c>
      <c r="J40" s="121" t="n">
        <v>0.09240740740740741</v>
      </c>
      <c r="K40" s="121" t="n">
        <v>0.09288194444444445</v>
      </c>
      <c r="L40" s="121" t="n">
        <v>0.04922453703703704</v>
      </c>
      <c r="M40" s="121" t="n">
        <v>0.05504629629629629</v>
      </c>
      <c r="N40" s="121" t="n">
        <v>0.07314814814814814</v>
      </c>
      <c r="O40" s="121" t="n">
        <v>0.01197916666666667</v>
      </c>
      <c r="P40" s="121" t="n">
        <v>0.03157407407407407</v>
      </c>
    </row>
    <row r="41" ht="15.75" customHeight="1" s="45">
      <c r="A41" s="61" t="n">
        <v>46298</v>
      </c>
      <c r="B41" s="62" t="inlineStr">
        <is>
          <t>Pós-Projeto</t>
        </is>
      </c>
      <c r="C41" s="74" t="inlineStr">
        <is>
          <t>Tempo Médio — 🟠 Laranja (hh:mm)</t>
        </is>
      </c>
      <c r="D41" s="122" t="n">
        <v>0.008854166666666666</v>
      </c>
      <c r="E41" s="122" t="n">
        <v>0.006990740740740741</v>
      </c>
      <c r="F41" s="122" t="n">
        <v>0.009803240740740741</v>
      </c>
      <c r="G41" s="122" t="n">
        <v>0.003148148148148148</v>
      </c>
      <c r="H41" s="122" t="n">
        <v>0.007442129629629629</v>
      </c>
      <c r="I41" s="122" t="n">
        <v>0.004363425925925926</v>
      </c>
      <c r="J41" s="122" t="n">
        <v>0.01982638888888889</v>
      </c>
      <c r="K41" s="122" t="n">
        <v>0.01318287037037037</v>
      </c>
      <c r="L41" s="122" t="n">
        <v>0.008298611111111111</v>
      </c>
      <c r="M41" s="122" t="n">
        <v>0.01006944444444445</v>
      </c>
      <c r="N41" s="122" t="n">
        <v>0.00917824074074074</v>
      </c>
      <c r="O41" s="124" t="n">
        <v>0</v>
      </c>
      <c r="P41" s="122" t="n">
        <v>0.006585648148148148</v>
      </c>
    </row>
    <row r="42" ht="15.75" customHeight="1" s="45">
      <c r="A42" s="76" t="n">
        <v>46298</v>
      </c>
      <c r="B42" s="77" t="inlineStr">
        <is>
          <t>Pós-Projeto</t>
        </is>
      </c>
      <c r="C42" s="78" t="inlineStr">
        <is>
          <t>Tempo Médio — 🟢 Verde   (hh:mm)</t>
        </is>
      </c>
      <c r="D42" s="123" t="n">
        <v>0.07394675925925925</v>
      </c>
      <c r="E42" s="123" t="n">
        <v>0.1678587962962963</v>
      </c>
      <c r="F42" s="123" t="n">
        <v>0.1021990740740741</v>
      </c>
      <c r="G42" s="123" t="n">
        <v>0.09795138888888889</v>
      </c>
      <c r="H42" s="123" t="n">
        <v>0.089375</v>
      </c>
      <c r="I42" s="123" t="n">
        <v>0.1561921296296296</v>
      </c>
      <c r="J42" s="123" t="n">
        <v>0.1124537037037037</v>
      </c>
      <c r="K42" s="123" t="n">
        <v>0.1122337962962963</v>
      </c>
      <c r="L42" s="123" t="n">
        <v>0.120162037037037</v>
      </c>
      <c r="M42" s="123" t="n">
        <v>0.04472222222222222</v>
      </c>
      <c r="N42" s="123" t="n">
        <v>0.09862268518518519</v>
      </c>
      <c r="O42" s="123" t="n">
        <v>0.02233796296296296</v>
      </c>
      <c r="P42" s="123" t="n">
        <v>0.04629629629629629</v>
      </c>
    </row>
    <row r="43" ht="15.75" customHeight="1" s="45">
      <c r="A43" s="57" t="n">
        <v>46299</v>
      </c>
      <c r="B43" s="58" t="inlineStr">
        <is>
          <t>Pós-Projeto</t>
        </is>
      </c>
      <c r="C43" s="59" t="inlineStr">
        <is>
          <t>Acolhim. + Atend. Urgência + Atend. UPA</t>
        </is>
      </c>
      <c r="D43" s="60">
        <f>SUM(D44:D46)</f>
        <v/>
      </c>
      <c r="E43" s="60">
        <f>SUM(E44:E46)</f>
        <v/>
      </c>
      <c r="F43" s="60">
        <f>SUM(F44:F46)</f>
        <v/>
      </c>
      <c r="G43" s="60">
        <f>SUM(G44:G46)</f>
        <v/>
      </c>
      <c r="H43" s="60">
        <f>SUM(H44:H46)</f>
        <v/>
      </c>
      <c r="I43" s="60">
        <f>SUM(I44:I46)</f>
        <v/>
      </c>
      <c r="J43" s="60">
        <f>SUM(J44:J46)</f>
        <v/>
      </c>
      <c r="K43" s="60">
        <f>SUM(K44:K46)</f>
        <v/>
      </c>
      <c r="L43" s="60">
        <f>SUM(L44:L46)</f>
        <v/>
      </c>
      <c r="M43" s="60">
        <f>SUM(M44:M46)</f>
        <v/>
      </c>
      <c r="N43" s="60">
        <f>SUM(N44:N46)</f>
        <v/>
      </c>
      <c r="O43" s="60">
        <f>SUM(O44:O46)</f>
        <v/>
      </c>
      <c r="P43" s="60">
        <f>SUM(P44:P46)</f>
        <v/>
      </c>
    </row>
    <row r="44" ht="15.75" customHeight="1" s="45">
      <c r="A44" s="61" t="n">
        <v>46299</v>
      </c>
      <c r="B44" s="62" t="inlineStr">
        <is>
          <t>Pós-Projeto</t>
        </is>
      </c>
      <c r="C44" s="65" t="inlineStr">
        <is>
          <t>Acolhimento c/ Classif. de Risco</t>
        </is>
      </c>
      <c r="D44" s="66" t="n">
        <v>145</v>
      </c>
      <c r="E44" s="66" t="n">
        <v>132</v>
      </c>
      <c r="F44" s="66" t="n">
        <v>139</v>
      </c>
      <c r="G44" s="66" t="n">
        <v>112</v>
      </c>
      <c r="H44" s="66" t="n">
        <v>74</v>
      </c>
      <c r="I44" s="66" t="n">
        <v>139</v>
      </c>
      <c r="J44" s="66" t="n">
        <v>79</v>
      </c>
      <c r="K44" s="66" t="n">
        <v>183</v>
      </c>
      <c r="L44" s="66" t="n">
        <v>100</v>
      </c>
      <c r="M44" s="66" t="n">
        <v>169</v>
      </c>
      <c r="N44" s="66" t="n">
        <v>162</v>
      </c>
      <c r="O44" s="66" t="n">
        <v>202</v>
      </c>
      <c r="P44" s="66" t="n">
        <v>194</v>
      </c>
    </row>
    <row r="45" ht="15.75" customHeight="1" s="45">
      <c r="A45" s="61" t="n">
        <v>46299</v>
      </c>
      <c r="B45" s="62" t="inlineStr">
        <is>
          <t>Pós-Projeto</t>
        </is>
      </c>
      <c r="C45" s="63" t="inlineStr">
        <is>
          <t>Atend. Urgência Obs. ≤ 24h</t>
        </is>
      </c>
      <c r="D45" s="64" t="n">
        <v>12</v>
      </c>
      <c r="E45" s="64" t="n">
        <v>26</v>
      </c>
      <c r="F45" s="64" t="n">
        <v>27</v>
      </c>
      <c r="G45" s="64" t="n">
        <v>5</v>
      </c>
      <c r="H45" s="64" t="n">
        <v>18</v>
      </c>
      <c r="I45" s="64" t="n">
        <v>24</v>
      </c>
      <c r="J45" s="64" t="n">
        <v>14</v>
      </c>
      <c r="K45" s="64" t="n">
        <v>34</v>
      </c>
      <c r="L45" s="64" t="n">
        <v>37</v>
      </c>
      <c r="M45" s="64" t="n">
        <v>20</v>
      </c>
      <c r="N45" s="64" t="n">
        <v>27</v>
      </c>
      <c r="O45" s="64" t="n">
        <v>5</v>
      </c>
      <c r="P45" s="64" t="n">
        <v>14</v>
      </c>
    </row>
    <row r="46" ht="15.75" customHeight="1" s="45">
      <c r="A46" s="61" t="n">
        <v>46299</v>
      </c>
      <c r="B46" s="62" t="inlineStr">
        <is>
          <t>Pós-Projeto</t>
        </is>
      </c>
      <c r="C46" s="65" t="inlineStr">
        <is>
          <t>Atend. Médico em UPA</t>
        </is>
      </c>
      <c r="D46" s="66" t="n">
        <v>131</v>
      </c>
      <c r="E46" s="66" t="n">
        <v>101</v>
      </c>
      <c r="F46" s="66" t="n">
        <v>90</v>
      </c>
      <c r="G46" s="66" t="n">
        <v>57</v>
      </c>
      <c r="H46" s="66" t="n">
        <v>27</v>
      </c>
      <c r="I46" s="66" t="n">
        <v>110</v>
      </c>
      <c r="J46" s="66" t="n">
        <v>50</v>
      </c>
      <c r="K46" s="66" t="n">
        <v>114</v>
      </c>
      <c r="L46" s="66" t="n">
        <v>66</v>
      </c>
      <c r="M46" s="66" t="n">
        <v>105</v>
      </c>
      <c r="N46" s="66" t="n">
        <v>87</v>
      </c>
      <c r="O46" s="66" t="n">
        <v>166</v>
      </c>
      <c r="P46" s="66" t="n">
        <v>110</v>
      </c>
    </row>
    <row r="47" ht="15.75" customHeight="1" s="45">
      <c r="A47" s="61" t="n">
        <v>46299</v>
      </c>
      <c r="B47" s="62" t="inlineStr">
        <is>
          <t>Pós-Projeto</t>
        </is>
      </c>
      <c r="C47" s="63" t="inlineStr">
        <is>
          <t>Exames Laboratoriais</t>
        </is>
      </c>
      <c r="D47" s="64" t="n">
        <v>555</v>
      </c>
      <c r="E47" s="64" t="n">
        <v>381</v>
      </c>
      <c r="F47" s="64" t="n">
        <v>284</v>
      </c>
      <c r="G47" s="64" t="n">
        <v>237</v>
      </c>
      <c r="H47" s="64" t="n">
        <v>291</v>
      </c>
      <c r="I47" s="64" t="n">
        <v>489</v>
      </c>
      <c r="J47" s="64" t="n">
        <v>238</v>
      </c>
      <c r="K47" s="64" t="n">
        <v>355</v>
      </c>
      <c r="L47" s="64" t="n">
        <v>554</v>
      </c>
      <c r="M47" s="64" t="n">
        <v>611</v>
      </c>
      <c r="N47" s="64" t="n">
        <v>425</v>
      </c>
      <c r="O47" s="64" t="n">
        <v>440</v>
      </c>
      <c r="P47" s="64" t="n">
        <v>493</v>
      </c>
    </row>
    <row r="48" ht="15.75" customHeight="1" s="45">
      <c r="A48" s="61" t="n">
        <v>46299</v>
      </c>
      <c r="B48" s="62" t="inlineStr">
        <is>
          <t>Pós-Projeto</t>
        </is>
      </c>
      <c r="C48" s="65" t="inlineStr">
        <is>
          <t>Radiografias</t>
        </is>
      </c>
      <c r="D48" s="66" t="n">
        <v>9</v>
      </c>
      <c r="E48" s="66" t="n">
        <v>8</v>
      </c>
      <c r="F48" s="66" t="n">
        <v>12</v>
      </c>
      <c r="G48" s="67" t="n">
        <v>0</v>
      </c>
      <c r="H48" s="66" t="n">
        <v>8</v>
      </c>
      <c r="I48" s="66" t="n">
        <v>22</v>
      </c>
      <c r="J48" s="66" t="n">
        <v>12</v>
      </c>
      <c r="K48" s="66" t="n">
        <v>23</v>
      </c>
      <c r="L48" s="66" t="n">
        <v>11</v>
      </c>
      <c r="M48" s="66" t="n">
        <v>29</v>
      </c>
      <c r="N48" s="66" t="n">
        <v>18</v>
      </c>
      <c r="O48" s="66" t="n">
        <v>34</v>
      </c>
      <c r="P48" s="66" t="n">
        <v>37</v>
      </c>
    </row>
    <row r="49" ht="15.75" customHeight="1" s="45">
      <c r="A49" s="61" t="n">
        <v>46299</v>
      </c>
      <c r="B49" s="62" t="inlineStr">
        <is>
          <t>Pós-Projeto</t>
        </is>
      </c>
      <c r="C49" s="63" t="inlineStr">
        <is>
          <t>Eletrocardiogramas</t>
        </is>
      </c>
      <c r="D49" s="67" t="n">
        <v>0</v>
      </c>
      <c r="E49" s="67" t="n">
        <v>0</v>
      </c>
      <c r="F49" s="64" t="n">
        <v>20</v>
      </c>
      <c r="G49" s="67" t="n">
        <v>0</v>
      </c>
      <c r="H49" s="67" t="n">
        <v>0</v>
      </c>
      <c r="I49" s="67" t="n">
        <v>0</v>
      </c>
      <c r="J49" s="67" t="n">
        <v>0</v>
      </c>
      <c r="K49" s="64" t="n">
        <v>1</v>
      </c>
      <c r="L49" s="67" t="n">
        <v>0</v>
      </c>
      <c r="M49" s="67" t="n">
        <v>0</v>
      </c>
      <c r="N49" s="64" t="n">
        <v>3</v>
      </c>
      <c r="O49" s="67" t="n">
        <v>0</v>
      </c>
      <c r="P49" s="64" t="n">
        <v>2</v>
      </c>
    </row>
    <row r="50" ht="15.75" customHeight="1" s="45">
      <c r="A50" s="61" t="n">
        <v>46299</v>
      </c>
      <c r="B50" s="62" t="inlineStr">
        <is>
          <t>Pós-Projeto</t>
        </is>
      </c>
      <c r="C50" s="68" t="inlineStr">
        <is>
          <t>GAEs Abertas</t>
        </is>
      </c>
      <c r="D50" s="69" t="n">
        <v>154</v>
      </c>
      <c r="E50" s="69" t="n">
        <v>133</v>
      </c>
      <c r="F50" s="69" t="n">
        <v>141</v>
      </c>
      <c r="G50" s="69" t="n">
        <v>114</v>
      </c>
      <c r="H50" s="69" t="n">
        <v>80</v>
      </c>
      <c r="I50" s="69" t="n">
        <v>140</v>
      </c>
      <c r="J50" s="69" t="n">
        <v>85</v>
      </c>
      <c r="K50" s="69" t="n">
        <v>206</v>
      </c>
      <c r="L50" s="69" t="n">
        <v>102</v>
      </c>
      <c r="M50" s="69" t="n">
        <v>178</v>
      </c>
      <c r="N50" s="69" t="n">
        <v>163</v>
      </c>
      <c r="O50" s="69" t="n">
        <v>206</v>
      </c>
      <c r="P50" s="69" t="n">
        <v>201</v>
      </c>
    </row>
    <row r="51" ht="15.75" customHeight="1" s="45">
      <c r="A51" s="61" t="n">
        <v>46299</v>
      </c>
      <c r="B51" s="62" t="inlineStr">
        <is>
          <t>Pós-Projeto</t>
        </is>
      </c>
      <c r="C51" s="68" t="inlineStr">
        <is>
          <t>GAEs Classificadas</t>
        </is>
      </c>
      <c r="D51" s="69" t="n">
        <v>145</v>
      </c>
      <c r="E51" s="69" t="n">
        <v>133</v>
      </c>
      <c r="F51" s="69" t="n">
        <v>138</v>
      </c>
      <c r="G51" s="69" t="n">
        <v>111</v>
      </c>
      <c r="H51" s="69" t="n">
        <v>74</v>
      </c>
      <c r="I51" s="69" t="n">
        <v>137</v>
      </c>
      <c r="J51" s="69" t="n">
        <v>80</v>
      </c>
      <c r="K51" s="69" t="n">
        <v>184</v>
      </c>
      <c r="L51" s="69" t="n">
        <v>101</v>
      </c>
      <c r="M51" s="69" t="n">
        <v>173</v>
      </c>
      <c r="N51" s="69" t="n">
        <v>161</v>
      </c>
      <c r="O51" s="69" t="n">
        <v>202</v>
      </c>
      <c r="P51" s="69" t="n">
        <v>195</v>
      </c>
    </row>
    <row r="52" ht="15.75" customHeight="1" s="45">
      <c r="A52" s="61" t="n">
        <v>46299</v>
      </c>
      <c r="B52" s="62" t="inlineStr">
        <is>
          <t>Pós-Projeto</t>
        </is>
      </c>
      <c r="C52" s="70" t="inlineStr">
        <is>
          <t>Percentual de GAEs abertas classificadas</t>
        </is>
      </c>
      <c r="D52" s="71">
        <f>IFERROR(D51/D50,"-")</f>
        <v/>
      </c>
      <c r="E52" s="71">
        <f>IFERROR(E51/E50,"-")</f>
        <v/>
      </c>
      <c r="F52" s="71">
        <f>IFERROR(F51/F50,"-")</f>
        <v/>
      </c>
      <c r="G52" s="71">
        <f>IFERROR(G51/G50,"-")</f>
        <v/>
      </c>
      <c r="H52" s="71">
        <f>IFERROR(H51/H50,"-")</f>
        <v/>
      </c>
      <c r="I52" s="71">
        <f>IFERROR(I51/I50,"-")</f>
        <v/>
      </c>
      <c r="J52" s="71">
        <f>IFERROR(J51/J50,"-")</f>
        <v/>
      </c>
      <c r="K52" s="71">
        <f>IFERROR(K51/K50,"-")</f>
        <v/>
      </c>
      <c r="L52" s="71">
        <f>IFERROR(L51/L50,"-")</f>
        <v/>
      </c>
      <c r="M52" s="71">
        <f>IFERROR(M51/M50,"-")</f>
        <v/>
      </c>
      <c r="N52" s="71">
        <f>IFERROR(N51/N50,"-")</f>
        <v/>
      </c>
      <c r="O52" s="71">
        <f>IFERROR(O51/O50,"-")</f>
        <v/>
      </c>
      <c r="P52" s="71">
        <f>IFERROR(P51/P50,"-")</f>
        <v/>
      </c>
    </row>
    <row r="53" ht="15.75" customHeight="1" s="45">
      <c r="A53" s="61" t="n">
        <v>46299</v>
      </c>
      <c r="B53" s="62" t="inlineStr">
        <is>
          <t>Pós-Projeto</t>
        </is>
      </c>
      <c r="C53" s="72" t="inlineStr">
        <is>
          <t>Tempo Médio — 🟡 Amarelo (hh:mm)</t>
        </is>
      </c>
      <c r="D53" s="121" t="n">
        <v>0.04666666666666667</v>
      </c>
      <c r="E53" s="121" t="n">
        <v>0.07440972222222222</v>
      </c>
      <c r="F53" s="121" t="n">
        <v>0.05675925925925926</v>
      </c>
      <c r="G53" s="121" t="n">
        <v>0.04165509259259259</v>
      </c>
      <c r="H53" s="121" t="n">
        <v>0.06298611111111112</v>
      </c>
      <c r="I53" s="121" t="n">
        <v>0.06363425925925927</v>
      </c>
      <c r="J53" s="121" t="n">
        <v>0.0680787037037037</v>
      </c>
      <c r="K53" s="121" t="n">
        <v>0.1230671296296296</v>
      </c>
      <c r="L53" s="121" t="n">
        <v>0.06291666666666666</v>
      </c>
      <c r="M53" s="121" t="n">
        <v>0.04188657407407408</v>
      </c>
      <c r="N53" s="121" t="n">
        <v>0.083125</v>
      </c>
      <c r="O53" s="121" t="n">
        <v>0.04028935185185185</v>
      </c>
      <c r="P53" s="121" t="n">
        <v>0.03048611111111111</v>
      </c>
    </row>
    <row r="54" ht="15.75" customHeight="1" s="45">
      <c r="A54" s="61" t="n">
        <v>46299</v>
      </c>
      <c r="B54" s="62" t="inlineStr">
        <is>
          <t>Pós-Projeto</t>
        </is>
      </c>
      <c r="C54" s="74" t="inlineStr">
        <is>
          <t>Tempo Médio — 🟠 Laranja (hh:mm)</t>
        </is>
      </c>
      <c r="D54" s="122" t="n">
        <v>0.009016203703703703</v>
      </c>
      <c r="E54" s="122" t="n">
        <v>0.008946759259259258</v>
      </c>
      <c r="F54" s="122" t="n">
        <v>0.006967592592592593</v>
      </c>
      <c r="G54" s="122" t="n">
        <v>0.005081018518518519</v>
      </c>
      <c r="H54" s="122" t="n">
        <v>0.004814814814814815</v>
      </c>
      <c r="I54" s="122" t="n">
        <v>0.005902777777777778</v>
      </c>
      <c r="J54" s="122" t="n">
        <v>0.01350694444444444</v>
      </c>
      <c r="K54" s="122" t="n">
        <v>0.01952546296296296</v>
      </c>
      <c r="L54" s="122" t="n">
        <v>0.00917824074074074</v>
      </c>
      <c r="M54" s="122" t="n">
        <v>0.01008101851851852</v>
      </c>
      <c r="N54" s="122" t="n">
        <v>0.008958333333333334</v>
      </c>
      <c r="O54" s="122" t="n">
        <v>0.008935185185185185</v>
      </c>
      <c r="P54" s="122" t="n">
        <v>0.00625</v>
      </c>
    </row>
    <row r="55" ht="15.75" customHeight="1" s="45">
      <c r="A55" s="76" t="n">
        <v>46299</v>
      </c>
      <c r="B55" s="77" t="inlineStr">
        <is>
          <t>Pós-Projeto</t>
        </is>
      </c>
      <c r="C55" s="78" t="inlineStr">
        <is>
          <t>Tempo Médio — 🟢 Verde   (hh:mm)</t>
        </is>
      </c>
      <c r="D55" s="123" t="n">
        <v>0.0903587962962963</v>
      </c>
      <c r="E55" s="123" t="n">
        <v>0.1190972222222222</v>
      </c>
      <c r="F55" s="123" t="n">
        <v>0.1258449074074074</v>
      </c>
      <c r="G55" s="123" t="n">
        <v>0.09944444444444445</v>
      </c>
      <c r="H55" s="123" t="n">
        <v>0.07096064814814815</v>
      </c>
      <c r="I55" s="123" t="n">
        <v>0.08550925925925926</v>
      </c>
      <c r="J55" s="123" t="n">
        <v>0.07968749999999999</v>
      </c>
      <c r="K55" s="123" t="n">
        <v>0.1096412037037037</v>
      </c>
      <c r="L55" s="123" t="n">
        <v>0.09194444444444444</v>
      </c>
      <c r="M55" s="123" t="n">
        <v>0.06454861111111111</v>
      </c>
      <c r="N55" s="123" t="n">
        <v>0.09780092592592593</v>
      </c>
      <c r="O55" s="123" t="n">
        <v>0.06863425925925926</v>
      </c>
      <c r="P55" s="123" t="n">
        <v>0.07215277777777777</v>
      </c>
    </row>
    <row r="56" ht="15.75" customHeight="1" s="45">
      <c r="A56" s="57" t="n">
        <v>46300</v>
      </c>
      <c r="B56" s="58" t="inlineStr">
        <is>
          <t>Pós-Projeto</t>
        </is>
      </c>
      <c r="C56" s="59" t="inlineStr">
        <is>
          <t>Acolhim. + Atend. Urgência + Atend. UPA</t>
        </is>
      </c>
      <c r="D56" s="60">
        <f>SUM(D57:D59)</f>
        <v/>
      </c>
      <c r="E56" s="60">
        <f>SUM(E57:E59)</f>
        <v/>
      </c>
      <c r="F56" s="60">
        <f>SUM(F57:F59)</f>
        <v/>
      </c>
      <c r="G56" s="60">
        <f>SUM(G57:G59)</f>
        <v/>
      </c>
      <c r="H56" s="60">
        <f>SUM(H57:H59)</f>
        <v/>
      </c>
      <c r="I56" s="60">
        <f>SUM(I57:I59)</f>
        <v/>
      </c>
      <c r="J56" s="60">
        <f>SUM(J57:J59)</f>
        <v/>
      </c>
      <c r="K56" s="60">
        <f>SUM(K57:K59)</f>
        <v/>
      </c>
      <c r="L56" s="60">
        <f>SUM(L57:L59)</f>
        <v/>
      </c>
      <c r="M56" s="60">
        <f>SUM(M57:M59)</f>
        <v/>
      </c>
      <c r="N56" s="60">
        <f>SUM(N57:N59)</f>
        <v/>
      </c>
      <c r="O56" s="60">
        <f>SUM(O57:O59)</f>
        <v/>
      </c>
      <c r="P56" s="60">
        <f>SUM(P57:P59)</f>
        <v/>
      </c>
    </row>
    <row r="57" ht="15.75" customHeight="1" s="45">
      <c r="A57" s="61" t="n">
        <v>46300</v>
      </c>
      <c r="B57" s="62" t="inlineStr">
        <is>
          <t>Pós-Projeto</t>
        </is>
      </c>
      <c r="C57" s="63" t="inlineStr">
        <is>
          <t>Acolhimento c/ Classif. de Risco</t>
        </is>
      </c>
      <c r="D57" s="64" t="n">
        <v>204</v>
      </c>
      <c r="E57" s="64" t="n">
        <v>173</v>
      </c>
      <c r="F57" s="64" t="n">
        <v>153</v>
      </c>
      <c r="G57" s="64" t="n">
        <v>144</v>
      </c>
      <c r="H57" s="64" t="n">
        <v>134</v>
      </c>
      <c r="I57" s="64" t="n">
        <v>185</v>
      </c>
      <c r="J57" s="64" t="n">
        <v>147</v>
      </c>
      <c r="K57" s="64" t="n">
        <v>298</v>
      </c>
      <c r="L57" s="64" t="n">
        <v>152</v>
      </c>
      <c r="M57" s="64" t="n">
        <v>249</v>
      </c>
      <c r="N57" s="64" t="n">
        <v>219</v>
      </c>
      <c r="O57" s="64" t="n">
        <v>282</v>
      </c>
      <c r="P57" s="64" t="n">
        <v>245</v>
      </c>
    </row>
    <row r="58" ht="15.75" customHeight="1" s="45">
      <c r="A58" s="61" t="n">
        <v>46300</v>
      </c>
      <c r="B58" s="62" t="inlineStr">
        <is>
          <t>Pós-Projeto</t>
        </is>
      </c>
      <c r="C58" s="65" t="inlineStr">
        <is>
          <t>Atend. Urgência Obs. ≤ 24h</t>
        </is>
      </c>
      <c r="D58" s="66" t="n">
        <v>48</v>
      </c>
      <c r="E58" s="66" t="n">
        <v>27</v>
      </c>
      <c r="F58" s="66" t="n">
        <v>19</v>
      </c>
      <c r="G58" s="66" t="n">
        <v>8</v>
      </c>
      <c r="H58" s="66" t="n">
        <v>8</v>
      </c>
      <c r="I58" s="66" t="n">
        <v>19</v>
      </c>
      <c r="J58" s="66" t="n">
        <v>5</v>
      </c>
      <c r="K58" s="66" t="n">
        <v>32</v>
      </c>
      <c r="L58" s="66" t="n">
        <v>22</v>
      </c>
      <c r="M58" s="66" t="n">
        <v>29</v>
      </c>
      <c r="N58" s="66" t="n">
        <v>30</v>
      </c>
      <c r="O58" s="66" t="n">
        <v>8</v>
      </c>
      <c r="P58" s="66" t="n">
        <v>10</v>
      </c>
    </row>
    <row r="59" ht="15.75" customHeight="1" s="45">
      <c r="A59" s="61" t="n">
        <v>46300</v>
      </c>
      <c r="B59" s="62" t="inlineStr">
        <is>
          <t>Pós-Projeto</t>
        </is>
      </c>
      <c r="C59" s="63" t="inlineStr">
        <is>
          <t>Atend. Médico em UPA</t>
        </is>
      </c>
      <c r="D59" s="64" t="n">
        <v>162</v>
      </c>
      <c r="E59" s="64" t="n">
        <v>108</v>
      </c>
      <c r="F59" s="64" t="n">
        <v>145</v>
      </c>
      <c r="G59" s="64" t="n">
        <v>86</v>
      </c>
      <c r="H59" s="64" t="n">
        <v>88</v>
      </c>
      <c r="I59" s="64" t="n">
        <v>158</v>
      </c>
      <c r="J59" s="64" t="n">
        <v>101</v>
      </c>
      <c r="K59" s="64" t="n">
        <v>227</v>
      </c>
      <c r="L59" s="64" t="n">
        <v>95</v>
      </c>
      <c r="M59" s="64" t="n">
        <v>174</v>
      </c>
      <c r="N59" s="64" t="n">
        <v>175</v>
      </c>
      <c r="O59" s="64" t="n">
        <v>208</v>
      </c>
      <c r="P59" s="64" t="n">
        <v>135</v>
      </c>
    </row>
    <row r="60" ht="15.75" customHeight="1" s="45">
      <c r="A60" s="61" t="n">
        <v>46300</v>
      </c>
      <c r="B60" s="62" t="inlineStr">
        <is>
          <t>Pós-Projeto</t>
        </is>
      </c>
      <c r="C60" s="65" t="inlineStr">
        <is>
          <t>Exames Laboratoriais</t>
        </is>
      </c>
      <c r="D60" s="66" t="n">
        <v>468</v>
      </c>
      <c r="E60" s="66" t="n">
        <v>473</v>
      </c>
      <c r="F60" s="66" t="n">
        <v>624</v>
      </c>
      <c r="G60" s="66" t="n">
        <v>87</v>
      </c>
      <c r="H60" s="66" t="n">
        <v>327</v>
      </c>
      <c r="I60" s="66" t="n">
        <v>530</v>
      </c>
      <c r="J60" s="66" t="n">
        <v>360</v>
      </c>
      <c r="K60" s="66" t="n">
        <v>884</v>
      </c>
      <c r="L60" s="66" t="n">
        <v>672</v>
      </c>
      <c r="M60" s="66" t="n">
        <v>651</v>
      </c>
      <c r="N60" s="66" t="n">
        <v>576</v>
      </c>
      <c r="O60" s="66" t="n">
        <v>467</v>
      </c>
      <c r="P60" s="66" t="n">
        <v>524</v>
      </c>
    </row>
    <row r="61" ht="15.75" customHeight="1" s="45">
      <c r="A61" s="61" t="n">
        <v>46300</v>
      </c>
      <c r="B61" s="62" t="inlineStr">
        <is>
          <t>Pós-Projeto</t>
        </is>
      </c>
      <c r="C61" s="63" t="inlineStr">
        <is>
          <t>Radiografias</t>
        </is>
      </c>
      <c r="D61" s="64" t="n">
        <v>23</v>
      </c>
      <c r="E61" s="64" t="n">
        <v>17</v>
      </c>
      <c r="F61" s="64" t="n">
        <v>13</v>
      </c>
      <c r="G61" s="67" t="n">
        <v>0</v>
      </c>
      <c r="H61" s="64" t="n">
        <v>14</v>
      </c>
      <c r="I61" s="64" t="n">
        <v>16</v>
      </c>
      <c r="J61" s="64" t="n">
        <v>14</v>
      </c>
      <c r="K61" s="64" t="n">
        <v>34</v>
      </c>
      <c r="L61" s="64" t="n">
        <v>9</v>
      </c>
      <c r="M61" s="64" t="n">
        <v>30</v>
      </c>
      <c r="N61" s="64" t="n">
        <v>37</v>
      </c>
      <c r="O61" s="64" t="n">
        <v>46</v>
      </c>
      <c r="P61" s="64" t="n">
        <v>33</v>
      </c>
    </row>
    <row r="62" ht="15.75" customHeight="1" s="45">
      <c r="A62" s="61" t="n">
        <v>46300</v>
      </c>
      <c r="B62" s="62" t="inlineStr">
        <is>
          <t>Pós-Projeto</t>
        </is>
      </c>
      <c r="C62" s="65" t="inlineStr">
        <is>
          <t>Eletrocardiogramas</t>
        </is>
      </c>
      <c r="D62" s="67" t="n">
        <v>0</v>
      </c>
      <c r="E62" s="67" t="n">
        <v>0</v>
      </c>
      <c r="F62" s="66" t="n">
        <v>20</v>
      </c>
      <c r="G62" s="67" t="n">
        <v>0</v>
      </c>
      <c r="H62" s="66" t="n">
        <v>1</v>
      </c>
      <c r="I62" s="67" t="n">
        <v>0</v>
      </c>
      <c r="J62" s="67" t="n">
        <v>0</v>
      </c>
      <c r="K62" s="67" t="n">
        <v>0</v>
      </c>
      <c r="L62" s="67" t="n">
        <v>0</v>
      </c>
      <c r="M62" s="67" t="n">
        <v>0</v>
      </c>
      <c r="N62" s="66" t="n">
        <v>19</v>
      </c>
      <c r="O62" s="67" t="n">
        <v>0</v>
      </c>
      <c r="P62" s="66" t="n">
        <v>5</v>
      </c>
    </row>
    <row r="63" ht="15.75" customHeight="1" s="45">
      <c r="A63" s="61" t="n">
        <v>46300</v>
      </c>
      <c r="B63" s="62" t="inlineStr">
        <is>
          <t>Pós-Projeto</t>
        </is>
      </c>
      <c r="C63" s="68" t="inlineStr">
        <is>
          <t>GAEs Abertas</t>
        </is>
      </c>
      <c r="D63" s="69" t="n">
        <v>217</v>
      </c>
      <c r="E63" s="69" t="n">
        <v>183</v>
      </c>
      <c r="F63" s="69" t="n">
        <v>160</v>
      </c>
      <c r="G63" s="69" t="n">
        <v>179</v>
      </c>
      <c r="H63" s="69" t="n">
        <v>139</v>
      </c>
      <c r="I63" s="69" t="n">
        <v>193</v>
      </c>
      <c r="J63" s="69" t="n">
        <v>148</v>
      </c>
      <c r="K63" s="69" t="n">
        <v>321</v>
      </c>
      <c r="L63" s="69" t="n">
        <v>159</v>
      </c>
      <c r="M63" s="69" t="n">
        <v>260</v>
      </c>
      <c r="N63" s="69" t="n">
        <v>223</v>
      </c>
      <c r="O63" s="69" t="n">
        <v>286</v>
      </c>
      <c r="P63" s="69" t="n">
        <v>255</v>
      </c>
    </row>
    <row r="64" ht="15.75" customHeight="1" s="45">
      <c r="A64" s="61" t="n">
        <v>46300</v>
      </c>
      <c r="B64" s="62" t="inlineStr">
        <is>
          <t>Pós-Projeto</t>
        </is>
      </c>
      <c r="C64" s="68" t="inlineStr">
        <is>
          <t>GAEs Classificadas</t>
        </is>
      </c>
      <c r="D64" s="69" t="n">
        <v>204</v>
      </c>
      <c r="E64" s="69" t="n">
        <v>173</v>
      </c>
      <c r="F64" s="69" t="n">
        <v>152</v>
      </c>
      <c r="G64" s="69" t="n">
        <v>144</v>
      </c>
      <c r="H64" s="69" t="n">
        <v>135</v>
      </c>
      <c r="I64" s="69" t="n">
        <v>185</v>
      </c>
      <c r="J64" s="69" t="n">
        <v>146</v>
      </c>
      <c r="K64" s="69" t="n">
        <v>303</v>
      </c>
      <c r="L64" s="69" t="n">
        <v>151</v>
      </c>
      <c r="M64" s="69" t="n">
        <v>243</v>
      </c>
      <c r="N64" s="69" t="n">
        <v>218</v>
      </c>
      <c r="O64" s="69" t="n">
        <v>280</v>
      </c>
      <c r="P64" s="69" t="n">
        <v>246</v>
      </c>
    </row>
    <row r="65" ht="15.75" customHeight="1" s="45">
      <c r="A65" s="61" t="n">
        <v>46300</v>
      </c>
      <c r="B65" s="62" t="inlineStr">
        <is>
          <t>Pós-Projeto</t>
        </is>
      </c>
      <c r="C65" s="70" t="inlineStr">
        <is>
          <t>Percentual de GAEs abertas classificadas</t>
        </is>
      </c>
      <c r="D65" s="71">
        <f>IFERROR(D64/D63,"-")</f>
        <v/>
      </c>
      <c r="E65" s="71">
        <f>IFERROR(E64/E63,"-")</f>
        <v/>
      </c>
      <c r="F65" s="71">
        <f>IFERROR(F64/F63,"-")</f>
        <v/>
      </c>
      <c r="G65" s="71">
        <f>IFERROR(G64/G63,"-")</f>
        <v/>
      </c>
      <c r="H65" s="71">
        <f>IFERROR(H64/H63,"-")</f>
        <v/>
      </c>
      <c r="I65" s="71">
        <f>IFERROR(I64/I63,"-")</f>
        <v/>
      </c>
      <c r="J65" s="71">
        <f>IFERROR(J64/J63,"-")</f>
        <v/>
      </c>
      <c r="K65" s="71">
        <f>IFERROR(K64/K63,"-")</f>
        <v/>
      </c>
      <c r="L65" s="71">
        <f>IFERROR(L64/L63,"-")</f>
        <v/>
      </c>
      <c r="M65" s="71">
        <f>IFERROR(M64/M63,"-")</f>
        <v/>
      </c>
      <c r="N65" s="71">
        <f>IFERROR(N64/N63,"-")</f>
        <v/>
      </c>
      <c r="O65" s="71">
        <f>IFERROR(O64/O63,"-")</f>
        <v/>
      </c>
      <c r="P65" s="71">
        <f>IFERROR(P64/P63,"-")</f>
        <v/>
      </c>
    </row>
    <row r="66" ht="15.75" customHeight="1" s="45">
      <c r="A66" s="61" t="n">
        <v>46300</v>
      </c>
      <c r="B66" s="62" t="inlineStr">
        <is>
          <t>Pós-Projeto</t>
        </is>
      </c>
      <c r="C66" s="72" t="inlineStr">
        <is>
          <t>Tempo Médio — 🟡 Amarelo (hh:mm)</t>
        </is>
      </c>
      <c r="D66" s="121" t="n">
        <v>0.06667824074074075</v>
      </c>
      <c r="E66" s="121" t="n">
        <v>0.08582175925925926</v>
      </c>
      <c r="F66" s="121" t="n">
        <v>0.02115740740740741</v>
      </c>
      <c r="G66" s="121" t="n">
        <v>0.02847222222222222</v>
      </c>
      <c r="H66" s="121" t="n">
        <v>0.03966435185185185</v>
      </c>
      <c r="I66" s="121" t="n">
        <v>0.02017361111111111</v>
      </c>
      <c r="J66" s="121" t="n">
        <v>0.05662037037037037</v>
      </c>
      <c r="K66" s="121" t="n">
        <v>0.06708333333333333</v>
      </c>
      <c r="L66" s="121" t="n">
        <v>0.07548611111111111</v>
      </c>
      <c r="M66" s="121" t="n">
        <v>0.03099537037037037</v>
      </c>
      <c r="N66" s="121" t="n">
        <v>0.04121527777777778</v>
      </c>
      <c r="O66" s="121" t="n">
        <v>0.03623842592592592</v>
      </c>
      <c r="P66" s="121" t="n">
        <v>0.05243055555555556</v>
      </c>
    </row>
    <row r="67" ht="15.75" customHeight="1" s="45">
      <c r="A67" s="61" t="n">
        <v>46300</v>
      </c>
      <c r="B67" s="62" t="inlineStr">
        <is>
          <t>Pós-Projeto</t>
        </is>
      </c>
      <c r="C67" s="74" t="inlineStr">
        <is>
          <t>Tempo Médio — 🟠 Laranja (hh:mm)</t>
        </is>
      </c>
      <c r="D67" s="122" t="n">
        <v>0.00869212962962963</v>
      </c>
      <c r="E67" s="122" t="n">
        <v>0.008842592592592593</v>
      </c>
      <c r="F67" s="122" t="n">
        <v>0.005763888888888889</v>
      </c>
      <c r="G67" s="122" t="n">
        <v>0.007407407407407408</v>
      </c>
      <c r="H67" s="122" t="n">
        <v>0.008113425925925927</v>
      </c>
      <c r="I67" s="122" t="n">
        <v>0.004537037037037037</v>
      </c>
      <c r="J67" s="122" t="n">
        <v>0.01224537037037037</v>
      </c>
      <c r="K67" s="122" t="n">
        <v>0.0100462962962963</v>
      </c>
      <c r="L67" s="122" t="n">
        <v>0.01716435185185185</v>
      </c>
      <c r="M67" s="122" t="n">
        <v>0.006481481481481481</v>
      </c>
      <c r="N67" s="122" t="n">
        <v>0.006030092592592593</v>
      </c>
      <c r="O67" s="122" t="n">
        <v>0.008877314814814815</v>
      </c>
      <c r="P67" s="122" t="n">
        <v>0.009548611111111112</v>
      </c>
    </row>
    <row r="68" ht="15.75" customHeight="1" s="45">
      <c r="A68" s="76" t="n">
        <v>46300</v>
      </c>
      <c r="B68" s="77" t="inlineStr">
        <is>
          <t>Pós-Projeto</t>
        </is>
      </c>
      <c r="C68" s="78" t="inlineStr">
        <is>
          <t>Tempo Médio — 🟢 Verde   (hh:mm)</t>
        </is>
      </c>
      <c r="D68" s="123" t="n">
        <v>0.1360763888888889</v>
      </c>
      <c r="E68" s="123" t="n">
        <v>0.1192013888888889</v>
      </c>
      <c r="F68" s="123" t="n">
        <v>0.04170138888888889</v>
      </c>
      <c r="G68" s="123" t="n">
        <v>0.08307870370370371</v>
      </c>
      <c r="H68" s="123" t="n">
        <v>0.06645833333333333</v>
      </c>
      <c r="I68" s="123" t="n">
        <v>0.04866898148148148</v>
      </c>
      <c r="J68" s="123" t="n">
        <v>0.05740740740740741</v>
      </c>
      <c r="K68" s="123" t="n">
        <v>0.07758101851851852</v>
      </c>
      <c r="L68" s="123" t="n">
        <v>0.1159490740740741</v>
      </c>
      <c r="M68" s="123" t="n">
        <v>0.05181712962962963</v>
      </c>
      <c r="N68" s="123" t="n">
        <v>0.0450462962962963</v>
      </c>
      <c r="O68" s="123" t="n">
        <v>0.05216435185185185</v>
      </c>
      <c r="P68" s="123" t="n">
        <v>0.06042824074074074</v>
      </c>
    </row>
    <row r="69" ht="15.75" customHeight="1" s="45">
      <c r="A69" s="57" t="n">
        <v>46301</v>
      </c>
      <c r="B69" s="58" t="inlineStr">
        <is>
          <t>Pós-Projeto</t>
        </is>
      </c>
      <c r="C69" s="59" t="inlineStr">
        <is>
          <t>Acolhim. + Atend. Urgência + Atend. UPA</t>
        </is>
      </c>
      <c r="D69" s="60">
        <f>SUM(D70:D72)</f>
        <v/>
      </c>
      <c r="E69" s="60">
        <f>SUM(E70:E72)</f>
        <v/>
      </c>
      <c r="F69" s="60">
        <f>SUM(F70:F72)</f>
        <v/>
      </c>
      <c r="G69" s="60">
        <f>SUM(G70:G72)</f>
        <v/>
      </c>
      <c r="H69" s="60">
        <f>SUM(H70:H72)</f>
        <v/>
      </c>
      <c r="I69" s="60">
        <f>SUM(I70:I72)</f>
        <v/>
      </c>
      <c r="J69" s="60">
        <f>SUM(J70:J72)</f>
        <v/>
      </c>
      <c r="K69" s="60">
        <f>SUM(K70:K72)</f>
        <v/>
      </c>
      <c r="L69" s="60">
        <f>SUM(L70:L72)</f>
        <v/>
      </c>
      <c r="M69" s="60">
        <f>SUM(M70:M72)</f>
        <v/>
      </c>
      <c r="N69" s="60">
        <f>SUM(N70:N72)</f>
        <v/>
      </c>
      <c r="O69" s="60">
        <f>SUM(O70:O72)</f>
        <v/>
      </c>
      <c r="P69" s="60">
        <f>SUM(P70:P72)</f>
        <v/>
      </c>
    </row>
    <row r="70" ht="15.75" customHeight="1" s="45">
      <c r="A70" s="61" t="n">
        <v>46301</v>
      </c>
      <c r="B70" s="62" t="inlineStr">
        <is>
          <t>Pós-Projeto</t>
        </is>
      </c>
      <c r="C70" s="65" t="inlineStr">
        <is>
          <t>Acolhimento c/ Classif. de Risco</t>
        </is>
      </c>
      <c r="D70" s="66" t="n">
        <v>223</v>
      </c>
      <c r="E70" s="66" t="n">
        <v>167</v>
      </c>
      <c r="F70" s="66" t="n">
        <v>157</v>
      </c>
      <c r="G70" s="66" t="n">
        <v>151</v>
      </c>
      <c r="H70" s="66" t="n">
        <v>145</v>
      </c>
      <c r="I70" s="66" t="n">
        <v>205</v>
      </c>
      <c r="J70" s="66" t="n">
        <v>114</v>
      </c>
      <c r="K70" s="66" t="n">
        <v>327</v>
      </c>
      <c r="L70" s="66" t="n">
        <v>157</v>
      </c>
      <c r="M70" s="66" t="n">
        <v>213</v>
      </c>
      <c r="N70" s="66" t="n">
        <v>214</v>
      </c>
      <c r="O70" s="66" t="n">
        <v>240</v>
      </c>
      <c r="P70" s="66" t="n">
        <v>259</v>
      </c>
    </row>
    <row r="71" ht="15.75" customHeight="1" s="45">
      <c r="A71" s="61" t="n">
        <v>46301</v>
      </c>
      <c r="B71" s="62" t="inlineStr">
        <is>
          <t>Pós-Projeto</t>
        </is>
      </c>
      <c r="C71" s="63" t="inlineStr">
        <is>
          <t>Atend. Urgência Obs. ≤ 24h</t>
        </is>
      </c>
      <c r="D71" s="64" t="n">
        <v>31</v>
      </c>
      <c r="E71" s="64" t="n">
        <v>27</v>
      </c>
      <c r="F71" s="64" t="n">
        <v>22</v>
      </c>
      <c r="G71" s="64" t="n">
        <v>11</v>
      </c>
      <c r="H71" s="64" t="n">
        <v>24</v>
      </c>
      <c r="I71" s="64" t="n">
        <v>45</v>
      </c>
      <c r="J71" s="64" t="n">
        <v>8</v>
      </c>
      <c r="K71" s="64" t="n">
        <v>34</v>
      </c>
      <c r="L71" s="64" t="n">
        <v>26</v>
      </c>
      <c r="M71" s="64" t="n">
        <v>32</v>
      </c>
      <c r="N71" s="64" t="n">
        <v>44</v>
      </c>
      <c r="O71" s="64" t="n">
        <v>11</v>
      </c>
      <c r="P71" s="64" t="n">
        <v>20</v>
      </c>
    </row>
    <row r="72" ht="15.75" customHeight="1" s="45">
      <c r="A72" s="61" t="n">
        <v>46301</v>
      </c>
      <c r="B72" s="62" t="inlineStr">
        <is>
          <t>Pós-Projeto</t>
        </is>
      </c>
      <c r="C72" s="65" t="inlineStr">
        <is>
          <t>Atend. Médico em UPA</t>
        </is>
      </c>
      <c r="D72" s="66" t="n">
        <v>232</v>
      </c>
      <c r="E72" s="66" t="n">
        <v>135</v>
      </c>
      <c r="F72" s="66" t="n">
        <v>134</v>
      </c>
      <c r="G72" s="66" t="n">
        <v>69</v>
      </c>
      <c r="H72" s="66" t="n">
        <v>99</v>
      </c>
      <c r="I72" s="66" t="n">
        <v>158</v>
      </c>
      <c r="J72" s="66" t="n">
        <v>108</v>
      </c>
      <c r="K72" s="66" t="n">
        <v>278</v>
      </c>
      <c r="L72" s="66" t="n">
        <v>100</v>
      </c>
      <c r="M72" s="66" t="n">
        <v>176</v>
      </c>
      <c r="N72" s="66" t="n">
        <v>183</v>
      </c>
      <c r="O72" s="66" t="n">
        <v>155</v>
      </c>
      <c r="P72" s="66" t="n">
        <v>142</v>
      </c>
    </row>
    <row r="73" ht="15.75" customHeight="1" s="45">
      <c r="A73" s="61" t="n">
        <v>46301</v>
      </c>
      <c r="B73" s="62" t="inlineStr">
        <is>
          <t>Pós-Projeto</t>
        </is>
      </c>
      <c r="C73" s="63" t="inlineStr">
        <is>
          <t>Exames Laboratoriais</t>
        </is>
      </c>
      <c r="D73" s="64" t="n">
        <v>581</v>
      </c>
      <c r="E73" s="64" t="n">
        <v>641</v>
      </c>
      <c r="F73" s="64" t="n">
        <v>692</v>
      </c>
      <c r="G73" s="64" t="n">
        <v>194</v>
      </c>
      <c r="H73" s="64" t="n">
        <v>581</v>
      </c>
      <c r="I73" s="64" t="n">
        <v>537</v>
      </c>
      <c r="J73" s="64" t="n">
        <v>326</v>
      </c>
      <c r="K73" s="64" t="n">
        <v>989</v>
      </c>
      <c r="L73" s="64" t="n">
        <v>711</v>
      </c>
      <c r="M73" s="64" t="n">
        <v>613</v>
      </c>
      <c r="N73" s="64" t="n">
        <v>700</v>
      </c>
      <c r="O73" s="64" t="n">
        <v>460</v>
      </c>
      <c r="P73" s="64" t="n">
        <v>543</v>
      </c>
    </row>
    <row r="74" ht="15.75" customHeight="1" s="45">
      <c r="A74" s="61" t="n">
        <v>46301</v>
      </c>
      <c r="B74" s="62" t="inlineStr">
        <is>
          <t>Pós-Projeto</t>
        </is>
      </c>
      <c r="C74" s="65" t="inlineStr">
        <is>
          <t>Radiografias</t>
        </is>
      </c>
      <c r="D74" s="66" t="n">
        <v>24</v>
      </c>
      <c r="E74" s="66" t="n">
        <v>26</v>
      </c>
      <c r="F74" s="66" t="n">
        <v>20</v>
      </c>
      <c r="G74" s="67" t="n">
        <v>0</v>
      </c>
      <c r="H74" s="66" t="n">
        <v>16</v>
      </c>
      <c r="I74" s="66" t="n">
        <v>28</v>
      </c>
      <c r="J74" s="66" t="n">
        <v>16</v>
      </c>
      <c r="K74" s="66" t="n">
        <v>45</v>
      </c>
      <c r="L74" s="66" t="n">
        <v>12</v>
      </c>
      <c r="M74" s="66" t="n">
        <v>15</v>
      </c>
      <c r="N74" s="66" t="n">
        <v>24</v>
      </c>
      <c r="O74" s="66" t="n">
        <v>47</v>
      </c>
      <c r="P74" s="66" t="n">
        <v>35</v>
      </c>
    </row>
    <row r="75" ht="15.75" customHeight="1" s="45">
      <c r="A75" s="61" t="n">
        <v>46301</v>
      </c>
      <c r="B75" s="62" t="inlineStr">
        <is>
          <t>Pós-Projeto</t>
        </is>
      </c>
      <c r="C75" s="63" t="inlineStr">
        <is>
          <t>Eletrocardiogramas</t>
        </is>
      </c>
      <c r="D75" s="64" t="n">
        <v>12</v>
      </c>
      <c r="E75" s="67" t="n">
        <v>0</v>
      </c>
      <c r="F75" s="64" t="n">
        <v>7</v>
      </c>
      <c r="G75" s="64" t="n">
        <v>1</v>
      </c>
      <c r="H75" s="67" t="n">
        <v>0</v>
      </c>
      <c r="I75" s="67" t="n">
        <v>0</v>
      </c>
      <c r="J75" s="67" t="n">
        <v>0</v>
      </c>
      <c r="K75" s="67" t="n">
        <v>0</v>
      </c>
      <c r="L75" s="67" t="n">
        <v>0</v>
      </c>
      <c r="M75" s="67" t="n">
        <v>0</v>
      </c>
      <c r="N75" s="67" t="n">
        <v>0</v>
      </c>
      <c r="O75" s="67" t="n">
        <v>0</v>
      </c>
      <c r="P75" s="64" t="n">
        <v>3</v>
      </c>
    </row>
    <row r="76" ht="15.75" customHeight="1" s="45">
      <c r="A76" s="61" t="n">
        <v>46301</v>
      </c>
      <c r="B76" s="62" t="inlineStr">
        <is>
          <t>Pós-Projeto</t>
        </is>
      </c>
      <c r="C76" s="68" t="inlineStr">
        <is>
          <t>GAEs Abertas</t>
        </is>
      </c>
      <c r="D76" s="69" t="n">
        <v>239</v>
      </c>
      <c r="E76" s="69" t="n">
        <v>170</v>
      </c>
      <c r="F76" s="69" t="n">
        <v>162</v>
      </c>
      <c r="G76" s="69" t="n">
        <v>153</v>
      </c>
      <c r="H76" s="69" t="n">
        <v>157</v>
      </c>
      <c r="I76" s="69" t="n">
        <v>219</v>
      </c>
      <c r="J76" s="69" t="n">
        <v>116</v>
      </c>
      <c r="K76" s="69" t="n">
        <v>328</v>
      </c>
      <c r="L76" s="69" t="n">
        <v>164</v>
      </c>
      <c r="M76" s="69" t="n">
        <v>226</v>
      </c>
      <c r="N76" s="69" t="n">
        <v>223</v>
      </c>
      <c r="O76" s="69" t="n">
        <v>244</v>
      </c>
      <c r="P76" s="69" t="n">
        <v>264</v>
      </c>
    </row>
    <row r="77" ht="15.75" customHeight="1" s="45">
      <c r="A77" s="61" t="n">
        <v>46301</v>
      </c>
      <c r="B77" s="62" t="inlineStr">
        <is>
          <t>Pós-Projeto</t>
        </is>
      </c>
      <c r="C77" s="68" t="inlineStr">
        <is>
          <t>GAEs Classificadas</t>
        </is>
      </c>
      <c r="D77" s="69" t="n">
        <v>224</v>
      </c>
      <c r="E77" s="69" t="n">
        <v>166</v>
      </c>
      <c r="F77" s="69" t="n">
        <v>157</v>
      </c>
      <c r="G77" s="69" t="n">
        <v>151</v>
      </c>
      <c r="H77" s="69" t="n">
        <v>144</v>
      </c>
      <c r="I77" s="69" t="n">
        <v>207</v>
      </c>
      <c r="J77" s="69" t="n">
        <v>114</v>
      </c>
      <c r="K77" s="69" t="n">
        <v>320</v>
      </c>
      <c r="L77" s="69" t="n">
        <v>160</v>
      </c>
      <c r="M77" s="69" t="n">
        <v>214</v>
      </c>
      <c r="N77" s="69" t="n">
        <v>215</v>
      </c>
      <c r="O77" s="69" t="n">
        <v>243</v>
      </c>
      <c r="P77" s="69" t="n">
        <v>256</v>
      </c>
    </row>
    <row r="78" ht="15.75" customHeight="1" s="45">
      <c r="A78" s="61" t="n">
        <v>46301</v>
      </c>
      <c r="B78" s="62" t="inlineStr">
        <is>
          <t>Pós-Projeto</t>
        </is>
      </c>
      <c r="C78" s="70" t="inlineStr">
        <is>
          <t>Percentual de GAEs abertas classificadas</t>
        </is>
      </c>
      <c r="D78" s="71">
        <f>IFERROR(D77/D76,"-")</f>
        <v/>
      </c>
      <c r="E78" s="71">
        <f>IFERROR(E77/E76,"-")</f>
        <v/>
      </c>
      <c r="F78" s="71">
        <f>IFERROR(F77/F76,"-")</f>
        <v/>
      </c>
      <c r="G78" s="71">
        <f>IFERROR(G77/G76,"-")</f>
        <v/>
      </c>
      <c r="H78" s="71">
        <f>IFERROR(H77/H76,"-")</f>
        <v/>
      </c>
      <c r="I78" s="71">
        <f>IFERROR(I77/I76,"-")</f>
        <v/>
      </c>
      <c r="J78" s="71">
        <f>IFERROR(J77/J76,"-")</f>
        <v/>
      </c>
      <c r="K78" s="71">
        <f>IFERROR(K77/K76,"-")</f>
        <v/>
      </c>
      <c r="L78" s="71">
        <f>IFERROR(L77/L76,"-")</f>
        <v/>
      </c>
      <c r="M78" s="71">
        <f>IFERROR(M77/M76,"-")</f>
        <v/>
      </c>
      <c r="N78" s="71">
        <f>IFERROR(N77/N76,"-")</f>
        <v/>
      </c>
      <c r="O78" s="71">
        <f>IFERROR(O77/O76,"-")</f>
        <v/>
      </c>
      <c r="P78" s="71">
        <f>IFERROR(P77/P76,"-")</f>
        <v/>
      </c>
    </row>
    <row r="79" ht="15.75" customHeight="1" s="45">
      <c r="A79" s="61" t="n">
        <v>46301</v>
      </c>
      <c r="B79" s="62" t="inlineStr">
        <is>
          <t>Pós-Projeto</t>
        </is>
      </c>
      <c r="C79" s="72" t="inlineStr">
        <is>
          <t>Tempo Médio — 🟡 Amarelo (hh:mm)</t>
        </is>
      </c>
      <c r="D79" s="121" t="n">
        <v>0.04545138888888889</v>
      </c>
      <c r="E79" s="121" t="n">
        <v>0.1163773148148148</v>
      </c>
      <c r="F79" s="121" t="n">
        <v>0.02491898148148148</v>
      </c>
      <c r="G79" s="121" t="n">
        <v>0.02760416666666667</v>
      </c>
      <c r="H79" s="121" t="n">
        <v>0.05537037037037037</v>
      </c>
      <c r="I79" s="121" t="n">
        <v>0.04371527777777778</v>
      </c>
      <c r="J79" s="121" t="n">
        <v>0.04775462962962963</v>
      </c>
      <c r="K79" s="121" t="n">
        <v>0.03699074074074074</v>
      </c>
      <c r="L79" s="121" t="n">
        <v>0.09406249999999999</v>
      </c>
      <c r="M79" s="121" t="n">
        <v>0.0344212962962963</v>
      </c>
      <c r="N79" s="121" t="n">
        <v>0.07608796296296297</v>
      </c>
      <c r="O79" s="121" t="n">
        <v>0.03725694444444445</v>
      </c>
      <c r="P79" s="121" t="n">
        <v>0.09393518518518519</v>
      </c>
    </row>
    <row r="80" ht="15.75" customHeight="1" s="45">
      <c r="A80" s="61" t="n">
        <v>46301</v>
      </c>
      <c r="B80" s="62" t="inlineStr">
        <is>
          <t>Pós-Projeto</t>
        </is>
      </c>
      <c r="C80" s="74" t="inlineStr">
        <is>
          <t>Tempo Médio — 🟠 Laranja (hh:mm)</t>
        </is>
      </c>
      <c r="D80" s="122" t="n">
        <v>0.01074074074074074</v>
      </c>
      <c r="E80" s="122" t="n">
        <v>0.01135416666666667</v>
      </c>
      <c r="F80" s="122" t="n">
        <v>0.008067129629629629</v>
      </c>
      <c r="G80" s="122" t="n">
        <v>0.01006944444444445</v>
      </c>
      <c r="H80" s="122" t="n">
        <v>0.009120370370370371</v>
      </c>
      <c r="I80" s="122" t="n">
        <v>0.00449074074074074</v>
      </c>
      <c r="J80" s="122" t="n">
        <v>0.006643518518518518</v>
      </c>
      <c r="K80" s="122" t="n">
        <v>0.01012731481481481</v>
      </c>
      <c r="L80" s="122" t="n">
        <v>0.0172337962962963</v>
      </c>
      <c r="M80" s="122" t="n">
        <v>0.008969907407407407</v>
      </c>
      <c r="N80" s="122" t="n">
        <v>0.01302083333333333</v>
      </c>
      <c r="O80" s="122" t="n">
        <v>0.01200231481481481</v>
      </c>
      <c r="P80" s="122" t="n">
        <v>0.01084490740740741</v>
      </c>
    </row>
    <row r="81" ht="15.75" customHeight="1" s="45">
      <c r="A81" s="76" t="n">
        <v>46301</v>
      </c>
      <c r="B81" s="77" t="inlineStr">
        <is>
          <t>Pós-Projeto</t>
        </is>
      </c>
      <c r="C81" s="78" t="inlineStr">
        <is>
          <t>Tempo Médio — 🟢 Verde   (hh:mm)</t>
        </is>
      </c>
      <c r="D81" s="123" t="n">
        <v>0.08984953703703703</v>
      </c>
      <c r="E81" s="123" t="n">
        <v>0.1103935185185185</v>
      </c>
      <c r="F81" s="123" t="n">
        <v>0.03969907407407407</v>
      </c>
      <c r="G81" s="123" t="n">
        <v>0.07965277777777778</v>
      </c>
      <c r="H81" s="123" t="n">
        <v>0.07081018518518518</v>
      </c>
      <c r="I81" s="123" t="n">
        <v>0.1094097222222222</v>
      </c>
      <c r="J81" s="123" t="n">
        <v>0.04650462962962963</v>
      </c>
      <c r="K81" s="123" t="n">
        <v>0.06046296296296296</v>
      </c>
      <c r="L81" s="123" t="n">
        <v>0.04886574074074074</v>
      </c>
      <c r="M81" s="123" t="n">
        <v>0.07392361111111111</v>
      </c>
      <c r="N81" s="123" t="n">
        <v>0.07907407407407407</v>
      </c>
      <c r="O81" s="123" t="n">
        <v>0.06516203703703703</v>
      </c>
      <c r="P81" s="123" t="n">
        <v>0.06934027777777778</v>
      </c>
    </row>
    <row r="82" ht="16.15" customHeight="1" s="45">
      <c r="A82" s="92" t="n">
        <v>46302</v>
      </c>
      <c r="B82" s="93" t="inlineStr">
        <is>
          <t>Pós-Projeto</t>
        </is>
      </c>
      <c r="C82" s="94" t="inlineStr">
        <is>
          <t>Acolhim. + Atend. Urgência + Atend. UPA</t>
        </is>
      </c>
      <c r="D82" s="95">
        <f>SUM(D83:D85)</f>
        <v/>
      </c>
      <c r="E82" s="95">
        <f>SUM(E83:E85)</f>
        <v/>
      </c>
      <c r="F82" s="95">
        <f>SUM(F83:F85)</f>
        <v/>
      </c>
      <c r="G82" s="95">
        <f>SUM(G83:G85)</f>
        <v/>
      </c>
      <c r="H82" s="95">
        <f>SUM(H83:H85)</f>
        <v/>
      </c>
      <c r="I82" s="95">
        <f>SUM(I83:I85)</f>
        <v/>
      </c>
      <c r="J82" s="95">
        <f>SUM(J83:J85)</f>
        <v/>
      </c>
      <c r="K82" s="95">
        <f>SUM(K83:K85)</f>
        <v/>
      </c>
      <c r="L82" s="95">
        <f>SUM(L83:L85)</f>
        <v/>
      </c>
      <c r="M82" s="95">
        <f>SUM(M83:M85)</f>
        <v/>
      </c>
      <c r="N82" s="95">
        <f>SUM(N83:N85)</f>
        <v/>
      </c>
      <c r="O82" s="95">
        <f>SUM(O83:O85)</f>
        <v/>
      </c>
      <c r="P82" s="95">
        <f>SUM(P83:P85)</f>
        <v/>
      </c>
    </row>
    <row r="83" ht="16.15" customHeight="1" s="45">
      <c r="A83" s="96" t="n">
        <v>46302</v>
      </c>
      <c r="B83" s="97" t="inlineStr">
        <is>
          <t>Pós-Projeto</t>
        </is>
      </c>
      <c r="C83" s="98" t="inlineStr">
        <is>
          <t>Acolhimento c/ Classif. de Risco</t>
        </is>
      </c>
      <c r="D83" s="99" t="n">
        <v>243</v>
      </c>
      <c r="E83" s="99" t="n">
        <v>163</v>
      </c>
      <c r="F83" s="99" t="n">
        <v>156</v>
      </c>
      <c r="G83" s="99" t="n">
        <v>162</v>
      </c>
      <c r="H83" s="99" t="n">
        <v>131</v>
      </c>
      <c r="I83" s="99" t="n">
        <v>204</v>
      </c>
      <c r="J83" s="99" t="n">
        <v>130</v>
      </c>
      <c r="K83" s="99" t="n">
        <v>279</v>
      </c>
      <c r="L83" s="99" t="n">
        <v>171</v>
      </c>
      <c r="M83" s="99" t="n">
        <v>250</v>
      </c>
      <c r="N83" s="99" t="n">
        <v>207</v>
      </c>
      <c r="O83" s="99" t="n">
        <v>294</v>
      </c>
      <c r="P83" s="99" t="n">
        <v>222</v>
      </c>
    </row>
    <row r="84" ht="16.15" customHeight="1" s="45">
      <c r="A84" s="96" t="n">
        <v>46302</v>
      </c>
      <c r="B84" s="97" t="inlineStr">
        <is>
          <t>Pós-Projeto</t>
        </is>
      </c>
      <c r="C84" s="100" t="inlineStr">
        <is>
          <t>Atend. Urgência Obs. ≤ 24h</t>
        </is>
      </c>
      <c r="D84" s="101" t="n">
        <v>38</v>
      </c>
      <c r="E84" s="101" t="n">
        <v>25</v>
      </c>
      <c r="F84" s="101" t="n">
        <v>14</v>
      </c>
      <c r="G84" s="101" t="n">
        <v>19</v>
      </c>
      <c r="H84" s="101" t="n">
        <v>17</v>
      </c>
      <c r="I84" s="101" t="n">
        <v>23</v>
      </c>
      <c r="J84" s="101" t="n">
        <v>13</v>
      </c>
      <c r="K84" s="101" t="n">
        <v>35</v>
      </c>
      <c r="L84" s="101" t="n">
        <v>44</v>
      </c>
      <c r="M84" s="101" t="n">
        <v>70</v>
      </c>
      <c r="N84" s="101" t="n">
        <v>33</v>
      </c>
      <c r="O84" s="101" t="n">
        <v>19</v>
      </c>
      <c r="P84" s="101" t="n">
        <v>29</v>
      </c>
    </row>
    <row r="85" ht="16.15" customHeight="1" s="45">
      <c r="A85" s="96" t="n">
        <v>46302</v>
      </c>
      <c r="B85" s="97" t="inlineStr">
        <is>
          <t>Pós-Projeto</t>
        </is>
      </c>
      <c r="C85" s="98" t="inlineStr">
        <is>
          <t>Atend. Médico em UPA</t>
        </is>
      </c>
      <c r="D85" s="99" t="n">
        <v>198</v>
      </c>
      <c r="E85" s="99" t="n">
        <v>120</v>
      </c>
      <c r="F85" s="99" t="n">
        <v>127</v>
      </c>
      <c r="G85" s="99" t="n">
        <v>79</v>
      </c>
      <c r="H85" s="99" t="n">
        <v>67</v>
      </c>
      <c r="I85" s="99" t="n">
        <v>186</v>
      </c>
      <c r="J85" s="99" t="n">
        <v>118</v>
      </c>
      <c r="K85" s="99" t="n">
        <v>215</v>
      </c>
      <c r="L85" s="99" t="n">
        <v>135</v>
      </c>
      <c r="M85" s="99" t="n">
        <v>211</v>
      </c>
      <c r="N85" s="99" t="n">
        <v>167</v>
      </c>
      <c r="O85" s="99" t="n">
        <v>232</v>
      </c>
      <c r="P85" s="99" t="n">
        <v>138</v>
      </c>
    </row>
    <row r="86" ht="16.15" customHeight="1" s="45">
      <c r="A86" s="96" t="n">
        <v>46302</v>
      </c>
      <c r="B86" s="97" t="inlineStr">
        <is>
          <t>Pós-Projeto</t>
        </is>
      </c>
      <c r="C86" s="100" t="inlineStr">
        <is>
          <t>Exames Laboratoriais</t>
        </is>
      </c>
      <c r="D86" s="101" t="n">
        <v>501</v>
      </c>
      <c r="E86" s="101" t="n">
        <v>461</v>
      </c>
      <c r="F86" s="101" t="n">
        <v>404</v>
      </c>
      <c r="G86" s="101" t="n">
        <v>224</v>
      </c>
      <c r="H86" s="101" t="n">
        <v>415</v>
      </c>
      <c r="I86" s="101" t="n">
        <v>597</v>
      </c>
      <c r="J86" s="101" t="n">
        <v>340</v>
      </c>
      <c r="K86" s="101" t="n">
        <v>817</v>
      </c>
      <c r="L86" s="101" t="n">
        <v>606</v>
      </c>
      <c r="M86" s="101" t="n">
        <v>788</v>
      </c>
      <c r="N86" s="101" t="n">
        <v>727</v>
      </c>
      <c r="O86" s="101" t="n">
        <v>617</v>
      </c>
      <c r="P86" s="101" t="n">
        <v>591</v>
      </c>
    </row>
    <row r="87" ht="16.15" customHeight="1" s="45">
      <c r="A87" s="96" t="n">
        <v>46302</v>
      </c>
      <c r="B87" s="97" t="inlineStr">
        <is>
          <t>Pós-Projeto</t>
        </is>
      </c>
      <c r="C87" s="98" t="inlineStr">
        <is>
          <t>Radiografias</t>
        </is>
      </c>
      <c r="D87" s="99" t="n">
        <v>19</v>
      </c>
      <c r="E87" s="99" t="n">
        <v>30</v>
      </c>
      <c r="F87" s="99" t="n">
        <v>23</v>
      </c>
      <c r="G87" s="102" t="n">
        <v>0</v>
      </c>
      <c r="H87" s="99" t="n">
        <v>11</v>
      </c>
      <c r="I87" s="99" t="n">
        <v>19</v>
      </c>
      <c r="J87" s="99" t="n">
        <v>16</v>
      </c>
      <c r="K87" s="99" t="n">
        <v>47</v>
      </c>
      <c r="L87" s="99" t="n">
        <v>14</v>
      </c>
      <c r="M87" s="99" t="n">
        <v>34</v>
      </c>
      <c r="N87" s="99" t="n">
        <v>35</v>
      </c>
      <c r="O87" s="99" t="n">
        <v>37</v>
      </c>
      <c r="P87" s="99" t="n">
        <v>25</v>
      </c>
    </row>
    <row r="88" ht="16.15" customHeight="1" s="45">
      <c r="A88" s="96" t="n">
        <v>46302</v>
      </c>
      <c r="B88" s="97" t="inlineStr">
        <is>
          <t>Pós-Projeto</t>
        </is>
      </c>
      <c r="C88" s="100" t="inlineStr">
        <is>
          <t>Eletrocardiogramas</t>
        </is>
      </c>
      <c r="D88" s="101" t="n">
        <v>1</v>
      </c>
      <c r="E88" s="102" t="n">
        <v>0</v>
      </c>
      <c r="F88" s="102" t="n">
        <v>0</v>
      </c>
      <c r="G88" s="101" t="n">
        <v>2</v>
      </c>
      <c r="H88" s="102" t="n">
        <v>0</v>
      </c>
      <c r="I88" s="102" t="n">
        <v>0</v>
      </c>
      <c r="J88" s="102" t="n">
        <v>0</v>
      </c>
      <c r="K88" s="102" t="n">
        <v>0</v>
      </c>
      <c r="L88" s="102" t="n">
        <v>0</v>
      </c>
      <c r="M88" s="102" t="n">
        <v>0</v>
      </c>
      <c r="N88" s="101" t="n">
        <v>9</v>
      </c>
      <c r="O88" s="102" t="n">
        <v>0</v>
      </c>
      <c r="P88" s="101" t="n">
        <v>8</v>
      </c>
    </row>
    <row r="89" ht="16.15" customHeight="1" s="45">
      <c r="A89" s="96" t="n">
        <v>46302</v>
      </c>
      <c r="B89" s="97" t="inlineStr">
        <is>
          <t>Pós-Projeto</t>
        </is>
      </c>
      <c r="C89" s="103" t="inlineStr">
        <is>
          <t>GAEs Abertas</t>
        </is>
      </c>
      <c r="D89" s="104" t="n">
        <v>260</v>
      </c>
      <c r="E89" s="104" t="n">
        <v>169</v>
      </c>
      <c r="F89" s="104" t="n">
        <v>164</v>
      </c>
      <c r="G89" s="104" t="n">
        <v>167</v>
      </c>
      <c r="H89" s="104" t="n">
        <v>134</v>
      </c>
      <c r="I89" s="104" t="n">
        <v>217</v>
      </c>
      <c r="J89" s="104" t="n">
        <v>133</v>
      </c>
      <c r="K89" s="104" t="n">
        <v>315</v>
      </c>
      <c r="L89" s="104" t="n">
        <v>181</v>
      </c>
      <c r="M89" s="104" t="n">
        <v>261</v>
      </c>
      <c r="N89" s="104" t="n">
        <v>216</v>
      </c>
      <c r="O89" s="104" t="n">
        <v>308</v>
      </c>
      <c r="P89" s="104" t="n">
        <v>226</v>
      </c>
    </row>
    <row r="90" ht="16.15" customHeight="1" s="45">
      <c r="A90" s="96" t="n">
        <v>46302</v>
      </c>
      <c r="B90" s="97" t="inlineStr">
        <is>
          <t>Pós-Projeto</t>
        </is>
      </c>
      <c r="C90" s="103" t="inlineStr">
        <is>
          <t>GAEs Classificadas</t>
        </is>
      </c>
      <c r="D90" s="104" t="n">
        <v>245</v>
      </c>
      <c r="E90" s="104" t="n">
        <v>163</v>
      </c>
      <c r="F90" s="104" t="n">
        <v>157</v>
      </c>
      <c r="G90" s="104" t="n">
        <v>162</v>
      </c>
      <c r="H90" s="104" t="n">
        <v>130</v>
      </c>
      <c r="I90" s="104" t="n">
        <v>209</v>
      </c>
      <c r="J90" s="104" t="n">
        <v>130</v>
      </c>
      <c r="K90" s="104" t="n">
        <v>284</v>
      </c>
      <c r="L90" s="104" t="n">
        <v>172</v>
      </c>
      <c r="M90" s="104" t="n">
        <v>251</v>
      </c>
      <c r="N90" s="104" t="n">
        <v>207</v>
      </c>
      <c r="O90" s="104" t="n">
        <v>292</v>
      </c>
      <c r="P90" s="104" t="n">
        <v>223</v>
      </c>
    </row>
    <row r="91" ht="16.15" customHeight="1" s="45">
      <c r="A91" s="96" t="n">
        <v>46302</v>
      </c>
      <c r="B91" s="97" t="inlineStr">
        <is>
          <t>Pós-Projeto</t>
        </is>
      </c>
      <c r="C91" s="105" t="inlineStr">
        <is>
          <t>Percentual de GAEs abertas classificadas</t>
        </is>
      </c>
      <c r="D91" s="106">
        <f>IFERROR(D90/D89,"-")</f>
        <v/>
      </c>
      <c r="E91" s="106">
        <f>IFERROR(E90/E89,"-")</f>
        <v/>
      </c>
      <c r="F91" s="106">
        <f>IFERROR(F90/F89,"-")</f>
        <v/>
      </c>
      <c r="G91" s="106">
        <f>IFERROR(G90/G89,"-")</f>
        <v/>
      </c>
      <c r="H91" s="106">
        <f>IFERROR(H90/H89,"-")</f>
        <v/>
      </c>
      <c r="I91" s="106">
        <f>IFERROR(I90/I89,"-")</f>
        <v/>
      </c>
      <c r="J91" s="106">
        <f>IFERROR(J90/J89,"-")</f>
        <v/>
      </c>
      <c r="K91" s="106">
        <f>IFERROR(K90/K89,"-")</f>
        <v/>
      </c>
      <c r="L91" s="106">
        <f>IFERROR(L90/L89,"-")</f>
        <v/>
      </c>
      <c r="M91" s="106">
        <f>IFERROR(M90/M89,"-")</f>
        <v/>
      </c>
      <c r="N91" s="106">
        <f>IFERROR(N90/N89,"-")</f>
        <v/>
      </c>
      <c r="O91" s="106">
        <f>IFERROR(O90/O89,"-")</f>
        <v/>
      </c>
      <c r="P91" s="106">
        <f>IFERROR(P90/P89,"-")</f>
        <v/>
      </c>
    </row>
    <row r="92" ht="16.15" customHeight="1" s="45">
      <c r="A92" s="96" t="n">
        <v>46302</v>
      </c>
      <c r="B92" s="97" t="inlineStr">
        <is>
          <t>Pós-Projeto</t>
        </is>
      </c>
      <c r="C92" s="107" t="inlineStr">
        <is>
          <t>Tempo Médio — 🟡 Amarelo (hh:mm)</t>
        </is>
      </c>
      <c r="D92" s="121" t="n">
        <v>0.08226851851851852</v>
      </c>
      <c r="E92" s="121" t="n">
        <v>0.08168981481481481</v>
      </c>
      <c r="F92" s="121" t="n">
        <v>0.02863425925925926</v>
      </c>
      <c r="G92" s="121" t="n">
        <v>0.03516203703703704</v>
      </c>
      <c r="H92" s="121" t="n">
        <v>0.04375</v>
      </c>
      <c r="I92" s="121" t="n">
        <v>0.03454861111111111</v>
      </c>
      <c r="J92" s="121" t="n">
        <v>0.03576388888888889</v>
      </c>
      <c r="K92" s="121" t="n">
        <v>0.07567129629629629</v>
      </c>
      <c r="L92" s="121" t="n">
        <v>0.07619212962962962</v>
      </c>
      <c r="M92" s="121" t="n">
        <v>0.02542824074074074</v>
      </c>
      <c r="N92" s="121" t="n">
        <v>0.05399305555555556</v>
      </c>
      <c r="O92" s="121" t="n">
        <v>0.04997685185185185</v>
      </c>
      <c r="P92" s="121" t="n">
        <v>0.08120370370370371</v>
      </c>
    </row>
    <row r="93" ht="16.15" customHeight="1" s="45">
      <c r="A93" s="96" t="n">
        <v>46302</v>
      </c>
      <c r="B93" s="97" t="inlineStr">
        <is>
          <t>Pós-Projeto</t>
        </is>
      </c>
      <c r="C93" s="109" t="inlineStr">
        <is>
          <t>Tempo Médio — 🟠 Laranja (hh:mm)</t>
        </is>
      </c>
      <c r="D93" s="122" t="n">
        <v>0.01005787037037037</v>
      </c>
      <c r="E93" s="122" t="n">
        <v>0.01070601851851852</v>
      </c>
      <c r="F93" s="122" t="n">
        <v>0.004189814814814815</v>
      </c>
      <c r="G93" s="122" t="n">
        <v>0.004328703703703704</v>
      </c>
      <c r="H93" s="122" t="n">
        <v>0.01732638888888889</v>
      </c>
      <c r="I93" s="122" t="n">
        <v>0.0065625</v>
      </c>
      <c r="J93" s="122" t="n">
        <v>0.008275462962962964</v>
      </c>
      <c r="K93" s="122" t="n">
        <v>0.01332175925925926</v>
      </c>
      <c r="L93" s="122" t="n">
        <v>0.01771990740740741</v>
      </c>
      <c r="M93" s="122" t="n">
        <v>0.009398148148148149</v>
      </c>
      <c r="N93" s="122" t="n">
        <v>0.01331018518518519</v>
      </c>
      <c r="O93" s="122" t="n">
        <v>0.00962962962962963</v>
      </c>
      <c r="P93" s="122" t="n">
        <v>0.007766203703703704</v>
      </c>
    </row>
    <row r="94" ht="16.15" customHeight="1" s="45">
      <c r="A94" s="111" t="n">
        <v>46302</v>
      </c>
      <c r="B94" s="112" t="inlineStr">
        <is>
          <t>Pós-Projeto</t>
        </is>
      </c>
      <c r="C94" s="113" t="inlineStr">
        <is>
          <t>Tempo Médio — 🟢 Verde   (hh:mm)</t>
        </is>
      </c>
      <c r="D94" s="123" t="n">
        <v>0.08796296296296297</v>
      </c>
      <c r="E94" s="123" t="n">
        <v>0.1133101851851852</v>
      </c>
      <c r="F94" s="123" t="n">
        <v>0.06915509259259259</v>
      </c>
      <c r="G94" s="123" t="n">
        <v>0.1109375</v>
      </c>
      <c r="H94" s="123" t="n">
        <v>0.06273148148148149</v>
      </c>
      <c r="I94" s="123" t="n">
        <v>0.08877314814814814</v>
      </c>
      <c r="J94" s="123" t="n">
        <v>0.07744212962962962</v>
      </c>
      <c r="K94" s="123" t="n">
        <v>0.1018402777777778</v>
      </c>
      <c r="L94" s="123" t="n">
        <v>0.1002777777777778</v>
      </c>
      <c r="M94" s="123" t="n">
        <v>0.05041666666666667</v>
      </c>
      <c r="N94" s="123" t="n">
        <v>0.04990740740740741</v>
      </c>
      <c r="O94" s="123" t="n">
        <v>0.07394675925925925</v>
      </c>
      <c r="P94" s="123" t="n">
        <v>0.06696759259259259</v>
      </c>
    </row>
    <row r="95" ht="16.15" customHeight="1" s="45">
      <c r="A95" s="92" t="n">
        <v>46303</v>
      </c>
      <c r="B95" s="93" t="inlineStr">
        <is>
          <t>Pós-Projeto</t>
        </is>
      </c>
      <c r="C95" s="94" t="inlineStr">
        <is>
          <t>Acolhim. + Atend. Urgência + Atend. UPA</t>
        </is>
      </c>
      <c r="D95" s="95">
        <f>SUM(D96:D98)</f>
        <v/>
      </c>
      <c r="E95" s="95">
        <f>SUM(E96:E98)</f>
        <v/>
      </c>
      <c r="F95" s="95">
        <f>SUM(F96:F98)</f>
        <v/>
      </c>
      <c r="G95" s="95">
        <f>SUM(G96:G98)</f>
        <v/>
      </c>
      <c r="H95" s="95">
        <f>SUM(H96:H98)</f>
        <v/>
      </c>
      <c r="I95" s="95">
        <f>SUM(I96:I98)</f>
        <v/>
      </c>
      <c r="J95" s="95">
        <f>SUM(J96:J98)</f>
        <v/>
      </c>
      <c r="K95" s="95">
        <f>SUM(K96:K98)</f>
        <v/>
      </c>
      <c r="L95" s="95">
        <f>SUM(L96:L98)</f>
        <v/>
      </c>
      <c r="M95" s="95">
        <f>SUM(M96:M98)</f>
        <v/>
      </c>
      <c r="N95" s="95">
        <f>SUM(N96:N98)</f>
        <v/>
      </c>
      <c r="O95" s="95">
        <f>SUM(O96:O98)</f>
        <v/>
      </c>
      <c r="P95" s="95">
        <f>SUM(P96:P98)</f>
        <v/>
      </c>
    </row>
    <row r="96" ht="16.15" customHeight="1" s="45">
      <c r="A96" s="96" t="n">
        <v>46303</v>
      </c>
      <c r="B96" s="97" t="inlineStr">
        <is>
          <t>Pós-Projeto</t>
        </is>
      </c>
      <c r="C96" s="100" t="inlineStr">
        <is>
          <t>Acolhimento c/ Classif. de Risco</t>
        </is>
      </c>
      <c r="D96" s="101" t="n">
        <v>225</v>
      </c>
      <c r="E96" s="101" t="n">
        <v>164</v>
      </c>
      <c r="F96" s="101" t="n">
        <v>166</v>
      </c>
      <c r="G96" s="101" t="n">
        <v>151</v>
      </c>
      <c r="H96" s="101" t="n">
        <v>138</v>
      </c>
      <c r="I96" s="101" t="n">
        <v>220</v>
      </c>
      <c r="J96" s="101" t="n">
        <v>135</v>
      </c>
      <c r="K96" s="101" t="n">
        <v>296</v>
      </c>
      <c r="L96" s="101" t="n">
        <v>119</v>
      </c>
      <c r="M96" s="101" t="n">
        <v>253</v>
      </c>
      <c r="N96" s="101" t="n">
        <v>205</v>
      </c>
      <c r="O96" s="101" t="n">
        <v>291</v>
      </c>
      <c r="P96" s="101" t="n">
        <v>244</v>
      </c>
    </row>
    <row r="97" ht="16.15" customHeight="1" s="45">
      <c r="A97" s="96" t="n">
        <v>46303</v>
      </c>
      <c r="B97" s="97" t="inlineStr">
        <is>
          <t>Pós-Projeto</t>
        </is>
      </c>
      <c r="C97" s="98" t="inlineStr">
        <is>
          <t>Atend. Urgência Obs. ≤ 24h</t>
        </is>
      </c>
      <c r="D97" s="99" t="n">
        <v>33</v>
      </c>
      <c r="E97" s="99" t="n">
        <v>30</v>
      </c>
      <c r="F97" s="99" t="n">
        <v>35</v>
      </c>
      <c r="G97" s="99" t="n">
        <v>6</v>
      </c>
      <c r="H97" s="99" t="n">
        <v>17</v>
      </c>
      <c r="I97" s="99" t="n">
        <v>19</v>
      </c>
      <c r="J97" s="99" t="n">
        <v>5</v>
      </c>
      <c r="K97" s="99" t="n">
        <v>57</v>
      </c>
      <c r="L97" s="99" t="n">
        <v>48</v>
      </c>
      <c r="M97" s="99" t="n">
        <v>26</v>
      </c>
      <c r="N97" s="99" t="n">
        <v>51</v>
      </c>
      <c r="O97" s="99" t="n">
        <v>21</v>
      </c>
      <c r="P97" s="99" t="n">
        <v>20</v>
      </c>
    </row>
    <row r="98" ht="16.15" customHeight="1" s="45">
      <c r="A98" s="96" t="n">
        <v>46303</v>
      </c>
      <c r="B98" s="97" t="inlineStr">
        <is>
          <t>Pós-Projeto</t>
        </is>
      </c>
      <c r="C98" s="100" t="inlineStr">
        <is>
          <t>Atend. Médico em UPA</t>
        </is>
      </c>
      <c r="D98" s="101" t="n">
        <v>195</v>
      </c>
      <c r="E98" s="101" t="n">
        <v>101</v>
      </c>
      <c r="F98" s="101" t="n">
        <v>131</v>
      </c>
      <c r="G98" s="101" t="n">
        <v>86</v>
      </c>
      <c r="H98" s="101" t="n">
        <v>64</v>
      </c>
      <c r="I98" s="101" t="n">
        <v>180</v>
      </c>
      <c r="J98" s="101" t="n">
        <v>96</v>
      </c>
      <c r="K98" s="101" t="n">
        <v>231</v>
      </c>
      <c r="L98" s="101" t="n">
        <v>107</v>
      </c>
      <c r="M98" s="101" t="n">
        <v>185</v>
      </c>
      <c r="N98" s="101" t="n">
        <v>189</v>
      </c>
      <c r="O98" s="101" t="n">
        <v>208</v>
      </c>
      <c r="P98" s="101" t="n">
        <v>164</v>
      </c>
    </row>
    <row r="99" ht="16.15" customHeight="1" s="45">
      <c r="A99" s="96" t="n">
        <v>46303</v>
      </c>
      <c r="B99" s="97" t="inlineStr">
        <is>
          <t>Pós-Projeto</t>
        </is>
      </c>
      <c r="C99" s="98" t="inlineStr">
        <is>
          <t>Exames Laboratoriais</t>
        </is>
      </c>
      <c r="D99" s="99" t="n">
        <v>592</v>
      </c>
      <c r="E99" s="99" t="n">
        <v>616</v>
      </c>
      <c r="F99" s="99" t="n">
        <v>529</v>
      </c>
      <c r="G99" s="99" t="n">
        <v>527</v>
      </c>
      <c r="H99" s="99" t="n">
        <v>377</v>
      </c>
      <c r="I99" s="99" t="n">
        <v>663</v>
      </c>
      <c r="J99" s="99" t="n">
        <v>395</v>
      </c>
      <c r="K99" s="99" t="n">
        <v>923</v>
      </c>
      <c r="L99" s="99" t="n">
        <v>632</v>
      </c>
      <c r="M99" s="99" t="n">
        <v>677</v>
      </c>
      <c r="N99" s="99" t="n">
        <v>806</v>
      </c>
      <c r="O99" s="99" t="n">
        <v>385</v>
      </c>
      <c r="P99" s="99" t="n">
        <v>383</v>
      </c>
    </row>
    <row r="100" ht="16.15" customHeight="1" s="45">
      <c r="A100" s="96" t="n">
        <v>46303</v>
      </c>
      <c r="B100" s="97" t="inlineStr">
        <is>
          <t>Pós-Projeto</t>
        </is>
      </c>
      <c r="C100" s="100" t="inlineStr">
        <is>
          <t>Radiografias</t>
        </is>
      </c>
      <c r="D100" s="101" t="n">
        <v>15</v>
      </c>
      <c r="E100" s="101" t="n">
        <v>28</v>
      </c>
      <c r="F100" s="101" t="n">
        <v>23</v>
      </c>
      <c r="G100" s="102" t="n">
        <v>0</v>
      </c>
      <c r="H100" s="101" t="n">
        <v>10</v>
      </c>
      <c r="I100" s="101" t="n">
        <v>23</v>
      </c>
      <c r="J100" s="101" t="n">
        <v>20</v>
      </c>
      <c r="K100" s="101" t="n">
        <v>35</v>
      </c>
      <c r="L100" s="101" t="n">
        <v>20</v>
      </c>
      <c r="M100" s="101" t="n">
        <v>41</v>
      </c>
      <c r="N100" s="101" t="n">
        <v>25</v>
      </c>
      <c r="O100" s="101" t="n">
        <v>40</v>
      </c>
      <c r="P100" s="101" t="n">
        <v>36</v>
      </c>
    </row>
    <row r="101" ht="16.15" customHeight="1" s="45">
      <c r="A101" s="96" t="n">
        <v>46303</v>
      </c>
      <c r="B101" s="97" t="inlineStr">
        <is>
          <t>Pós-Projeto</t>
        </is>
      </c>
      <c r="C101" s="98" t="inlineStr">
        <is>
          <t>Eletrocardiogramas</t>
        </is>
      </c>
      <c r="D101" s="102" t="n">
        <v>0</v>
      </c>
      <c r="E101" s="102" t="n">
        <v>0</v>
      </c>
      <c r="F101" s="102" t="n">
        <v>0</v>
      </c>
      <c r="G101" s="99" t="n">
        <v>1</v>
      </c>
      <c r="H101" s="99" t="n">
        <v>1</v>
      </c>
      <c r="I101" s="102" t="n">
        <v>0</v>
      </c>
      <c r="J101" s="102" t="n">
        <v>0</v>
      </c>
      <c r="K101" s="99" t="n">
        <v>2</v>
      </c>
      <c r="L101" s="102" t="n">
        <v>0</v>
      </c>
      <c r="M101" s="102" t="n">
        <v>0</v>
      </c>
      <c r="N101" s="99" t="n">
        <v>19</v>
      </c>
      <c r="O101" s="102" t="n">
        <v>0</v>
      </c>
      <c r="P101" s="102" t="n">
        <v>0</v>
      </c>
    </row>
    <row r="102" ht="16.15" customHeight="1" s="45">
      <c r="A102" s="96" t="n">
        <v>46303</v>
      </c>
      <c r="B102" s="97" t="inlineStr">
        <is>
          <t>Pós-Projeto</t>
        </is>
      </c>
      <c r="C102" s="103" t="inlineStr">
        <is>
          <t>GAEs Abertas</t>
        </is>
      </c>
      <c r="D102" s="104" t="n">
        <v>238</v>
      </c>
      <c r="E102" s="104" t="n">
        <v>170</v>
      </c>
      <c r="F102" s="104" t="n">
        <v>165</v>
      </c>
      <c r="G102" s="104" t="n">
        <v>156</v>
      </c>
      <c r="H102" s="104" t="n">
        <v>150</v>
      </c>
      <c r="I102" s="104" t="n">
        <v>224</v>
      </c>
      <c r="J102" s="104" t="n">
        <v>141</v>
      </c>
      <c r="K102" s="104" t="n">
        <v>315</v>
      </c>
      <c r="L102" s="104" t="n">
        <v>121</v>
      </c>
      <c r="M102" s="104" t="n">
        <v>264</v>
      </c>
      <c r="N102" s="104" t="n">
        <v>216</v>
      </c>
      <c r="O102" s="104" t="n">
        <v>301</v>
      </c>
      <c r="P102" s="104" t="n">
        <v>248</v>
      </c>
    </row>
    <row r="103" ht="16.15" customHeight="1" s="45">
      <c r="A103" s="96" t="n">
        <v>46303</v>
      </c>
      <c r="B103" s="97" t="inlineStr">
        <is>
          <t>Pós-Projeto</t>
        </is>
      </c>
      <c r="C103" s="103" t="inlineStr">
        <is>
          <t>GAEs Classificadas</t>
        </is>
      </c>
      <c r="D103" s="104" t="n">
        <v>223</v>
      </c>
      <c r="E103" s="104" t="n">
        <v>170</v>
      </c>
      <c r="F103" s="104" t="n">
        <v>164</v>
      </c>
      <c r="G103" s="104" t="n">
        <v>151</v>
      </c>
      <c r="H103" s="104" t="n">
        <v>138</v>
      </c>
      <c r="I103" s="104" t="n">
        <v>213</v>
      </c>
      <c r="J103" s="104" t="n">
        <v>135</v>
      </c>
      <c r="K103" s="104" t="n">
        <v>290</v>
      </c>
      <c r="L103" s="104" t="n">
        <v>115</v>
      </c>
      <c r="M103" s="104" t="n">
        <v>249</v>
      </c>
      <c r="N103" s="104" t="n">
        <v>205</v>
      </c>
      <c r="O103" s="104" t="n">
        <v>289</v>
      </c>
      <c r="P103" s="104" t="n">
        <v>244</v>
      </c>
    </row>
    <row r="104" ht="16.15" customHeight="1" s="45">
      <c r="A104" s="96" t="n">
        <v>46303</v>
      </c>
      <c r="B104" s="97" t="inlineStr">
        <is>
          <t>Pós-Projeto</t>
        </is>
      </c>
      <c r="C104" s="105" t="inlineStr">
        <is>
          <t>Percentual de GAEs abertas classificadas</t>
        </is>
      </c>
      <c r="D104" s="106">
        <f>IFERROR(D103/D102,"-")</f>
        <v/>
      </c>
      <c r="E104" s="106">
        <f>IFERROR(E103/E102,"-")</f>
        <v/>
      </c>
      <c r="F104" s="106">
        <f>IFERROR(F103/F102,"-")</f>
        <v/>
      </c>
      <c r="G104" s="106">
        <f>IFERROR(G103/G102,"-")</f>
        <v/>
      </c>
      <c r="H104" s="106">
        <f>IFERROR(H103/H102,"-")</f>
        <v/>
      </c>
      <c r="I104" s="106">
        <f>IFERROR(I103/I102,"-")</f>
        <v/>
      </c>
      <c r="J104" s="106">
        <f>IFERROR(J103/J102,"-")</f>
        <v/>
      </c>
      <c r="K104" s="106">
        <f>IFERROR(K103/K102,"-")</f>
        <v/>
      </c>
      <c r="L104" s="106">
        <f>IFERROR(L103/L102,"-")</f>
        <v/>
      </c>
      <c r="M104" s="106">
        <f>IFERROR(M103/M102,"-")</f>
        <v/>
      </c>
      <c r="N104" s="106">
        <f>IFERROR(N103/N102,"-")</f>
        <v/>
      </c>
      <c r="O104" s="106">
        <f>IFERROR(O103/O102,"-")</f>
        <v/>
      </c>
      <c r="P104" s="106">
        <f>IFERROR(P103/P102,"-")</f>
        <v/>
      </c>
    </row>
    <row r="105" ht="16.15" customHeight="1" s="45">
      <c r="A105" s="96" t="n">
        <v>46303</v>
      </c>
      <c r="B105" s="97" t="inlineStr">
        <is>
          <t>Pós-Projeto</t>
        </is>
      </c>
      <c r="C105" s="107" t="inlineStr">
        <is>
          <t>Tempo Médio — 🟡 Amarelo (hh:mm)</t>
        </is>
      </c>
      <c r="D105" s="121" t="n">
        <v>0.03625</v>
      </c>
      <c r="E105" s="121" t="n">
        <v>0.07836805555555555</v>
      </c>
      <c r="F105" s="121" t="n">
        <v>0.02798611111111111</v>
      </c>
      <c r="G105" s="121" t="n">
        <v>0.05503472222222222</v>
      </c>
      <c r="H105" s="121" t="n">
        <v>0.05630787037037037</v>
      </c>
      <c r="I105" s="121" t="n">
        <v>0.05890046296296296</v>
      </c>
      <c r="J105" s="121" t="n">
        <v>0.07530092592592592</v>
      </c>
      <c r="K105" s="121" t="n">
        <v>0.07854166666666666</v>
      </c>
      <c r="L105" s="121" t="n">
        <v>0.04962962962962963</v>
      </c>
      <c r="M105" s="121" t="n">
        <v>0.03034722222222222</v>
      </c>
      <c r="N105" s="121" t="n">
        <v>0.0984375</v>
      </c>
      <c r="O105" s="121" t="n">
        <v>0.03516203703703704</v>
      </c>
      <c r="P105" s="121" t="n">
        <v>0.06638888888888889</v>
      </c>
    </row>
    <row r="106" ht="16.15" customHeight="1" s="45">
      <c r="A106" s="96" t="n">
        <v>46303</v>
      </c>
      <c r="B106" s="97" t="inlineStr">
        <is>
          <t>Pós-Projeto</t>
        </is>
      </c>
      <c r="C106" s="109" t="inlineStr">
        <is>
          <t>Tempo Médio — 🟠 Laranja (hh:mm)</t>
        </is>
      </c>
      <c r="D106" s="122" t="n">
        <v>0.005023148148148148</v>
      </c>
      <c r="E106" s="122" t="n">
        <v>0.01018518518518519</v>
      </c>
      <c r="F106" s="122" t="n">
        <v>0.003101851851851852</v>
      </c>
      <c r="G106" s="122" t="n">
        <v>0.01009259259259259</v>
      </c>
      <c r="H106" s="122" t="n">
        <v>0.01391203703703704</v>
      </c>
      <c r="I106" s="122" t="n">
        <v>0.005972222222222223</v>
      </c>
      <c r="J106" s="122" t="n">
        <v>0.01399305555555556</v>
      </c>
      <c r="K106" s="122" t="n">
        <v>0.01799768518518519</v>
      </c>
      <c r="L106" s="122" t="n">
        <v>0.01251157407407407</v>
      </c>
      <c r="M106" s="122" t="n">
        <v>0.005729166666666666</v>
      </c>
      <c r="N106" s="122" t="n">
        <v>0.01502314814814815</v>
      </c>
      <c r="O106" s="122" t="n">
        <v>0.008784722222222222</v>
      </c>
      <c r="P106" s="122" t="n">
        <v>0.008854166666666666</v>
      </c>
    </row>
    <row r="107" ht="16.15" customHeight="1" s="45">
      <c r="A107" s="111" t="n">
        <v>46303</v>
      </c>
      <c r="B107" s="112" t="inlineStr">
        <is>
          <t>Pós-Projeto</t>
        </is>
      </c>
      <c r="C107" s="113" t="inlineStr">
        <is>
          <t>Tempo Médio — 🟢 Verde   (hh:mm)</t>
        </is>
      </c>
      <c r="D107" s="123" t="n">
        <v>0.110462962962963</v>
      </c>
      <c r="E107" s="123" t="n">
        <v>0.1066203703703704</v>
      </c>
      <c r="F107" s="123" t="n">
        <v>0.08555555555555555</v>
      </c>
      <c r="G107" s="123" t="n">
        <v>0.121412037037037</v>
      </c>
      <c r="H107" s="123" t="n">
        <v>0.08084490740740741</v>
      </c>
      <c r="I107" s="123" t="n">
        <v>0.1458912037037037</v>
      </c>
      <c r="J107" s="123" t="n">
        <v>0.1403703703703704</v>
      </c>
      <c r="K107" s="123" t="n">
        <v>0.09887731481481482</v>
      </c>
      <c r="L107" s="123" t="n">
        <v>0.05966435185185185</v>
      </c>
      <c r="M107" s="123" t="n">
        <v>0.09162037037037037</v>
      </c>
      <c r="N107" s="123" t="n">
        <v>0.08375</v>
      </c>
      <c r="O107" s="123" t="n">
        <v>0.08431712962962963</v>
      </c>
      <c r="P107" s="123" t="n">
        <v>0.07445601851851852</v>
      </c>
    </row>
    <row r="108" ht="16.15" customHeight="1" s="45">
      <c r="A108" s="92" t="n">
        <v>46304</v>
      </c>
      <c r="B108" s="93" t="inlineStr">
        <is>
          <t>Pós-Projeto</t>
        </is>
      </c>
      <c r="C108" s="94" t="inlineStr">
        <is>
          <t>Acolhim. + Atend. Urgência + Atend. UPA</t>
        </is>
      </c>
      <c r="D108" s="95">
        <f>SUM(D109:D111)</f>
        <v/>
      </c>
      <c r="E108" s="95">
        <f>SUM(E109:E111)</f>
        <v/>
      </c>
      <c r="F108" s="95">
        <f>SUM(F109:F111)</f>
        <v/>
      </c>
      <c r="G108" s="95">
        <f>SUM(G109:G111)</f>
        <v/>
      </c>
      <c r="H108" s="95">
        <f>SUM(H109:H111)</f>
        <v/>
      </c>
      <c r="I108" s="95">
        <f>SUM(I109:I111)</f>
        <v/>
      </c>
      <c r="J108" s="95">
        <f>SUM(J109:J111)</f>
        <v/>
      </c>
      <c r="K108" s="95">
        <f>SUM(K109:K111)</f>
        <v/>
      </c>
      <c r="L108" s="95">
        <f>SUM(L109:L111)</f>
        <v/>
      </c>
      <c r="M108" s="95">
        <f>SUM(M109:M111)</f>
        <v/>
      </c>
      <c r="N108" s="95">
        <f>SUM(N109:N111)</f>
        <v/>
      </c>
      <c r="O108" s="95">
        <f>SUM(O109:O111)</f>
        <v/>
      </c>
      <c r="P108" s="95">
        <f>SUM(P109:P111)</f>
        <v/>
      </c>
    </row>
    <row r="109" ht="16.15" customHeight="1" s="45">
      <c r="A109" s="96" t="n">
        <v>46304</v>
      </c>
      <c r="B109" s="97" t="inlineStr">
        <is>
          <t>Pós-Projeto</t>
        </is>
      </c>
      <c r="C109" s="98" t="inlineStr">
        <is>
          <t>Acolhimento c/ Classif. de Risco</t>
        </is>
      </c>
      <c r="D109" s="99" t="n">
        <v>220</v>
      </c>
      <c r="E109" s="99" t="n">
        <v>170</v>
      </c>
      <c r="F109" s="99" t="n">
        <v>164</v>
      </c>
      <c r="G109" s="99" t="n">
        <v>134</v>
      </c>
      <c r="H109" s="99" t="n">
        <v>121</v>
      </c>
      <c r="I109" s="99" t="n">
        <v>241</v>
      </c>
      <c r="J109" s="99" t="n">
        <v>120</v>
      </c>
      <c r="K109" s="99" t="n">
        <v>303</v>
      </c>
      <c r="L109" s="99" t="n">
        <v>127</v>
      </c>
      <c r="M109" s="99" t="n">
        <v>224</v>
      </c>
      <c r="N109" s="99" t="n">
        <v>179</v>
      </c>
      <c r="O109" s="99" t="n">
        <v>275</v>
      </c>
      <c r="P109" s="99" t="n">
        <v>238</v>
      </c>
    </row>
    <row r="110" ht="16.15" customHeight="1" s="45">
      <c r="A110" s="96" t="n">
        <v>46304</v>
      </c>
      <c r="B110" s="97" t="inlineStr">
        <is>
          <t>Pós-Projeto</t>
        </is>
      </c>
      <c r="C110" s="100" t="inlineStr">
        <is>
          <t>Atend. Urgência Obs. ≤ 24h</t>
        </is>
      </c>
      <c r="D110" s="101" t="n">
        <v>17</v>
      </c>
      <c r="E110" s="101" t="n">
        <v>26</v>
      </c>
      <c r="F110" s="101" t="n">
        <v>26</v>
      </c>
      <c r="G110" s="101" t="n">
        <v>14</v>
      </c>
      <c r="H110" s="101" t="n">
        <v>19</v>
      </c>
      <c r="I110" s="101" t="n">
        <v>20</v>
      </c>
      <c r="J110" s="101" t="n">
        <v>6</v>
      </c>
      <c r="K110" s="101" t="n">
        <v>38</v>
      </c>
      <c r="L110" s="101" t="n">
        <v>40</v>
      </c>
      <c r="M110" s="101" t="n">
        <v>21</v>
      </c>
      <c r="N110" s="101" t="n">
        <v>38</v>
      </c>
      <c r="O110" s="101" t="n">
        <v>9</v>
      </c>
      <c r="P110" s="101" t="n">
        <v>27</v>
      </c>
    </row>
    <row r="111" ht="16.15" customHeight="1" s="45">
      <c r="A111" s="96" t="n">
        <v>46304</v>
      </c>
      <c r="B111" s="97" t="inlineStr">
        <is>
          <t>Pós-Projeto</t>
        </is>
      </c>
      <c r="C111" s="98" t="inlineStr">
        <is>
          <t>Atend. Médico em UPA</t>
        </is>
      </c>
      <c r="D111" s="99" t="n">
        <v>167</v>
      </c>
      <c r="E111" s="99" t="n">
        <v>119</v>
      </c>
      <c r="F111" s="99" t="n">
        <v>121</v>
      </c>
      <c r="G111" s="99" t="n">
        <v>75</v>
      </c>
      <c r="H111" s="99" t="n">
        <v>75</v>
      </c>
      <c r="I111" s="99" t="n">
        <v>197</v>
      </c>
      <c r="J111" s="99" t="n">
        <v>87</v>
      </c>
      <c r="K111" s="99" t="n">
        <v>252</v>
      </c>
      <c r="L111" s="99" t="n">
        <v>88</v>
      </c>
      <c r="M111" s="99" t="n">
        <v>163</v>
      </c>
      <c r="N111" s="99" t="n">
        <v>116</v>
      </c>
      <c r="O111" s="99" t="n">
        <v>213</v>
      </c>
      <c r="P111" s="99" t="n">
        <v>150</v>
      </c>
    </row>
    <row r="112" ht="16.15" customHeight="1" s="45">
      <c r="A112" s="96" t="n">
        <v>46304</v>
      </c>
      <c r="B112" s="97" t="inlineStr">
        <is>
          <t>Pós-Projeto</t>
        </is>
      </c>
      <c r="C112" s="100" t="inlineStr">
        <is>
          <t>Exames Laboratoriais</t>
        </is>
      </c>
      <c r="D112" s="101" t="n">
        <v>635</v>
      </c>
      <c r="E112" s="101" t="n">
        <v>600</v>
      </c>
      <c r="F112" s="101" t="n">
        <v>570</v>
      </c>
      <c r="G112" s="101" t="n">
        <v>238</v>
      </c>
      <c r="H112" s="101" t="n">
        <v>418</v>
      </c>
      <c r="I112" s="101" t="n">
        <v>873</v>
      </c>
      <c r="J112" s="101" t="n">
        <v>323</v>
      </c>
      <c r="K112" s="101" t="n">
        <v>813</v>
      </c>
      <c r="L112" s="101" t="n">
        <v>695</v>
      </c>
      <c r="M112" s="101" t="n">
        <v>616</v>
      </c>
      <c r="N112" s="101" t="n">
        <v>509</v>
      </c>
      <c r="O112" s="101" t="n">
        <v>553</v>
      </c>
      <c r="P112" s="101" t="n">
        <v>460</v>
      </c>
    </row>
    <row r="113" ht="16.15" customHeight="1" s="45">
      <c r="A113" s="96" t="n">
        <v>46304</v>
      </c>
      <c r="B113" s="97" t="inlineStr">
        <is>
          <t>Pós-Projeto</t>
        </is>
      </c>
      <c r="C113" s="98" t="inlineStr">
        <is>
          <t>Radiografias</t>
        </is>
      </c>
      <c r="D113" s="99" t="n">
        <v>21</v>
      </c>
      <c r="E113" s="99" t="n">
        <v>11</v>
      </c>
      <c r="F113" s="99" t="n">
        <v>9</v>
      </c>
      <c r="G113" s="102" t="n">
        <v>0</v>
      </c>
      <c r="H113" s="99" t="n">
        <v>4</v>
      </c>
      <c r="I113" s="99" t="n">
        <v>35</v>
      </c>
      <c r="J113" s="99" t="n">
        <v>14</v>
      </c>
      <c r="K113" s="99" t="n">
        <v>45</v>
      </c>
      <c r="L113" s="99" t="n">
        <v>27</v>
      </c>
      <c r="M113" s="99" t="n">
        <v>32</v>
      </c>
      <c r="N113" s="99" t="n">
        <v>13</v>
      </c>
      <c r="O113" s="99" t="n">
        <v>55</v>
      </c>
      <c r="P113" s="99" t="n">
        <v>32</v>
      </c>
    </row>
    <row r="114" ht="16.15" customHeight="1" s="45">
      <c r="A114" s="96" t="n">
        <v>46304</v>
      </c>
      <c r="B114" s="97" t="inlineStr">
        <is>
          <t>Pós-Projeto</t>
        </is>
      </c>
      <c r="C114" s="100" t="inlineStr">
        <is>
          <t>Eletrocardiogramas</t>
        </is>
      </c>
      <c r="D114" s="101" t="n">
        <v>21</v>
      </c>
      <c r="E114" s="101" t="n">
        <v>7</v>
      </c>
      <c r="F114" s="101" t="n">
        <v>14</v>
      </c>
      <c r="G114" s="101" t="n">
        <v>8</v>
      </c>
      <c r="H114" s="101" t="n">
        <v>14</v>
      </c>
      <c r="I114" s="101" t="n">
        <v>18</v>
      </c>
      <c r="J114" s="102" t="n">
        <v>0</v>
      </c>
      <c r="K114" s="101" t="n">
        <v>1</v>
      </c>
      <c r="L114" s="102" t="n">
        <v>0</v>
      </c>
      <c r="M114" s="101" t="n">
        <v>11</v>
      </c>
      <c r="N114" s="101" t="n">
        <v>2</v>
      </c>
      <c r="O114" s="102" t="n">
        <v>0</v>
      </c>
      <c r="P114" s="101" t="n">
        <v>1</v>
      </c>
    </row>
    <row r="115" ht="16.15" customHeight="1" s="45">
      <c r="A115" s="96" t="n">
        <v>46304</v>
      </c>
      <c r="B115" s="97" t="inlineStr">
        <is>
          <t>Pós-Projeto</t>
        </is>
      </c>
      <c r="C115" s="103" t="inlineStr">
        <is>
          <t>GAEs Abertas</t>
        </is>
      </c>
      <c r="D115" s="104" t="n">
        <v>227</v>
      </c>
      <c r="E115" s="104" t="n">
        <v>168</v>
      </c>
      <c r="F115" s="104" t="n">
        <v>171</v>
      </c>
      <c r="G115" s="104" t="n">
        <v>159</v>
      </c>
      <c r="H115" s="104" t="n">
        <v>127</v>
      </c>
      <c r="I115" s="104" t="n">
        <v>257</v>
      </c>
      <c r="J115" s="104" t="n">
        <v>123</v>
      </c>
      <c r="K115" s="104" t="n">
        <v>316</v>
      </c>
      <c r="L115" s="104" t="n">
        <v>138</v>
      </c>
      <c r="M115" s="104" t="n">
        <v>229</v>
      </c>
      <c r="N115" s="104" t="n">
        <v>202</v>
      </c>
      <c r="O115" s="104" t="n">
        <v>286</v>
      </c>
      <c r="P115" s="104" t="n">
        <v>245</v>
      </c>
    </row>
    <row r="116" ht="16.15" customHeight="1" s="45">
      <c r="A116" s="96" t="n">
        <v>46304</v>
      </c>
      <c r="B116" s="97" t="inlineStr">
        <is>
          <t>Pós-Projeto</t>
        </is>
      </c>
      <c r="C116" s="103" t="inlineStr">
        <is>
          <t>GAEs Classificadas</t>
        </is>
      </c>
      <c r="D116" s="104" t="n">
        <v>219</v>
      </c>
      <c r="E116" s="104" t="n">
        <v>164</v>
      </c>
      <c r="F116" s="104" t="n">
        <v>165</v>
      </c>
      <c r="G116" s="104" t="n">
        <v>132</v>
      </c>
      <c r="H116" s="104" t="n">
        <v>120</v>
      </c>
      <c r="I116" s="104" t="n">
        <v>234</v>
      </c>
      <c r="J116" s="104" t="n">
        <v>119</v>
      </c>
      <c r="K116" s="104" t="n">
        <v>304</v>
      </c>
      <c r="L116" s="104" t="n">
        <v>129</v>
      </c>
      <c r="M116" s="104" t="n">
        <v>223</v>
      </c>
      <c r="N116" s="104" t="n">
        <v>178</v>
      </c>
      <c r="O116" s="104" t="n">
        <v>276</v>
      </c>
      <c r="P116" s="104" t="n">
        <v>240</v>
      </c>
    </row>
    <row r="117" ht="16.15" customHeight="1" s="45">
      <c r="A117" s="96" t="n">
        <v>46304</v>
      </c>
      <c r="B117" s="97" t="inlineStr">
        <is>
          <t>Pós-Projeto</t>
        </is>
      </c>
      <c r="C117" s="105" t="inlineStr">
        <is>
          <t>Percentual de GAEs abertas classificadas</t>
        </is>
      </c>
      <c r="D117" s="106">
        <f>IFERROR(D116/D115,"-")</f>
        <v/>
      </c>
      <c r="E117" s="106">
        <f>IFERROR(E116/E115,"-")</f>
        <v/>
      </c>
      <c r="F117" s="106">
        <f>IFERROR(F116/F115,"-")</f>
        <v/>
      </c>
      <c r="G117" s="106">
        <f>IFERROR(G116/G115,"-")</f>
        <v/>
      </c>
      <c r="H117" s="106">
        <f>IFERROR(H116/H115,"-")</f>
        <v/>
      </c>
      <c r="I117" s="106">
        <f>IFERROR(I116/I115,"-")</f>
        <v/>
      </c>
      <c r="J117" s="106">
        <f>IFERROR(J116/J115,"-")</f>
        <v/>
      </c>
      <c r="K117" s="106">
        <f>IFERROR(K116/K115,"-")</f>
        <v/>
      </c>
      <c r="L117" s="106">
        <f>IFERROR(L116/L115,"-")</f>
        <v/>
      </c>
      <c r="M117" s="106">
        <f>IFERROR(M116/M115,"-")</f>
        <v/>
      </c>
      <c r="N117" s="106">
        <f>IFERROR(N116/N115,"-")</f>
        <v/>
      </c>
      <c r="O117" s="106">
        <f>IFERROR(O116/O115,"-")</f>
        <v/>
      </c>
      <c r="P117" s="106">
        <f>IFERROR(P116/P115,"-")</f>
        <v/>
      </c>
    </row>
    <row r="118" ht="16.15" customHeight="1" s="45">
      <c r="A118" s="96" t="n">
        <v>46304</v>
      </c>
      <c r="B118" s="97" t="inlineStr">
        <is>
          <t>Pós-Projeto</t>
        </is>
      </c>
      <c r="C118" s="107" t="inlineStr">
        <is>
          <t>Tempo Médio — 🟡 Amarelo (hh:mm)</t>
        </is>
      </c>
      <c r="D118" s="121" t="n">
        <v>0.1249652777777778</v>
      </c>
      <c r="E118" s="121" t="n">
        <v>0.04222222222222222</v>
      </c>
      <c r="F118" s="121" t="n">
        <v>0.03471064814814815</v>
      </c>
      <c r="G118" s="121" t="n">
        <v>0.04016203703703704</v>
      </c>
      <c r="H118" s="121" t="n">
        <v>0.07957175925925926</v>
      </c>
      <c r="I118" s="121" t="n">
        <v>0.07271990740740741</v>
      </c>
      <c r="J118" s="121" t="n">
        <v>0.02782407407407407</v>
      </c>
      <c r="K118" s="121" t="n">
        <v>0.04956018518518519</v>
      </c>
      <c r="L118" s="121" t="n">
        <v>0.07449074074074075</v>
      </c>
      <c r="M118" s="121" t="n">
        <v>0.04144675925925926</v>
      </c>
      <c r="N118" s="121" t="n">
        <v>0.1035416666666667</v>
      </c>
      <c r="O118" s="121" t="n">
        <v>0.05712962962962963</v>
      </c>
      <c r="P118" s="121" t="n">
        <v>0.08534722222222223</v>
      </c>
    </row>
    <row r="119" ht="16.15" customHeight="1" s="45">
      <c r="A119" s="96" t="n">
        <v>46304</v>
      </c>
      <c r="B119" s="97" t="inlineStr">
        <is>
          <t>Pós-Projeto</t>
        </is>
      </c>
      <c r="C119" s="109" t="inlineStr">
        <is>
          <t>Tempo Médio — 🟠 Laranja (hh:mm)</t>
        </is>
      </c>
      <c r="D119" s="122" t="n">
        <v>0.01039351851851852</v>
      </c>
      <c r="E119" s="122" t="n">
        <v>0.007592592592592593</v>
      </c>
      <c r="F119" s="122" t="n">
        <v>0.007199074074074074</v>
      </c>
      <c r="G119" s="122" t="n">
        <v>0.004178240740740741</v>
      </c>
      <c r="H119" s="122" t="n">
        <v>0.004201388888888889</v>
      </c>
      <c r="I119" s="122" t="n">
        <v>0.007800925925925926</v>
      </c>
      <c r="J119" s="122" t="n">
        <v>0.005752314814814815</v>
      </c>
      <c r="K119" s="122" t="n">
        <v>0.01405092592592593</v>
      </c>
      <c r="L119" s="122" t="n">
        <v>0.01153935185185185</v>
      </c>
      <c r="M119" s="122" t="n">
        <v>0.01070601851851852</v>
      </c>
      <c r="N119" s="122" t="n">
        <v>0.0253587962962963</v>
      </c>
      <c r="O119" s="122" t="n">
        <v>0.008576388888888889</v>
      </c>
      <c r="P119" s="122" t="n">
        <v>0.01444444444444444</v>
      </c>
    </row>
    <row r="120" ht="16.15" customHeight="1" s="45">
      <c r="A120" s="111" t="n">
        <v>46304</v>
      </c>
      <c r="B120" s="112" t="inlineStr">
        <is>
          <t>Pós-Projeto</t>
        </is>
      </c>
      <c r="C120" s="113" t="inlineStr">
        <is>
          <t>Tempo Médio — 🟢 Verde   (hh:mm)</t>
        </is>
      </c>
      <c r="D120" s="123" t="n">
        <v>0.1348726851851852</v>
      </c>
      <c r="E120" s="123" t="n">
        <v>0.08443287037037037</v>
      </c>
      <c r="F120" s="123" t="n">
        <v>0.09650462962962963</v>
      </c>
      <c r="G120" s="123" t="n">
        <v>0.09004629629629629</v>
      </c>
      <c r="H120" s="123" t="n">
        <v>0.06296296296296296</v>
      </c>
      <c r="I120" s="123" t="n">
        <v>0.112650462962963</v>
      </c>
      <c r="J120" s="123" t="n">
        <v>0.06587962962962964</v>
      </c>
      <c r="K120" s="123" t="n">
        <v>0.07186342592592593</v>
      </c>
      <c r="L120" s="123" t="n">
        <v>0.1159722222222222</v>
      </c>
      <c r="M120" s="123" t="n">
        <v>0.06259259259259259</v>
      </c>
      <c r="N120" s="123" t="n">
        <v>0.07320601851851852</v>
      </c>
      <c r="O120" s="123" t="n">
        <v>0.08687499999999999</v>
      </c>
      <c r="P120" s="123" t="n">
        <v>0.08001157407407407</v>
      </c>
    </row>
    <row r="121" ht="16.15" customHeight="1" s="45">
      <c r="A121" s="92" t="n">
        <v>46305</v>
      </c>
      <c r="B121" s="93" t="inlineStr">
        <is>
          <t>Pós-Projeto</t>
        </is>
      </c>
      <c r="C121" s="94" t="inlineStr">
        <is>
          <t>Acolhim. + Atend. Urgência + Atend. UPA</t>
        </is>
      </c>
      <c r="D121" s="95">
        <f>SUM(D122:D124)</f>
        <v/>
      </c>
      <c r="E121" s="95">
        <f>SUM(E122:E124)</f>
        <v/>
      </c>
      <c r="F121" s="95">
        <f>SUM(F122:F124)</f>
        <v/>
      </c>
      <c r="G121" s="95">
        <f>SUM(G122:G124)</f>
        <v/>
      </c>
      <c r="H121" s="95">
        <f>SUM(H122:H124)</f>
        <v/>
      </c>
      <c r="I121" s="95">
        <f>SUM(I122:I124)</f>
        <v/>
      </c>
      <c r="J121" s="95">
        <f>SUM(J122:J124)</f>
        <v/>
      </c>
      <c r="K121" s="95">
        <f>SUM(K122:K124)</f>
        <v/>
      </c>
      <c r="L121" s="95">
        <f>SUM(L122:L124)</f>
        <v/>
      </c>
      <c r="M121" s="95">
        <f>SUM(M122:M124)</f>
        <v/>
      </c>
      <c r="N121" s="95">
        <f>SUM(N122:N124)</f>
        <v/>
      </c>
      <c r="O121" s="95">
        <f>SUM(O122:O124)</f>
        <v/>
      </c>
      <c r="P121" s="95">
        <f>SUM(P122:P124)</f>
        <v/>
      </c>
    </row>
    <row r="122" ht="16.15" customHeight="1" s="45">
      <c r="A122" s="96" t="n">
        <v>46305</v>
      </c>
      <c r="B122" s="97" t="inlineStr">
        <is>
          <t>Pós-Projeto</t>
        </is>
      </c>
      <c r="C122" s="100" t="inlineStr">
        <is>
          <t>Acolhimento c/ Classif. de Risco</t>
        </is>
      </c>
      <c r="D122" s="101" t="n">
        <v>153</v>
      </c>
      <c r="E122" s="101" t="n">
        <v>130</v>
      </c>
      <c r="F122" s="101" t="n">
        <v>151</v>
      </c>
      <c r="G122" s="101" t="n">
        <v>127</v>
      </c>
      <c r="H122" s="101" t="n">
        <v>121</v>
      </c>
      <c r="I122" s="101" t="n">
        <v>192</v>
      </c>
      <c r="J122" s="101" t="n">
        <v>86</v>
      </c>
      <c r="K122" s="101" t="n">
        <v>252</v>
      </c>
      <c r="L122" s="101" t="n">
        <v>135</v>
      </c>
      <c r="M122" s="101" t="n">
        <v>200</v>
      </c>
      <c r="N122" s="101" t="n">
        <v>198</v>
      </c>
      <c r="O122" s="101" t="n">
        <v>230</v>
      </c>
      <c r="P122" s="101" t="n">
        <v>216</v>
      </c>
    </row>
    <row r="123" ht="16.15" customHeight="1" s="45">
      <c r="A123" s="96" t="n">
        <v>46305</v>
      </c>
      <c r="B123" s="97" t="inlineStr">
        <is>
          <t>Pós-Projeto</t>
        </is>
      </c>
      <c r="C123" s="98" t="inlineStr">
        <is>
          <t>Atend. Urgência Obs. ≤ 24h</t>
        </is>
      </c>
      <c r="D123" s="99" t="n">
        <v>22</v>
      </c>
      <c r="E123" s="99" t="n">
        <v>36</v>
      </c>
      <c r="F123" s="99" t="n">
        <v>16</v>
      </c>
      <c r="G123" s="99" t="n">
        <v>13</v>
      </c>
      <c r="H123" s="99" t="n">
        <v>7</v>
      </c>
      <c r="I123" s="99" t="n">
        <v>19</v>
      </c>
      <c r="J123" s="99" t="n">
        <v>41</v>
      </c>
      <c r="K123" s="99" t="n">
        <v>42</v>
      </c>
      <c r="L123" s="99" t="n">
        <v>41</v>
      </c>
      <c r="M123" s="99" t="n">
        <v>14</v>
      </c>
      <c r="N123" s="99" t="n">
        <v>20</v>
      </c>
      <c r="O123" s="99" t="n">
        <v>7</v>
      </c>
      <c r="P123" s="99" t="n">
        <v>16</v>
      </c>
    </row>
    <row r="124" ht="16.15" customHeight="1" s="45">
      <c r="A124" s="96" t="n">
        <v>46305</v>
      </c>
      <c r="B124" s="97" t="inlineStr">
        <is>
          <t>Pós-Projeto</t>
        </is>
      </c>
      <c r="C124" s="100" t="inlineStr">
        <is>
          <t>Atend. Médico em UPA</t>
        </is>
      </c>
      <c r="D124" s="101" t="n">
        <v>146</v>
      </c>
      <c r="E124" s="101" t="n">
        <v>70</v>
      </c>
      <c r="F124" s="101" t="n">
        <v>107</v>
      </c>
      <c r="G124" s="101" t="n">
        <v>55</v>
      </c>
      <c r="H124" s="101" t="n">
        <v>59</v>
      </c>
      <c r="I124" s="101" t="n">
        <v>169</v>
      </c>
      <c r="J124" s="101" t="n">
        <v>54</v>
      </c>
      <c r="K124" s="101" t="n">
        <v>189</v>
      </c>
      <c r="L124" s="101" t="n">
        <v>97</v>
      </c>
      <c r="M124" s="101" t="n">
        <v>100</v>
      </c>
      <c r="N124" s="101" t="n">
        <v>119</v>
      </c>
      <c r="O124" s="101" t="n">
        <v>189</v>
      </c>
      <c r="P124" s="101" t="n">
        <v>142</v>
      </c>
    </row>
    <row r="125" ht="16.15" customHeight="1" s="45">
      <c r="A125" s="96" t="n">
        <v>46305</v>
      </c>
      <c r="B125" s="97" t="inlineStr">
        <is>
          <t>Pós-Projeto</t>
        </is>
      </c>
      <c r="C125" s="98" t="inlineStr">
        <is>
          <t>Exames Laboratoriais</t>
        </is>
      </c>
      <c r="D125" s="99" t="n">
        <v>532</v>
      </c>
      <c r="E125" s="99" t="n">
        <v>471</v>
      </c>
      <c r="F125" s="99" t="n">
        <v>423</v>
      </c>
      <c r="G125" s="99" t="n">
        <v>200</v>
      </c>
      <c r="H125" s="99" t="n">
        <v>353</v>
      </c>
      <c r="I125" s="99" t="n">
        <v>608</v>
      </c>
      <c r="J125" s="99" t="n">
        <v>286</v>
      </c>
      <c r="K125" s="99" t="n">
        <v>832</v>
      </c>
      <c r="L125" s="99" t="n">
        <v>633</v>
      </c>
      <c r="M125" s="99" t="n">
        <v>631</v>
      </c>
      <c r="N125" s="99" t="n">
        <v>294</v>
      </c>
      <c r="O125" s="99" t="n">
        <v>433</v>
      </c>
      <c r="P125" s="99" t="n">
        <v>550</v>
      </c>
    </row>
    <row r="126" ht="16.15" customHeight="1" s="45">
      <c r="A126" s="96" t="n">
        <v>46305</v>
      </c>
      <c r="B126" s="97" t="inlineStr">
        <is>
          <t>Pós-Projeto</t>
        </is>
      </c>
      <c r="C126" s="100" t="inlineStr">
        <is>
          <t>Radiografias</t>
        </is>
      </c>
      <c r="D126" s="101" t="n">
        <v>21</v>
      </c>
      <c r="E126" s="101" t="n">
        <v>7</v>
      </c>
      <c r="F126" s="101" t="n">
        <v>18</v>
      </c>
      <c r="G126" s="102" t="n">
        <v>0</v>
      </c>
      <c r="H126" s="101" t="n">
        <v>9</v>
      </c>
      <c r="I126" s="101" t="n">
        <v>17</v>
      </c>
      <c r="J126" s="101" t="n">
        <v>14</v>
      </c>
      <c r="K126" s="101" t="n">
        <v>42</v>
      </c>
      <c r="L126" s="101" t="n">
        <v>17</v>
      </c>
      <c r="M126" s="101" t="n">
        <v>27</v>
      </c>
      <c r="N126" s="101" t="n">
        <v>11</v>
      </c>
      <c r="O126" s="101" t="n">
        <v>35</v>
      </c>
      <c r="P126" s="101" t="n">
        <v>48</v>
      </c>
    </row>
    <row r="127" ht="16.15" customHeight="1" s="45">
      <c r="A127" s="96" t="n">
        <v>46305</v>
      </c>
      <c r="B127" s="97" t="inlineStr">
        <is>
          <t>Pós-Projeto</t>
        </is>
      </c>
      <c r="C127" s="98" t="inlineStr">
        <is>
          <t>Eletrocardiogramas</t>
        </is>
      </c>
      <c r="D127" s="99" t="n">
        <v>9</v>
      </c>
      <c r="E127" s="99" t="n">
        <v>8</v>
      </c>
      <c r="F127" s="99" t="n">
        <v>16</v>
      </c>
      <c r="G127" s="99" t="n">
        <v>9</v>
      </c>
      <c r="H127" s="99" t="n">
        <v>11</v>
      </c>
      <c r="I127" s="99" t="n">
        <v>17</v>
      </c>
      <c r="J127" s="102" t="n">
        <v>0</v>
      </c>
      <c r="K127" s="102" t="n">
        <v>0</v>
      </c>
      <c r="L127" s="102" t="n">
        <v>0</v>
      </c>
      <c r="M127" s="102" t="n">
        <v>0</v>
      </c>
      <c r="N127" s="99" t="n">
        <v>6</v>
      </c>
      <c r="O127" s="102" t="n">
        <v>0</v>
      </c>
      <c r="P127" s="102" t="n">
        <v>0</v>
      </c>
    </row>
    <row r="128" ht="16.15" customHeight="1" s="45">
      <c r="A128" s="96" t="n">
        <v>46305</v>
      </c>
      <c r="B128" s="97" t="inlineStr">
        <is>
          <t>Pós-Projeto</t>
        </is>
      </c>
      <c r="C128" s="103" t="inlineStr">
        <is>
          <t>GAEs Abertas</t>
        </is>
      </c>
      <c r="D128" s="104" t="n">
        <v>157</v>
      </c>
      <c r="E128" s="104" t="n">
        <v>132</v>
      </c>
      <c r="F128" s="104" t="n">
        <v>155</v>
      </c>
      <c r="G128" s="104" t="n">
        <v>134</v>
      </c>
      <c r="H128" s="104" t="n">
        <v>128</v>
      </c>
      <c r="I128" s="104" t="n">
        <v>203</v>
      </c>
      <c r="J128" s="104" t="n">
        <v>92</v>
      </c>
      <c r="K128" s="104" t="n">
        <v>263</v>
      </c>
      <c r="L128" s="104" t="n">
        <v>136</v>
      </c>
      <c r="M128" s="104" t="n">
        <v>219</v>
      </c>
      <c r="N128" s="104" t="n">
        <v>205</v>
      </c>
      <c r="O128" s="104" t="n">
        <v>245</v>
      </c>
      <c r="P128" s="104" t="n">
        <v>225</v>
      </c>
    </row>
    <row r="129" ht="16.15" customHeight="1" s="45">
      <c r="A129" s="96" t="n">
        <v>46305</v>
      </c>
      <c r="B129" s="97" t="inlineStr">
        <is>
          <t>Pós-Projeto</t>
        </is>
      </c>
      <c r="C129" s="103" t="inlineStr">
        <is>
          <t>GAEs Classificadas</t>
        </is>
      </c>
      <c r="D129" s="104" t="n">
        <v>154</v>
      </c>
      <c r="E129" s="104" t="n">
        <v>131</v>
      </c>
      <c r="F129" s="104" t="n">
        <v>151</v>
      </c>
      <c r="G129" s="104" t="n">
        <v>125</v>
      </c>
      <c r="H129" s="104" t="n">
        <v>123</v>
      </c>
      <c r="I129" s="104" t="n">
        <v>190</v>
      </c>
      <c r="J129" s="104" t="n">
        <v>86</v>
      </c>
      <c r="K129" s="104" t="n">
        <v>253</v>
      </c>
      <c r="L129" s="104" t="n">
        <v>132</v>
      </c>
      <c r="M129" s="104" t="n">
        <v>204</v>
      </c>
      <c r="N129" s="104" t="n">
        <v>198</v>
      </c>
      <c r="O129" s="104" t="n">
        <v>230</v>
      </c>
      <c r="P129" s="104" t="n">
        <v>215</v>
      </c>
    </row>
    <row r="130" ht="16.15" customHeight="1" s="45">
      <c r="A130" s="96" t="n">
        <v>46305</v>
      </c>
      <c r="B130" s="97" t="inlineStr">
        <is>
          <t>Pós-Projeto</t>
        </is>
      </c>
      <c r="C130" s="105" t="inlineStr">
        <is>
          <t>Percentual de GAEs abertas classificadas</t>
        </is>
      </c>
      <c r="D130" s="106">
        <f>IFERROR(D129/D128,"-")</f>
        <v/>
      </c>
      <c r="E130" s="106">
        <f>IFERROR(E129/E128,"-")</f>
        <v/>
      </c>
      <c r="F130" s="106">
        <f>IFERROR(F129/F128,"-")</f>
        <v/>
      </c>
      <c r="G130" s="106">
        <f>IFERROR(G129/G128,"-")</f>
        <v/>
      </c>
      <c r="H130" s="106">
        <f>IFERROR(H129/H128,"-")</f>
        <v/>
      </c>
      <c r="I130" s="106">
        <f>IFERROR(I129/I128,"-")</f>
        <v/>
      </c>
      <c r="J130" s="106">
        <f>IFERROR(J129/J128,"-")</f>
        <v/>
      </c>
      <c r="K130" s="106">
        <f>IFERROR(K129/K128,"-")</f>
        <v/>
      </c>
      <c r="L130" s="106">
        <f>IFERROR(L129/L128,"-")</f>
        <v/>
      </c>
      <c r="M130" s="106">
        <f>IFERROR(M129/M128,"-")</f>
        <v/>
      </c>
      <c r="N130" s="106">
        <f>IFERROR(N129/N128,"-")</f>
        <v/>
      </c>
      <c r="O130" s="106">
        <f>IFERROR(O129/O128,"-")</f>
        <v/>
      </c>
      <c r="P130" s="106">
        <f>IFERROR(P129/P128,"-")</f>
        <v/>
      </c>
    </row>
    <row r="131" ht="16.15" customHeight="1" s="45">
      <c r="A131" s="96" t="n">
        <v>46305</v>
      </c>
      <c r="B131" s="97" t="inlineStr">
        <is>
          <t>Pós-Projeto</t>
        </is>
      </c>
      <c r="C131" s="107" t="inlineStr">
        <is>
          <t>Tempo Médio — 🟡 Amarelo (hh:mm)</t>
        </is>
      </c>
      <c r="D131" s="121" t="n">
        <v>0.04274305555555555</v>
      </c>
      <c r="E131" s="121" t="n">
        <v>0.1065972222222222</v>
      </c>
      <c r="F131" s="121" t="n">
        <v>0.07679398148148148</v>
      </c>
      <c r="G131" s="121" t="n">
        <v>0.09810185185185186</v>
      </c>
      <c r="H131" s="121" t="n">
        <v>0.0515625</v>
      </c>
      <c r="I131" s="121" t="n">
        <v>0.08665509259259259</v>
      </c>
      <c r="J131" s="121" t="n">
        <v>0.1472916666666667</v>
      </c>
      <c r="K131" s="121" t="n">
        <v>0.06804398148148148</v>
      </c>
      <c r="L131" s="121" t="n">
        <v>0.07993055555555556</v>
      </c>
      <c r="M131" s="121" t="n">
        <v>0.02425925925925926</v>
      </c>
      <c r="N131" s="121" t="n">
        <v>0.06686342592592592</v>
      </c>
      <c r="O131" s="121" t="n">
        <v>0.02548611111111111</v>
      </c>
      <c r="P131" s="121" t="n">
        <v>0.01822916666666667</v>
      </c>
    </row>
    <row r="132" ht="16.15" customHeight="1" s="45">
      <c r="A132" s="96" t="n">
        <v>46305</v>
      </c>
      <c r="B132" s="97" t="inlineStr">
        <is>
          <t>Pós-Projeto</t>
        </is>
      </c>
      <c r="C132" s="109" t="inlineStr">
        <is>
          <t>Tempo Médio — 🟠 Laranja (hh:mm)</t>
        </is>
      </c>
      <c r="D132" s="122" t="n">
        <v>0.008726851851851852</v>
      </c>
      <c r="E132" s="122" t="n">
        <v>0.01266203703703704</v>
      </c>
      <c r="F132" s="122" t="n">
        <v>0.005636574074074074</v>
      </c>
      <c r="G132" s="122" t="n">
        <v>0.01625</v>
      </c>
      <c r="H132" s="122" t="n">
        <v>0.006041666666666667</v>
      </c>
      <c r="I132" s="122" t="n">
        <v>0.01065972222222222</v>
      </c>
      <c r="J132" s="122" t="n">
        <v>0.02834490740740741</v>
      </c>
      <c r="K132" s="122" t="n">
        <v>0.01287037037037037</v>
      </c>
      <c r="L132" s="122" t="n">
        <v>0.009467592592592593</v>
      </c>
      <c r="M132" s="122" t="n">
        <v>0.01039351851851852</v>
      </c>
      <c r="N132" s="122" t="n">
        <v>0.01806712962962963</v>
      </c>
      <c r="O132" s="122" t="n">
        <v>0.01100694444444444</v>
      </c>
      <c r="P132" s="122" t="n">
        <v>0.004456018518518519</v>
      </c>
    </row>
    <row r="133" ht="16.15" customHeight="1" s="45">
      <c r="A133" s="111" t="n">
        <v>46305</v>
      </c>
      <c r="B133" s="112" t="inlineStr">
        <is>
          <t>Pós-Projeto</t>
        </is>
      </c>
      <c r="C133" s="113" t="inlineStr">
        <is>
          <t>Tempo Médio — 🟢 Verde   (hh:mm)</t>
        </is>
      </c>
      <c r="D133" s="123" t="n">
        <v>0.08402777777777778</v>
      </c>
      <c r="E133" s="123" t="n">
        <v>0.0783449074074074</v>
      </c>
      <c r="F133" s="123" t="n">
        <v>0.1262268518518518</v>
      </c>
      <c r="G133" s="123" t="n">
        <v>0.1336574074074074</v>
      </c>
      <c r="H133" s="123" t="n">
        <v>0.08027777777777778</v>
      </c>
      <c r="I133" s="123" t="n">
        <v>0.09858796296296296</v>
      </c>
      <c r="J133" s="123" t="n">
        <v>0.1194791666666667</v>
      </c>
      <c r="K133" s="123" t="n">
        <v>0.108287037037037</v>
      </c>
      <c r="L133" s="123" t="n">
        <v>0.04121527777777778</v>
      </c>
      <c r="M133" s="123" t="n">
        <v>0.06648148148148147</v>
      </c>
      <c r="N133" s="123" t="n">
        <v>0.07017361111111112</v>
      </c>
      <c r="O133" s="123" t="n">
        <v>0.07483796296296297</v>
      </c>
      <c r="P133" s="123" t="n">
        <v>0.03652777777777778</v>
      </c>
    </row>
    <row r="134" ht="16.15" customHeight="1" s="45">
      <c r="A134" s="92" t="n">
        <v>46306</v>
      </c>
      <c r="B134" s="93" t="inlineStr">
        <is>
          <t>Pós-Projeto</t>
        </is>
      </c>
      <c r="C134" s="94" t="inlineStr">
        <is>
          <t>Acolhim. + Atend. Urgência + Atend. UPA</t>
        </is>
      </c>
      <c r="D134" s="95">
        <f>SUM(D135:D137)</f>
        <v/>
      </c>
      <c r="E134" s="95">
        <f>SUM(E135:E137)</f>
        <v/>
      </c>
      <c r="F134" s="95">
        <f>SUM(F135:F137)</f>
        <v/>
      </c>
      <c r="G134" s="95">
        <f>SUM(G135:G137)</f>
        <v/>
      </c>
      <c r="H134" s="95">
        <f>SUM(H135:H137)</f>
        <v/>
      </c>
      <c r="I134" s="95">
        <f>SUM(I135:I137)</f>
        <v/>
      </c>
      <c r="J134" s="95">
        <f>SUM(J135:J137)</f>
        <v/>
      </c>
      <c r="K134" s="95">
        <f>SUM(K135:K137)</f>
        <v/>
      </c>
      <c r="L134" s="95">
        <f>SUM(L135:L137)</f>
        <v/>
      </c>
      <c r="M134" s="95">
        <f>SUM(M135:M137)</f>
        <v/>
      </c>
      <c r="N134" s="95">
        <f>SUM(N135:N137)</f>
        <v/>
      </c>
      <c r="O134" s="95">
        <f>SUM(O135:O137)</f>
        <v/>
      </c>
      <c r="P134" s="95">
        <f>SUM(P135:P137)</f>
        <v/>
      </c>
    </row>
    <row r="135" ht="16.15" customHeight="1" s="45">
      <c r="A135" s="96" t="n">
        <v>46306</v>
      </c>
      <c r="B135" s="97" t="inlineStr">
        <is>
          <t>Pós-Projeto</t>
        </is>
      </c>
      <c r="C135" s="98" t="inlineStr">
        <is>
          <t>Acolhimento c/ Classif. de Risco</t>
        </is>
      </c>
      <c r="D135" s="99" t="n">
        <v>183</v>
      </c>
      <c r="E135" s="99" t="n">
        <v>124</v>
      </c>
      <c r="F135" s="99" t="n">
        <v>148</v>
      </c>
      <c r="G135" s="99" t="n">
        <v>88</v>
      </c>
      <c r="H135" s="99" t="n">
        <v>151</v>
      </c>
      <c r="I135" s="99" t="n">
        <v>177</v>
      </c>
      <c r="J135" s="99" t="n">
        <v>69</v>
      </c>
      <c r="K135" s="99" t="n">
        <v>222</v>
      </c>
      <c r="L135" s="99" t="n">
        <v>112</v>
      </c>
      <c r="M135" s="99" t="n">
        <v>202</v>
      </c>
      <c r="N135" s="99" t="n">
        <v>161</v>
      </c>
      <c r="O135" s="99" t="n">
        <v>243</v>
      </c>
      <c r="P135" s="99" t="n">
        <v>194</v>
      </c>
    </row>
    <row r="136" ht="16.15" customHeight="1" s="45">
      <c r="A136" s="96" t="n">
        <v>46306</v>
      </c>
      <c r="B136" s="97" t="inlineStr">
        <is>
          <t>Pós-Projeto</t>
        </is>
      </c>
      <c r="C136" s="100" t="inlineStr">
        <is>
          <t>Atend. Urgência Obs. ≤ 24h</t>
        </is>
      </c>
      <c r="D136" s="101" t="n">
        <v>11</v>
      </c>
      <c r="E136" s="101" t="n">
        <v>35</v>
      </c>
      <c r="F136" s="101" t="n">
        <v>19</v>
      </c>
      <c r="G136" s="101" t="n">
        <v>23</v>
      </c>
      <c r="H136" s="101" t="n">
        <v>14</v>
      </c>
      <c r="I136" s="101" t="n">
        <v>23</v>
      </c>
      <c r="J136" s="101" t="n">
        <v>27</v>
      </c>
      <c r="K136" s="101" t="n">
        <v>51</v>
      </c>
      <c r="L136" s="101" t="n">
        <v>43</v>
      </c>
      <c r="M136" s="101" t="n">
        <v>42</v>
      </c>
      <c r="N136" s="101" t="n">
        <v>30</v>
      </c>
      <c r="O136" s="101" t="n">
        <v>3</v>
      </c>
      <c r="P136" s="101" t="n">
        <v>18</v>
      </c>
    </row>
    <row r="137" ht="16.15" customHeight="1" s="45">
      <c r="A137" s="96" t="n">
        <v>46306</v>
      </c>
      <c r="B137" s="97" t="inlineStr">
        <is>
          <t>Pós-Projeto</t>
        </is>
      </c>
      <c r="C137" s="98" t="inlineStr">
        <is>
          <t>Atend. Médico em UPA</t>
        </is>
      </c>
      <c r="D137" s="99" t="n">
        <v>154</v>
      </c>
      <c r="E137" s="99" t="n">
        <v>74</v>
      </c>
      <c r="F137" s="99" t="n">
        <v>107</v>
      </c>
      <c r="G137" s="99" t="n">
        <v>70</v>
      </c>
      <c r="H137" s="99" t="n">
        <v>68</v>
      </c>
      <c r="I137" s="99" t="n">
        <v>160</v>
      </c>
      <c r="J137" s="99" t="n">
        <v>46</v>
      </c>
      <c r="K137" s="99" t="n">
        <v>168</v>
      </c>
      <c r="L137" s="99" t="n">
        <v>90</v>
      </c>
      <c r="M137" s="99" t="n">
        <v>123</v>
      </c>
      <c r="N137" s="99" t="n">
        <v>116</v>
      </c>
      <c r="O137" s="99" t="n">
        <v>140</v>
      </c>
      <c r="P137" s="99" t="n">
        <v>96</v>
      </c>
    </row>
    <row r="138" ht="16.15" customHeight="1" s="45">
      <c r="A138" s="96" t="n">
        <v>46306</v>
      </c>
      <c r="B138" s="97" t="inlineStr">
        <is>
          <t>Pós-Projeto</t>
        </is>
      </c>
      <c r="C138" s="100" t="inlineStr">
        <is>
          <t>Exames Laboratoriais</t>
        </is>
      </c>
      <c r="D138" s="101" t="n">
        <v>509</v>
      </c>
      <c r="E138" s="101" t="n">
        <v>391</v>
      </c>
      <c r="F138" s="101" t="n">
        <v>499</v>
      </c>
      <c r="G138" s="101" t="n">
        <v>423</v>
      </c>
      <c r="H138" s="101" t="n">
        <v>520</v>
      </c>
      <c r="I138" s="101" t="n">
        <v>634</v>
      </c>
      <c r="J138" s="101" t="n">
        <v>197</v>
      </c>
      <c r="K138" s="101" t="n">
        <v>819</v>
      </c>
      <c r="L138" s="101" t="n">
        <v>659</v>
      </c>
      <c r="M138" s="101" t="n">
        <v>587</v>
      </c>
      <c r="N138" s="101" t="n">
        <v>395</v>
      </c>
      <c r="O138" s="101" t="n">
        <v>431</v>
      </c>
      <c r="P138" s="101" t="n">
        <v>220</v>
      </c>
    </row>
    <row r="139" ht="16.15" customHeight="1" s="45">
      <c r="A139" s="96" t="n">
        <v>46306</v>
      </c>
      <c r="B139" s="97" t="inlineStr">
        <is>
          <t>Pós-Projeto</t>
        </is>
      </c>
      <c r="C139" s="98" t="inlineStr">
        <is>
          <t>Radiografias</t>
        </is>
      </c>
      <c r="D139" s="99" t="n">
        <v>15</v>
      </c>
      <c r="E139" s="99" t="n">
        <v>7</v>
      </c>
      <c r="F139" s="99" t="n">
        <v>11</v>
      </c>
      <c r="G139" s="102" t="n">
        <v>0</v>
      </c>
      <c r="H139" s="99" t="n">
        <v>24</v>
      </c>
      <c r="I139" s="99" t="n">
        <v>27</v>
      </c>
      <c r="J139" s="99" t="n">
        <v>7</v>
      </c>
      <c r="K139" s="99" t="n">
        <v>28</v>
      </c>
      <c r="L139" s="99" t="n">
        <v>13</v>
      </c>
      <c r="M139" s="102" t="n">
        <v>0</v>
      </c>
      <c r="N139" s="99" t="n">
        <v>12</v>
      </c>
      <c r="O139" s="99" t="n">
        <v>21</v>
      </c>
      <c r="P139" s="99" t="n">
        <v>32</v>
      </c>
    </row>
    <row r="140" ht="16.15" customHeight="1" s="45">
      <c r="A140" s="96" t="n">
        <v>46306</v>
      </c>
      <c r="B140" s="97" t="inlineStr">
        <is>
          <t>Pós-Projeto</t>
        </is>
      </c>
      <c r="C140" s="100" t="inlineStr">
        <is>
          <t>Eletrocardiogramas</t>
        </is>
      </c>
      <c r="D140" s="101" t="n">
        <v>16</v>
      </c>
      <c r="E140" s="101" t="n">
        <v>5</v>
      </c>
      <c r="F140" s="101" t="n">
        <v>17</v>
      </c>
      <c r="G140" s="101" t="n">
        <v>10</v>
      </c>
      <c r="H140" s="101" t="n">
        <v>10</v>
      </c>
      <c r="I140" s="101" t="n">
        <v>7</v>
      </c>
      <c r="J140" s="102" t="n">
        <v>0</v>
      </c>
      <c r="K140" s="102" t="n">
        <v>0</v>
      </c>
      <c r="L140" s="102" t="n">
        <v>0</v>
      </c>
      <c r="M140" s="102" t="n">
        <v>0</v>
      </c>
      <c r="N140" s="101" t="n">
        <v>3</v>
      </c>
      <c r="O140" s="102" t="n">
        <v>0</v>
      </c>
      <c r="P140" s="102" t="n">
        <v>0</v>
      </c>
    </row>
    <row r="141" ht="16.15" customHeight="1" s="45">
      <c r="A141" s="96" t="n">
        <v>46306</v>
      </c>
      <c r="B141" s="97" t="inlineStr">
        <is>
          <t>Pós-Projeto</t>
        </is>
      </c>
      <c r="C141" s="103" t="inlineStr">
        <is>
          <t>GAEs Abertas</t>
        </is>
      </c>
      <c r="D141" s="104" t="n">
        <v>190</v>
      </c>
      <c r="E141" s="104" t="n">
        <v>129</v>
      </c>
      <c r="F141" s="104" t="n">
        <v>154</v>
      </c>
      <c r="G141" s="104" t="n">
        <v>91</v>
      </c>
      <c r="H141" s="104" t="n">
        <v>151</v>
      </c>
      <c r="I141" s="104" t="n">
        <v>184</v>
      </c>
      <c r="J141" s="104" t="n">
        <v>71</v>
      </c>
      <c r="K141" s="104" t="n">
        <v>255</v>
      </c>
      <c r="L141" s="104" t="n">
        <v>122</v>
      </c>
      <c r="M141" s="104" t="n">
        <v>201</v>
      </c>
      <c r="N141" s="104" t="n">
        <v>172</v>
      </c>
      <c r="O141" s="104" t="n">
        <v>245</v>
      </c>
      <c r="P141" s="104" t="n">
        <v>199</v>
      </c>
    </row>
    <row r="142" ht="16.15" customHeight="1" s="45">
      <c r="A142" s="96" t="n">
        <v>46306</v>
      </c>
      <c r="B142" s="97" t="inlineStr">
        <is>
          <t>Pós-Projeto</t>
        </is>
      </c>
      <c r="C142" s="103" t="inlineStr">
        <is>
          <t>GAEs Classificadas</t>
        </is>
      </c>
      <c r="D142" s="104" t="n">
        <v>183</v>
      </c>
      <c r="E142" s="104" t="n">
        <v>124</v>
      </c>
      <c r="F142" s="104" t="n">
        <v>147</v>
      </c>
      <c r="G142" s="104" t="n">
        <v>88</v>
      </c>
      <c r="H142" s="104" t="n">
        <v>148</v>
      </c>
      <c r="I142" s="104" t="n">
        <v>175</v>
      </c>
      <c r="J142" s="104" t="n">
        <v>70</v>
      </c>
      <c r="K142" s="104" t="n">
        <v>223</v>
      </c>
      <c r="L142" s="104" t="n">
        <v>112</v>
      </c>
      <c r="M142" s="104" t="n">
        <v>197</v>
      </c>
      <c r="N142" s="104" t="n">
        <v>162</v>
      </c>
      <c r="O142" s="104" t="n">
        <v>242</v>
      </c>
      <c r="P142" s="104" t="n">
        <v>194</v>
      </c>
    </row>
    <row r="143" ht="16.15" customHeight="1" s="45">
      <c r="A143" s="96" t="n">
        <v>46306</v>
      </c>
      <c r="B143" s="97" t="inlineStr">
        <is>
          <t>Pós-Projeto</t>
        </is>
      </c>
      <c r="C143" s="105" t="inlineStr">
        <is>
          <t>Percentual de GAEs abertas classificadas</t>
        </is>
      </c>
      <c r="D143" s="106">
        <f>IFERROR(D142/D141,"-")</f>
        <v/>
      </c>
      <c r="E143" s="106">
        <f>IFERROR(E142/E141,"-")</f>
        <v/>
      </c>
      <c r="F143" s="106">
        <f>IFERROR(F142/F141,"-")</f>
        <v/>
      </c>
      <c r="G143" s="106">
        <f>IFERROR(G142/G141,"-")</f>
        <v/>
      </c>
      <c r="H143" s="106">
        <f>IFERROR(H142/H141,"-")</f>
        <v/>
      </c>
      <c r="I143" s="106">
        <f>IFERROR(I142/I141,"-")</f>
        <v/>
      </c>
      <c r="J143" s="106">
        <f>IFERROR(J142/J141,"-")</f>
        <v/>
      </c>
      <c r="K143" s="106">
        <f>IFERROR(K142/K141,"-")</f>
        <v/>
      </c>
      <c r="L143" s="106">
        <f>IFERROR(L142/L141,"-")</f>
        <v/>
      </c>
      <c r="M143" s="106">
        <f>IFERROR(M142/M141,"-")</f>
        <v/>
      </c>
      <c r="N143" s="106">
        <f>IFERROR(N142/N141,"-")</f>
        <v/>
      </c>
      <c r="O143" s="106">
        <f>IFERROR(O142/O141,"-")</f>
        <v/>
      </c>
      <c r="P143" s="106">
        <f>IFERROR(P142/P141,"-")</f>
        <v/>
      </c>
    </row>
    <row r="144" ht="16.15" customHeight="1" s="45">
      <c r="A144" s="96" t="n">
        <v>46306</v>
      </c>
      <c r="B144" s="97" t="inlineStr">
        <is>
          <t>Pós-Projeto</t>
        </is>
      </c>
      <c r="C144" s="107" t="inlineStr">
        <is>
          <t>Tempo Médio — 🟡 Amarelo (hh:mm)</t>
        </is>
      </c>
      <c r="D144" s="121" t="n">
        <v>0.04071759259259259</v>
      </c>
      <c r="E144" s="121" t="n">
        <v>0.08844907407407407</v>
      </c>
      <c r="F144" s="121" t="n">
        <v>0.03071759259259259</v>
      </c>
      <c r="G144" s="121" t="n">
        <v>0.0400462962962963</v>
      </c>
      <c r="H144" s="121" t="n">
        <v>0.06435185185185185</v>
      </c>
      <c r="I144" s="121" t="n">
        <v>0.0255787037037037</v>
      </c>
      <c r="J144" s="121" t="n">
        <v>0.07733796296296297</v>
      </c>
      <c r="K144" s="121" t="n">
        <v>0.05365740740740741</v>
      </c>
      <c r="L144" s="121" t="n">
        <v>0.04082175925925926</v>
      </c>
      <c r="M144" s="121" t="n">
        <v>0.03086805555555555</v>
      </c>
      <c r="N144" s="121" t="n">
        <v>0.0430787037037037</v>
      </c>
      <c r="O144" s="121" t="n">
        <v>0.02491898148148148</v>
      </c>
      <c r="P144" s="121" t="n">
        <v>0.03784722222222222</v>
      </c>
    </row>
    <row r="145" ht="16.15" customHeight="1" s="45">
      <c r="A145" s="96" t="n">
        <v>46306</v>
      </c>
      <c r="B145" s="97" t="inlineStr">
        <is>
          <t>Pós-Projeto</t>
        </is>
      </c>
      <c r="C145" s="109" t="inlineStr">
        <is>
          <t>Tempo Médio — 🟠 Laranja (hh:mm)</t>
        </is>
      </c>
      <c r="D145" s="122" t="n">
        <v>0.009444444444444445</v>
      </c>
      <c r="E145" s="122" t="n">
        <v>0.02444444444444445</v>
      </c>
      <c r="F145" s="122" t="n">
        <v>0.00568287037037037</v>
      </c>
      <c r="G145" s="122" t="n">
        <v>0.004768518518518518</v>
      </c>
      <c r="H145" s="122" t="n">
        <v>0.004768518518518518</v>
      </c>
      <c r="I145" s="122" t="n">
        <v>0.004918981481481482</v>
      </c>
      <c r="J145" s="122" t="n">
        <v>0.01876157407407407</v>
      </c>
      <c r="K145" s="122" t="n">
        <v>0.02537037037037037</v>
      </c>
      <c r="L145" s="122" t="n">
        <v>0.009803240740740741</v>
      </c>
      <c r="M145" s="122" t="n">
        <v>0.007048611111111111</v>
      </c>
      <c r="N145" s="122" t="n">
        <v>0.01828703703703704</v>
      </c>
      <c r="O145" s="122" t="n">
        <v>0.007291666666666667</v>
      </c>
      <c r="P145" s="122" t="n">
        <v>0.005810185185185186</v>
      </c>
    </row>
    <row r="146" ht="16.15" customHeight="1" s="45">
      <c r="A146" s="111" t="n">
        <v>46306</v>
      </c>
      <c r="B146" s="112" t="inlineStr">
        <is>
          <t>Pós-Projeto</t>
        </is>
      </c>
      <c r="C146" s="113" t="inlineStr">
        <is>
          <t>Tempo Médio — 🟢 Verde   (hh:mm)</t>
        </is>
      </c>
      <c r="D146" s="123" t="n">
        <v>0.09600694444444445</v>
      </c>
      <c r="E146" s="123" t="n">
        <v>0.1218981481481481</v>
      </c>
      <c r="F146" s="123" t="n">
        <v>0.1163657407407407</v>
      </c>
      <c r="G146" s="123" t="n">
        <v>0.1643634259259259</v>
      </c>
      <c r="H146" s="123" t="n">
        <v>0.1559027777777778</v>
      </c>
      <c r="I146" s="123" t="n">
        <v>0.08608796296296296</v>
      </c>
      <c r="J146" s="123" t="n">
        <v>0.05927083333333334</v>
      </c>
      <c r="K146" s="123" t="n">
        <v>0.03525462962962963</v>
      </c>
      <c r="L146" s="123" t="n">
        <v>0.08001157407407407</v>
      </c>
      <c r="M146" s="123" t="n">
        <v>0.03087962962962963</v>
      </c>
      <c r="N146" s="123" t="n">
        <v>0.1030439814814815</v>
      </c>
      <c r="O146" s="123" t="n">
        <v>0.1271527777777778</v>
      </c>
      <c r="P146" s="123" t="n">
        <v>0.04278935185185185</v>
      </c>
    </row>
    <row r="147" ht="16.15" customHeight="1" s="45">
      <c r="A147" s="92" t="n">
        <v>46307</v>
      </c>
      <c r="B147" s="93" t="inlineStr">
        <is>
          <t>Pós-Projeto</t>
        </is>
      </c>
      <c r="C147" s="94" t="inlineStr">
        <is>
          <t>Acolhim. + Atend. Urgência + Atend. UPA</t>
        </is>
      </c>
      <c r="D147" s="95">
        <f>SUM(D148:D150)</f>
        <v/>
      </c>
      <c r="E147" s="95">
        <f>SUM(E148:E150)</f>
        <v/>
      </c>
      <c r="F147" s="95">
        <f>SUM(F148:F150)</f>
        <v/>
      </c>
      <c r="G147" s="95">
        <f>SUM(G148:G150)</f>
        <v/>
      </c>
      <c r="H147" s="95">
        <f>SUM(H148:H150)</f>
        <v/>
      </c>
      <c r="I147" s="95">
        <f>SUM(I148:I150)</f>
        <v/>
      </c>
      <c r="J147" s="95">
        <f>SUM(J148:J150)</f>
        <v/>
      </c>
      <c r="K147" s="95">
        <f>SUM(K148:K150)</f>
        <v/>
      </c>
      <c r="L147" s="95">
        <f>SUM(L148:L150)</f>
        <v/>
      </c>
      <c r="M147" s="95">
        <f>SUM(M148:M150)</f>
        <v/>
      </c>
      <c r="N147" s="95">
        <f>SUM(N148:N150)</f>
        <v/>
      </c>
      <c r="O147" s="95">
        <f>SUM(O148:O150)</f>
        <v/>
      </c>
      <c r="P147" s="95">
        <f>SUM(P148:P150)</f>
        <v/>
      </c>
    </row>
    <row r="148" ht="16.15" customHeight="1" s="45">
      <c r="A148" s="96" t="n">
        <v>46307</v>
      </c>
      <c r="B148" s="97" t="inlineStr">
        <is>
          <t>Pós-Projeto</t>
        </is>
      </c>
      <c r="C148" s="100" t="inlineStr">
        <is>
          <t>Acolhimento c/ Classif. de Risco</t>
        </is>
      </c>
      <c r="D148" s="101" t="n">
        <v>188</v>
      </c>
      <c r="E148" s="101" t="n">
        <v>151</v>
      </c>
      <c r="F148" s="101" t="n">
        <v>140</v>
      </c>
      <c r="G148" s="101" t="n">
        <v>158</v>
      </c>
      <c r="H148" s="101" t="n">
        <v>139</v>
      </c>
      <c r="I148" s="101" t="n">
        <v>222</v>
      </c>
      <c r="J148" s="101" t="n">
        <v>115</v>
      </c>
      <c r="K148" s="101" t="n">
        <v>286</v>
      </c>
      <c r="L148" s="101" t="n">
        <v>123</v>
      </c>
      <c r="M148" s="101" t="n">
        <v>202</v>
      </c>
      <c r="N148" s="101" t="n">
        <v>171</v>
      </c>
      <c r="O148" s="101" t="n">
        <v>241</v>
      </c>
      <c r="P148" s="101" t="n">
        <v>210</v>
      </c>
    </row>
    <row r="149" ht="16.15" customHeight="1" s="45">
      <c r="A149" s="96" t="n">
        <v>46307</v>
      </c>
      <c r="B149" s="97" t="inlineStr">
        <is>
          <t>Pós-Projeto</t>
        </is>
      </c>
      <c r="C149" s="98" t="inlineStr">
        <is>
          <t>Atend. Urgência Obs. ≤ 24h</t>
        </is>
      </c>
      <c r="D149" s="99" t="n">
        <v>11</v>
      </c>
      <c r="E149" s="99" t="n">
        <v>20</v>
      </c>
      <c r="F149" s="99" t="n">
        <v>16</v>
      </c>
      <c r="G149" s="99" t="n">
        <v>25</v>
      </c>
      <c r="H149" s="99" t="n">
        <v>17</v>
      </c>
      <c r="I149" s="99" t="n">
        <v>24</v>
      </c>
      <c r="J149" s="99" t="n">
        <v>9</v>
      </c>
      <c r="K149" s="99" t="n">
        <v>38</v>
      </c>
      <c r="L149" s="99" t="n">
        <v>49</v>
      </c>
      <c r="M149" s="99" t="n">
        <v>26</v>
      </c>
      <c r="N149" s="99" t="n">
        <v>30</v>
      </c>
      <c r="O149" s="99" t="n">
        <v>19</v>
      </c>
      <c r="P149" s="99" t="n">
        <v>29</v>
      </c>
    </row>
    <row r="150" ht="16.15" customHeight="1" s="45">
      <c r="A150" s="96" t="n">
        <v>46307</v>
      </c>
      <c r="B150" s="97" t="inlineStr">
        <is>
          <t>Pós-Projeto</t>
        </is>
      </c>
      <c r="C150" s="100" t="inlineStr">
        <is>
          <t>Atend. Médico em UPA</t>
        </is>
      </c>
      <c r="D150" s="101" t="n">
        <v>142</v>
      </c>
      <c r="E150" s="101" t="n">
        <v>85</v>
      </c>
      <c r="F150" s="101" t="n">
        <v>111</v>
      </c>
      <c r="G150" s="101" t="n">
        <v>105</v>
      </c>
      <c r="H150" s="101" t="n">
        <v>92</v>
      </c>
      <c r="I150" s="101" t="n">
        <v>192</v>
      </c>
      <c r="J150" s="101" t="n">
        <v>95</v>
      </c>
      <c r="K150" s="101" t="n">
        <v>178</v>
      </c>
      <c r="L150" s="101" t="n">
        <v>95</v>
      </c>
      <c r="M150" s="101" t="n">
        <v>126</v>
      </c>
      <c r="N150" s="101" t="n">
        <v>132</v>
      </c>
      <c r="O150" s="101" t="n">
        <v>204</v>
      </c>
      <c r="P150" s="101" t="n">
        <v>130</v>
      </c>
    </row>
    <row r="151" ht="16.15" customHeight="1" s="45">
      <c r="A151" s="96" t="n">
        <v>46307</v>
      </c>
      <c r="B151" s="97" t="inlineStr">
        <is>
          <t>Pós-Projeto</t>
        </is>
      </c>
      <c r="C151" s="98" t="inlineStr">
        <is>
          <t>Exames Laboratoriais</t>
        </is>
      </c>
      <c r="D151" s="99" t="n">
        <v>619</v>
      </c>
      <c r="E151" s="99" t="n">
        <v>512</v>
      </c>
      <c r="F151" s="99" t="n">
        <v>586</v>
      </c>
      <c r="G151" s="99" t="n">
        <v>399</v>
      </c>
      <c r="H151" s="99" t="n">
        <v>382</v>
      </c>
      <c r="I151" s="99" t="n">
        <v>670</v>
      </c>
      <c r="J151" s="99" t="n">
        <v>360</v>
      </c>
      <c r="K151" s="99" t="n">
        <v>662</v>
      </c>
      <c r="L151" s="99" t="n">
        <v>676</v>
      </c>
      <c r="M151" s="99" t="n">
        <v>586</v>
      </c>
      <c r="N151" s="99" t="n">
        <v>753</v>
      </c>
      <c r="O151" s="99" t="n">
        <v>476</v>
      </c>
      <c r="P151" s="99" t="n">
        <v>478</v>
      </c>
    </row>
    <row r="152" ht="16.15" customHeight="1" s="45">
      <c r="A152" s="96" t="n">
        <v>46307</v>
      </c>
      <c r="B152" s="97" t="inlineStr">
        <is>
          <t>Pós-Projeto</t>
        </is>
      </c>
      <c r="C152" s="100" t="inlineStr">
        <is>
          <t>Radiografias</t>
        </is>
      </c>
      <c r="D152" s="101" t="n">
        <v>26</v>
      </c>
      <c r="E152" s="101" t="n">
        <v>13</v>
      </c>
      <c r="F152" s="101" t="n">
        <v>21</v>
      </c>
      <c r="G152" s="102" t="n">
        <v>0</v>
      </c>
      <c r="H152" s="101" t="n">
        <v>20</v>
      </c>
      <c r="I152" s="101" t="n">
        <v>22</v>
      </c>
      <c r="J152" s="101" t="n">
        <v>11</v>
      </c>
      <c r="K152" s="101" t="n">
        <v>24</v>
      </c>
      <c r="L152" s="101" t="n">
        <v>16</v>
      </c>
      <c r="M152" s="101" t="n">
        <v>1</v>
      </c>
      <c r="N152" s="101" t="n">
        <v>15</v>
      </c>
      <c r="O152" s="101" t="n">
        <v>44</v>
      </c>
      <c r="P152" s="101" t="n">
        <v>36</v>
      </c>
    </row>
    <row r="153" ht="16.15" customHeight="1" s="45">
      <c r="A153" s="96" t="n">
        <v>46307</v>
      </c>
      <c r="B153" s="97" t="inlineStr">
        <is>
          <t>Pós-Projeto</t>
        </is>
      </c>
      <c r="C153" s="98" t="inlineStr">
        <is>
          <t>Eletrocardiogramas</t>
        </is>
      </c>
      <c r="D153" s="99" t="n">
        <v>16</v>
      </c>
      <c r="E153" s="99" t="n">
        <v>12</v>
      </c>
      <c r="F153" s="99" t="n">
        <v>13</v>
      </c>
      <c r="G153" s="99" t="n">
        <v>11</v>
      </c>
      <c r="H153" s="99" t="n">
        <v>13</v>
      </c>
      <c r="I153" s="99" t="n">
        <v>5</v>
      </c>
      <c r="J153" s="102" t="n">
        <v>0</v>
      </c>
      <c r="K153" s="102" t="n">
        <v>0</v>
      </c>
      <c r="L153" s="102" t="n">
        <v>0</v>
      </c>
      <c r="M153" s="102" t="n">
        <v>0</v>
      </c>
      <c r="N153" s="99" t="n">
        <v>4</v>
      </c>
      <c r="O153" s="102" t="n">
        <v>0</v>
      </c>
      <c r="P153" s="102" t="n">
        <v>0</v>
      </c>
    </row>
    <row r="154" ht="16.15" customHeight="1" s="45">
      <c r="A154" s="96" t="n">
        <v>46307</v>
      </c>
      <c r="B154" s="97" t="inlineStr">
        <is>
          <t>Pós-Projeto</t>
        </is>
      </c>
      <c r="C154" s="103" t="inlineStr">
        <is>
          <t>GAEs Abertas</t>
        </is>
      </c>
      <c r="D154" s="104" t="n">
        <v>200</v>
      </c>
      <c r="E154" s="104" t="n">
        <v>159</v>
      </c>
      <c r="F154" s="104" t="n">
        <v>144</v>
      </c>
      <c r="G154" s="104" t="n">
        <v>162</v>
      </c>
      <c r="H154" s="104" t="n">
        <v>145</v>
      </c>
      <c r="I154" s="104" t="n">
        <v>230</v>
      </c>
      <c r="J154" s="104" t="n">
        <v>117</v>
      </c>
      <c r="K154" s="104" t="n">
        <v>307</v>
      </c>
      <c r="L154" s="104" t="n">
        <v>127</v>
      </c>
      <c r="M154" s="104" t="n">
        <v>222</v>
      </c>
      <c r="N154" s="104" t="n">
        <v>177</v>
      </c>
      <c r="O154" s="104" t="n">
        <v>250</v>
      </c>
      <c r="P154" s="104" t="n">
        <v>218</v>
      </c>
    </row>
    <row r="155" ht="16.15" customHeight="1" s="45">
      <c r="A155" s="96" t="n">
        <v>46307</v>
      </c>
      <c r="B155" s="97" t="inlineStr">
        <is>
          <t>Pós-Projeto</t>
        </is>
      </c>
      <c r="C155" s="103" t="inlineStr">
        <is>
          <t>GAEs Classificadas</t>
        </is>
      </c>
      <c r="D155" s="104" t="n">
        <v>189</v>
      </c>
      <c r="E155" s="104" t="n">
        <v>151</v>
      </c>
      <c r="F155" s="104" t="n">
        <v>139</v>
      </c>
      <c r="G155" s="104" t="n">
        <v>159</v>
      </c>
      <c r="H155" s="104" t="n">
        <v>137</v>
      </c>
      <c r="I155" s="104" t="n">
        <v>218</v>
      </c>
      <c r="J155" s="104" t="n">
        <v>113</v>
      </c>
      <c r="K155" s="104" t="n">
        <v>283</v>
      </c>
      <c r="L155" s="104" t="n">
        <v>124</v>
      </c>
      <c r="M155" s="104" t="n">
        <v>205</v>
      </c>
      <c r="N155" s="104" t="n">
        <v>172</v>
      </c>
      <c r="O155" s="104" t="n">
        <v>243</v>
      </c>
      <c r="P155" s="104" t="n">
        <v>208</v>
      </c>
    </row>
    <row r="156" ht="16.15" customHeight="1" s="45">
      <c r="A156" s="96" t="n">
        <v>46307</v>
      </c>
      <c r="B156" s="97" t="inlineStr">
        <is>
          <t>Pós-Projeto</t>
        </is>
      </c>
      <c r="C156" s="105" t="inlineStr">
        <is>
          <t>Percentual de GAEs abertas classificadas</t>
        </is>
      </c>
      <c r="D156" s="106">
        <f>IFERROR(D155/D154,"-")</f>
        <v/>
      </c>
      <c r="E156" s="106">
        <f>IFERROR(E155/E154,"-")</f>
        <v/>
      </c>
      <c r="F156" s="106">
        <f>IFERROR(F155/F154,"-")</f>
        <v/>
      </c>
      <c r="G156" s="106">
        <f>IFERROR(G155/G154,"-")</f>
        <v/>
      </c>
      <c r="H156" s="106">
        <f>IFERROR(H155/H154,"-")</f>
        <v/>
      </c>
      <c r="I156" s="106">
        <f>IFERROR(I155/I154,"-")</f>
        <v/>
      </c>
      <c r="J156" s="106">
        <f>IFERROR(J155/J154,"-")</f>
        <v/>
      </c>
      <c r="K156" s="106">
        <f>IFERROR(K155/K154,"-")</f>
        <v/>
      </c>
      <c r="L156" s="106">
        <f>IFERROR(L155/L154,"-")</f>
        <v/>
      </c>
      <c r="M156" s="106">
        <f>IFERROR(M155/M154,"-")</f>
        <v/>
      </c>
      <c r="N156" s="106">
        <f>IFERROR(N155/N154,"-")</f>
        <v/>
      </c>
      <c r="O156" s="106">
        <f>IFERROR(O155/O154,"-")</f>
        <v/>
      </c>
      <c r="P156" s="106">
        <f>IFERROR(P155/P154,"-")</f>
        <v/>
      </c>
    </row>
    <row r="157" ht="16.15" customHeight="1" s="45">
      <c r="A157" s="96" t="n">
        <v>46307</v>
      </c>
      <c r="B157" s="97" t="inlineStr">
        <is>
          <t>Pós-Projeto</t>
        </is>
      </c>
      <c r="C157" s="107" t="inlineStr">
        <is>
          <t>Tempo Médio — 🟡 Amarelo (hh:mm)</t>
        </is>
      </c>
      <c r="D157" s="121" t="n">
        <v>0.07596064814814815</v>
      </c>
      <c r="E157" s="121" t="n">
        <v>0.1268402777777778</v>
      </c>
      <c r="F157" s="121" t="n">
        <v>0.04609953703703704</v>
      </c>
      <c r="G157" s="121" t="n">
        <v>0.0391550925925926</v>
      </c>
      <c r="H157" s="121" t="n">
        <v>0.04047453703703704</v>
      </c>
      <c r="I157" s="121" t="n">
        <v>0.03190972222222222</v>
      </c>
      <c r="J157" s="121" t="n">
        <v>0.02769675925925926</v>
      </c>
      <c r="K157" s="121" t="n">
        <v>0.09315972222222223</v>
      </c>
      <c r="L157" s="121" t="n">
        <v>0.1115856481481481</v>
      </c>
      <c r="M157" s="121" t="n">
        <v>0.05648148148148148</v>
      </c>
      <c r="N157" s="121" t="n">
        <v>0.03789351851851852</v>
      </c>
      <c r="O157" s="121" t="n">
        <v>0.04653935185185185</v>
      </c>
      <c r="P157" s="121" t="n">
        <v>0.07148148148148148</v>
      </c>
    </row>
    <row r="158" ht="16.15" customHeight="1" s="45">
      <c r="A158" s="96" t="n">
        <v>46307</v>
      </c>
      <c r="B158" s="97" t="inlineStr">
        <is>
          <t>Pós-Projeto</t>
        </is>
      </c>
      <c r="C158" s="109" t="inlineStr">
        <is>
          <t>Tempo Médio — 🟠 Laranja (hh:mm)</t>
        </is>
      </c>
      <c r="D158" s="122" t="n">
        <v>0.01078703703703704</v>
      </c>
      <c r="E158" s="122" t="n">
        <v>0.02329861111111111</v>
      </c>
      <c r="F158" s="122" t="n">
        <v>0.01152777777777778</v>
      </c>
      <c r="G158" s="122" t="n">
        <v>0.006122685185185185</v>
      </c>
      <c r="H158" s="122" t="n">
        <v>0.005347222222222222</v>
      </c>
      <c r="I158" s="122" t="n">
        <v>0.004606481481481481</v>
      </c>
      <c r="J158" s="122" t="n">
        <v>0.00662037037037037</v>
      </c>
      <c r="K158" s="122" t="n">
        <v>0.009212962962962963</v>
      </c>
      <c r="L158" s="122" t="n">
        <v>0.01680555555555556</v>
      </c>
      <c r="M158" s="122" t="n">
        <v>0.008576388888888889</v>
      </c>
      <c r="N158" s="122" t="n">
        <v>0.01115740740740741</v>
      </c>
      <c r="O158" s="122" t="n">
        <v>0.008090277777777778</v>
      </c>
      <c r="P158" s="122" t="n">
        <v>0.008206018518518519</v>
      </c>
    </row>
    <row r="159" ht="16.15" customHeight="1" s="45">
      <c r="A159" s="111" t="n">
        <v>46307</v>
      </c>
      <c r="B159" s="112" t="inlineStr">
        <is>
          <t>Pós-Projeto</t>
        </is>
      </c>
      <c r="C159" s="113" t="inlineStr">
        <is>
          <t>Tempo Médio — 🟢 Verde   (hh:mm)</t>
        </is>
      </c>
      <c r="D159" s="123" t="n">
        <v>0.07886574074074074</v>
      </c>
      <c r="E159" s="123" t="n">
        <v>0.08631944444444445</v>
      </c>
      <c r="F159" s="123" t="n">
        <v>0.09248842592592593</v>
      </c>
      <c r="G159" s="123" t="n">
        <v>0.09451388888888888</v>
      </c>
      <c r="H159" s="123" t="n">
        <v>0.02640046296296296</v>
      </c>
      <c r="I159" s="123" t="n">
        <v>0.06996527777777778</v>
      </c>
      <c r="J159" s="123" t="n">
        <v>0.03</v>
      </c>
      <c r="K159" s="123" t="n">
        <v>0.07673611111111112</v>
      </c>
      <c r="L159" s="123" t="n">
        <v>0.08802083333333334</v>
      </c>
      <c r="M159" s="123" t="n">
        <v>0.06108796296296296</v>
      </c>
      <c r="N159" s="123" t="n">
        <v>0.0369212962962963</v>
      </c>
      <c r="O159" s="123" t="n">
        <v>0.04923611111111111</v>
      </c>
      <c r="P159" s="123" t="n">
        <v>0.07357638888888889</v>
      </c>
    </row>
    <row r="160" ht="16.15" customHeight="1" s="45">
      <c r="A160" s="92" t="n">
        <v>46308</v>
      </c>
      <c r="B160" s="93" t="inlineStr">
        <is>
          <t>Pós-Projeto</t>
        </is>
      </c>
      <c r="C160" s="94" t="inlineStr">
        <is>
          <t>Acolhim. + Atend. Urgência + Atend. UPA</t>
        </is>
      </c>
      <c r="D160" s="95">
        <f>SUM(D161:D163)</f>
        <v/>
      </c>
      <c r="E160" s="95">
        <f>SUM(E161:E163)</f>
        <v/>
      </c>
      <c r="F160" s="95">
        <f>SUM(F161:F163)</f>
        <v/>
      </c>
      <c r="G160" s="95">
        <f>SUM(G161:G163)</f>
        <v/>
      </c>
      <c r="H160" s="95">
        <f>SUM(H161:H163)</f>
        <v/>
      </c>
      <c r="I160" s="95">
        <f>SUM(I161:I163)</f>
        <v/>
      </c>
      <c r="J160" s="95">
        <f>SUM(J161:J163)</f>
        <v/>
      </c>
      <c r="K160" s="95">
        <f>SUM(K161:K163)</f>
        <v/>
      </c>
      <c r="L160" s="95">
        <f>SUM(L161:L163)</f>
        <v/>
      </c>
      <c r="M160" s="95">
        <f>SUM(M161:M163)</f>
        <v/>
      </c>
      <c r="N160" s="95">
        <f>SUM(N161:N163)</f>
        <v/>
      </c>
      <c r="O160" s="95">
        <f>SUM(O161:O163)</f>
        <v/>
      </c>
      <c r="P160" s="95">
        <f>SUM(P161:P163)</f>
        <v/>
      </c>
    </row>
    <row r="161" ht="16.15" customHeight="1" s="45">
      <c r="A161" s="96" t="n">
        <v>46308</v>
      </c>
      <c r="B161" s="97" t="inlineStr">
        <is>
          <t>Pós-Projeto</t>
        </is>
      </c>
      <c r="C161" s="98" t="inlineStr">
        <is>
          <t>Acolhimento c/ Classif. de Risco</t>
        </is>
      </c>
      <c r="D161" s="99" t="n">
        <v>253</v>
      </c>
      <c r="E161" s="99" t="n">
        <v>208</v>
      </c>
      <c r="F161" s="99" t="n">
        <v>226</v>
      </c>
      <c r="G161" s="99" t="n">
        <v>169</v>
      </c>
      <c r="H161" s="99" t="n">
        <v>166</v>
      </c>
      <c r="I161" s="99" t="n">
        <v>268</v>
      </c>
      <c r="J161" s="99" t="n">
        <v>148</v>
      </c>
      <c r="K161" s="99" t="n">
        <v>320</v>
      </c>
      <c r="L161" s="99" t="n">
        <v>169</v>
      </c>
      <c r="M161" s="99" t="n">
        <v>283</v>
      </c>
      <c r="N161" s="99" t="n">
        <v>248</v>
      </c>
      <c r="O161" s="99" t="n">
        <v>311</v>
      </c>
      <c r="P161" s="99" t="n">
        <v>290</v>
      </c>
    </row>
    <row r="162" ht="16.15" customHeight="1" s="45">
      <c r="A162" s="96" t="n">
        <v>46308</v>
      </c>
      <c r="B162" s="97" t="inlineStr">
        <is>
          <t>Pós-Projeto</t>
        </is>
      </c>
      <c r="C162" s="100" t="inlineStr">
        <is>
          <t>Atend. Urgência Obs. ≤ 24h</t>
        </is>
      </c>
      <c r="D162" s="101" t="n">
        <v>9</v>
      </c>
      <c r="E162" s="101" t="n">
        <v>23</v>
      </c>
      <c r="F162" s="101" t="n">
        <v>14</v>
      </c>
      <c r="G162" s="101" t="n">
        <v>24</v>
      </c>
      <c r="H162" s="101" t="n">
        <v>15</v>
      </c>
      <c r="I162" s="101" t="n">
        <v>33</v>
      </c>
      <c r="J162" s="101" t="n">
        <v>12</v>
      </c>
      <c r="K162" s="101" t="n">
        <v>40</v>
      </c>
      <c r="L162" s="101" t="n">
        <v>38</v>
      </c>
      <c r="M162" s="101" t="n">
        <v>24</v>
      </c>
      <c r="N162" s="101" t="n">
        <v>25</v>
      </c>
      <c r="O162" s="101" t="n">
        <v>10</v>
      </c>
      <c r="P162" s="101" t="n">
        <v>31</v>
      </c>
    </row>
    <row r="163" ht="16.15" customHeight="1" s="45">
      <c r="A163" s="96" t="n">
        <v>46308</v>
      </c>
      <c r="B163" s="97" t="inlineStr">
        <is>
          <t>Pós-Projeto</t>
        </is>
      </c>
      <c r="C163" s="98" t="inlineStr">
        <is>
          <t>Atend. Médico em UPA</t>
        </is>
      </c>
      <c r="D163" s="99" t="n">
        <v>209</v>
      </c>
      <c r="E163" s="99" t="n">
        <v>161</v>
      </c>
      <c r="F163" s="99" t="n">
        <v>162</v>
      </c>
      <c r="G163" s="99" t="n">
        <v>101</v>
      </c>
      <c r="H163" s="99" t="n">
        <v>102</v>
      </c>
      <c r="I163" s="99" t="n">
        <v>177</v>
      </c>
      <c r="J163" s="99" t="n">
        <v>106</v>
      </c>
      <c r="K163" s="99" t="n">
        <v>269</v>
      </c>
      <c r="L163" s="99" t="n">
        <v>75</v>
      </c>
      <c r="M163" s="99" t="n">
        <v>179</v>
      </c>
      <c r="N163" s="99" t="n">
        <v>184</v>
      </c>
      <c r="O163" s="99" t="n">
        <v>212</v>
      </c>
      <c r="P163" s="99" t="n">
        <v>184</v>
      </c>
    </row>
    <row r="164" ht="16.15" customHeight="1" s="45">
      <c r="A164" s="96" t="n">
        <v>46308</v>
      </c>
      <c r="B164" s="97" t="inlineStr">
        <is>
          <t>Pós-Projeto</t>
        </is>
      </c>
      <c r="C164" s="100" t="inlineStr">
        <is>
          <t>Exames Laboratoriais</t>
        </is>
      </c>
      <c r="D164" s="101" t="n">
        <v>689</v>
      </c>
      <c r="E164" s="101" t="n">
        <v>585</v>
      </c>
      <c r="F164" s="101" t="n">
        <v>585</v>
      </c>
      <c r="G164" s="101" t="n">
        <v>217</v>
      </c>
      <c r="H164" s="101" t="n">
        <v>490</v>
      </c>
      <c r="I164" s="101" t="n">
        <v>588</v>
      </c>
      <c r="J164" s="101" t="n">
        <v>338</v>
      </c>
      <c r="K164" s="101" t="n">
        <v>1018</v>
      </c>
      <c r="L164" s="101" t="n">
        <v>661</v>
      </c>
      <c r="M164" s="101" t="n">
        <v>698</v>
      </c>
      <c r="N164" s="101" t="n">
        <v>530</v>
      </c>
      <c r="O164" s="101" t="n">
        <v>402</v>
      </c>
      <c r="P164" s="101" t="n">
        <v>479</v>
      </c>
    </row>
    <row r="165" ht="16.15" customHeight="1" s="45">
      <c r="A165" s="96" t="n">
        <v>46308</v>
      </c>
      <c r="B165" s="97" t="inlineStr">
        <is>
          <t>Pós-Projeto</t>
        </is>
      </c>
      <c r="C165" s="98" t="inlineStr">
        <is>
          <t>Radiografias</t>
        </is>
      </c>
      <c r="D165" s="99" t="n">
        <v>33</v>
      </c>
      <c r="E165" s="99" t="n">
        <v>19</v>
      </c>
      <c r="F165" s="99" t="n">
        <v>15</v>
      </c>
      <c r="G165" s="102" t="n">
        <v>0</v>
      </c>
      <c r="H165" s="99" t="n">
        <v>24</v>
      </c>
      <c r="I165" s="99" t="n">
        <v>23</v>
      </c>
      <c r="J165" s="99" t="n">
        <v>21</v>
      </c>
      <c r="K165" s="99" t="n">
        <v>58</v>
      </c>
      <c r="L165" s="99" t="n">
        <v>15</v>
      </c>
      <c r="M165" s="99" t="n">
        <v>41</v>
      </c>
      <c r="N165" s="99" t="n">
        <v>20</v>
      </c>
      <c r="O165" s="99" t="n">
        <v>26</v>
      </c>
      <c r="P165" s="99" t="n">
        <v>47</v>
      </c>
    </row>
    <row r="166" ht="16.15" customHeight="1" s="45">
      <c r="A166" s="96" t="n">
        <v>46308</v>
      </c>
      <c r="B166" s="97" t="inlineStr">
        <is>
          <t>Pós-Projeto</t>
        </is>
      </c>
      <c r="C166" s="100" t="inlineStr">
        <is>
          <t>Eletrocardiogramas</t>
        </is>
      </c>
      <c r="D166" s="101" t="n">
        <v>28</v>
      </c>
      <c r="E166" s="101" t="n">
        <v>6</v>
      </c>
      <c r="F166" s="101" t="n">
        <v>19</v>
      </c>
      <c r="G166" s="101" t="n">
        <v>2</v>
      </c>
      <c r="H166" s="101" t="n">
        <v>18</v>
      </c>
      <c r="I166" s="101" t="n">
        <v>1</v>
      </c>
      <c r="J166" s="102" t="n">
        <v>0</v>
      </c>
      <c r="K166" s="102" t="n">
        <v>0</v>
      </c>
      <c r="L166" s="102" t="n">
        <v>0</v>
      </c>
      <c r="M166" s="101" t="n">
        <v>5</v>
      </c>
      <c r="N166" s="101" t="n">
        <v>10</v>
      </c>
      <c r="O166" s="102" t="n">
        <v>0</v>
      </c>
      <c r="P166" s="101" t="n">
        <v>15</v>
      </c>
    </row>
    <row r="167" ht="16.15" customHeight="1" s="45">
      <c r="A167" s="96" t="n">
        <v>46308</v>
      </c>
      <c r="B167" s="97" t="inlineStr">
        <is>
          <t>Pós-Projeto</t>
        </is>
      </c>
      <c r="C167" s="103" t="inlineStr">
        <is>
          <t>GAEs Abertas</t>
        </is>
      </c>
      <c r="D167" s="104" t="n">
        <v>269</v>
      </c>
      <c r="E167" s="104" t="n">
        <v>210</v>
      </c>
      <c r="F167" s="104" t="n">
        <v>230</v>
      </c>
      <c r="G167" s="104" t="n">
        <v>188</v>
      </c>
      <c r="H167" s="104" t="n">
        <v>167</v>
      </c>
      <c r="I167" s="104" t="n">
        <v>306</v>
      </c>
      <c r="J167" s="104" t="n">
        <v>148</v>
      </c>
      <c r="K167" s="104" t="n">
        <v>369</v>
      </c>
      <c r="L167" s="104" t="n">
        <v>185</v>
      </c>
      <c r="M167" s="104" t="n">
        <v>294</v>
      </c>
      <c r="N167" s="104" t="n">
        <v>257</v>
      </c>
      <c r="O167" s="104" t="n">
        <v>345</v>
      </c>
      <c r="P167" s="104" t="n">
        <v>305</v>
      </c>
    </row>
    <row r="168" ht="16.15" customHeight="1" s="45">
      <c r="A168" s="96" t="n">
        <v>46308</v>
      </c>
      <c r="B168" s="97" t="inlineStr">
        <is>
          <t>Pós-Projeto</t>
        </is>
      </c>
      <c r="C168" s="103" t="inlineStr">
        <is>
          <t>GAEs Classificadas</t>
        </is>
      </c>
      <c r="D168" s="104" t="n">
        <v>252</v>
      </c>
      <c r="E168" s="104" t="n">
        <v>208</v>
      </c>
      <c r="F168" s="104" t="n">
        <v>226</v>
      </c>
      <c r="G168" s="104" t="n">
        <v>168</v>
      </c>
      <c r="H168" s="104" t="n">
        <v>167</v>
      </c>
      <c r="I168" s="104" t="n">
        <v>271</v>
      </c>
      <c r="J168" s="104" t="n">
        <v>147</v>
      </c>
      <c r="K168" s="104" t="n">
        <v>321</v>
      </c>
      <c r="L168" s="104" t="n">
        <v>168</v>
      </c>
      <c r="M168" s="104" t="n">
        <v>288</v>
      </c>
      <c r="N168" s="104" t="n">
        <v>246</v>
      </c>
      <c r="O168" s="104" t="n">
        <v>320</v>
      </c>
      <c r="P168" s="104" t="n">
        <v>290</v>
      </c>
    </row>
    <row r="169" ht="16.15" customHeight="1" s="45">
      <c r="A169" s="96" t="n">
        <v>46308</v>
      </c>
      <c r="B169" s="97" t="inlineStr">
        <is>
          <t>Pós-Projeto</t>
        </is>
      </c>
      <c r="C169" s="105" t="inlineStr">
        <is>
          <t>Percentual de GAEs abertas classificadas</t>
        </is>
      </c>
      <c r="D169" s="106">
        <f>IFERROR(D168/D167,"-")</f>
        <v/>
      </c>
      <c r="E169" s="106">
        <f>IFERROR(E168/E167,"-")</f>
        <v/>
      </c>
      <c r="F169" s="106">
        <f>IFERROR(F168/F167,"-")</f>
        <v/>
      </c>
      <c r="G169" s="106">
        <f>IFERROR(G168/G167,"-")</f>
        <v/>
      </c>
      <c r="H169" s="106">
        <f>IFERROR(H168/H167,"-")</f>
        <v/>
      </c>
      <c r="I169" s="106">
        <f>IFERROR(I168/I167,"-")</f>
        <v/>
      </c>
      <c r="J169" s="106">
        <f>IFERROR(J168/J167,"-")</f>
        <v/>
      </c>
      <c r="K169" s="106">
        <f>IFERROR(K168/K167,"-")</f>
        <v/>
      </c>
      <c r="L169" s="106">
        <f>IFERROR(L168/L167,"-")</f>
        <v/>
      </c>
      <c r="M169" s="106">
        <f>IFERROR(M168/M167,"-")</f>
        <v/>
      </c>
      <c r="N169" s="106">
        <f>IFERROR(N168/N167,"-")</f>
        <v/>
      </c>
      <c r="O169" s="106">
        <f>IFERROR(O168/O167,"-")</f>
        <v/>
      </c>
      <c r="P169" s="106">
        <f>IFERROR(P168/P167,"-")</f>
        <v/>
      </c>
    </row>
    <row r="170" ht="16.15" customHeight="1" s="45">
      <c r="A170" s="96" t="n">
        <v>46308</v>
      </c>
      <c r="B170" s="97" t="inlineStr">
        <is>
          <t>Pós-Projeto</t>
        </is>
      </c>
      <c r="C170" s="107" t="inlineStr">
        <is>
          <t>Tempo Médio — 🟡 Amarelo (hh:mm)</t>
        </is>
      </c>
      <c r="D170" s="121" t="n">
        <v>0.08609953703703704</v>
      </c>
      <c r="E170" s="121" t="n">
        <v>0.02570601851851852</v>
      </c>
      <c r="F170" s="121" t="n">
        <v>0.03253472222222222</v>
      </c>
      <c r="G170" s="121" t="n">
        <v>0.03202546296296296</v>
      </c>
      <c r="H170" s="121" t="n">
        <v>0.05559027777777778</v>
      </c>
      <c r="I170" s="121" t="n">
        <v>0.09498842592592592</v>
      </c>
      <c r="J170" s="121" t="n">
        <v>0.04142361111111111</v>
      </c>
      <c r="K170" s="121" t="n">
        <v>0.05390046296296296</v>
      </c>
      <c r="L170" s="121" t="n">
        <v>0.1435185185185185</v>
      </c>
      <c r="M170" s="121" t="n">
        <v>0.03503472222222222</v>
      </c>
      <c r="N170" s="121" t="n">
        <v>0.1286574074074074</v>
      </c>
      <c r="O170" s="121" t="n">
        <v>0.03314814814814815</v>
      </c>
      <c r="P170" s="121" t="n">
        <v>0.09096064814814815</v>
      </c>
    </row>
    <row r="171" ht="16.15" customHeight="1" s="45">
      <c r="A171" s="96" t="n">
        <v>46308</v>
      </c>
      <c r="B171" s="97" t="inlineStr">
        <is>
          <t>Pós-Projeto</t>
        </is>
      </c>
      <c r="C171" s="109" t="inlineStr">
        <is>
          <t>Tempo Médio — 🟠 Laranja (hh:mm)</t>
        </is>
      </c>
      <c r="D171" s="122" t="n">
        <v>0.007696759259259259</v>
      </c>
      <c r="E171" s="122" t="n">
        <v>0.005393518518518519</v>
      </c>
      <c r="F171" s="122" t="n">
        <v>0.006273148148148148</v>
      </c>
      <c r="G171" s="122" t="n">
        <v>0.01222222222222222</v>
      </c>
      <c r="H171" s="122" t="n">
        <v>0.01112268518518519</v>
      </c>
      <c r="I171" s="122" t="n">
        <v>0.005810185185185186</v>
      </c>
      <c r="J171" s="122" t="n">
        <v>0.006979166666666667</v>
      </c>
      <c r="K171" s="122" t="n">
        <v>0.009131944444444444</v>
      </c>
      <c r="L171" s="122" t="n">
        <v>0.02634259259259259</v>
      </c>
      <c r="M171" s="122" t="n">
        <v>0.01041666666666667</v>
      </c>
      <c r="N171" s="122" t="n">
        <v>0.03770833333333334</v>
      </c>
      <c r="O171" s="122" t="n">
        <v>0.007465277777777778</v>
      </c>
      <c r="P171" s="122" t="n">
        <v>0.01068287037037037</v>
      </c>
    </row>
    <row r="172" ht="16.15" customHeight="1" s="45">
      <c r="A172" s="111" t="n">
        <v>46308</v>
      </c>
      <c r="B172" s="112" t="inlineStr">
        <is>
          <t>Pós-Projeto</t>
        </is>
      </c>
      <c r="C172" s="113" t="inlineStr">
        <is>
          <t>Tempo Médio — 🟢 Verde   (hh:mm)</t>
        </is>
      </c>
      <c r="D172" s="123" t="n">
        <v>0.1292824074074074</v>
      </c>
      <c r="E172" s="123" t="n">
        <v>0.0575462962962963</v>
      </c>
      <c r="F172" s="123" t="n">
        <v>0.06630787037037036</v>
      </c>
      <c r="G172" s="123" t="n">
        <v>0.09524305555555555</v>
      </c>
      <c r="H172" s="123" t="n">
        <v>0.0830324074074074</v>
      </c>
      <c r="I172" s="123" t="n">
        <v>0.1588888888888889</v>
      </c>
      <c r="J172" s="123" t="n">
        <v>0.07893518518518519</v>
      </c>
      <c r="K172" s="123" t="n">
        <v>0.07239583333333334</v>
      </c>
      <c r="L172" s="123" t="n">
        <v>0.08990740740740741</v>
      </c>
      <c r="M172" s="123" t="n">
        <v>0.08131944444444444</v>
      </c>
      <c r="N172" s="123" t="n">
        <v>0.1215046296296296</v>
      </c>
      <c r="O172" s="123" t="n">
        <v>0.07907407407407407</v>
      </c>
      <c r="P172" s="123" t="n">
        <v>0.07140046296296296</v>
      </c>
    </row>
    <row r="173" ht="16.15" customHeight="1" s="45">
      <c r="A173" s="92" t="n">
        <v>46309</v>
      </c>
      <c r="B173" s="93" t="inlineStr">
        <is>
          <t>Pós-Projeto</t>
        </is>
      </c>
      <c r="C173" s="94" t="inlineStr">
        <is>
          <t>Acolhim. + Atend. Urgência + Atend. UPA</t>
        </is>
      </c>
      <c r="D173" s="95">
        <f>SUM(D174:D176)</f>
        <v/>
      </c>
      <c r="E173" s="95">
        <f>SUM(E174:E176)</f>
        <v/>
      </c>
      <c r="F173" s="95">
        <f>SUM(F174:F176)</f>
        <v/>
      </c>
      <c r="G173" s="95">
        <f>SUM(G174:G176)</f>
        <v/>
      </c>
      <c r="H173" s="95">
        <f>SUM(H174:H176)</f>
        <v/>
      </c>
      <c r="I173" s="95">
        <f>SUM(I174:I176)</f>
        <v/>
      </c>
      <c r="J173" s="95">
        <f>SUM(J174:J176)</f>
        <v/>
      </c>
      <c r="K173" s="95">
        <f>SUM(K174:K176)</f>
        <v/>
      </c>
      <c r="L173" s="95">
        <f>SUM(L174:L176)</f>
        <v/>
      </c>
      <c r="M173" s="95">
        <f>SUM(M174:M176)</f>
        <v/>
      </c>
      <c r="N173" s="95">
        <f>SUM(N174:N176)</f>
        <v/>
      </c>
      <c r="O173" s="95">
        <f>SUM(O174:O176)</f>
        <v/>
      </c>
      <c r="P173" s="95">
        <f>SUM(P174:P176)</f>
        <v/>
      </c>
    </row>
    <row r="174" ht="16.15" customHeight="1" s="45">
      <c r="A174" s="96" t="n">
        <v>46309</v>
      </c>
      <c r="B174" s="97" t="inlineStr">
        <is>
          <t>Pós-Projeto</t>
        </is>
      </c>
      <c r="C174" s="100" t="inlineStr">
        <is>
          <t>Acolhimento c/ Classif. de Risco</t>
        </is>
      </c>
      <c r="D174" s="101" t="n">
        <v>221</v>
      </c>
      <c r="E174" s="101" t="n">
        <v>199</v>
      </c>
      <c r="F174" s="101" t="n">
        <v>175</v>
      </c>
      <c r="G174" s="101" t="n">
        <v>173</v>
      </c>
      <c r="H174" s="101" t="n">
        <v>179</v>
      </c>
      <c r="I174" s="101" t="n">
        <v>218</v>
      </c>
      <c r="J174" s="101" t="n">
        <v>144</v>
      </c>
      <c r="K174" s="101" t="n">
        <v>297</v>
      </c>
      <c r="L174" s="101" t="n">
        <v>136</v>
      </c>
      <c r="M174" s="101" t="n">
        <v>274</v>
      </c>
      <c r="N174" s="101" t="n">
        <v>255</v>
      </c>
      <c r="O174" s="101" t="n">
        <v>307</v>
      </c>
      <c r="P174" s="101" t="n">
        <v>262</v>
      </c>
    </row>
    <row r="175" ht="16.15" customHeight="1" s="45">
      <c r="A175" s="96" t="n">
        <v>46309</v>
      </c>
      <c r="B175" s="97" t="inlineStr">
        <is>
          <t>Pós-Projeto</t>
        </is>
      </c>
      <c r="C175" s="98" t="inlineStr">
        <is>
          <t>Atend. Urgência Obs. ≤ 24h</t>
        </is>
      </c>
      <c r="D175" s="99" t="n">
        <v>7</v>
      </c>
      <c r="E175" s="99" t="n">
        <v>19</v>
      </c>
      <c r="F175" s="99" t="n">
        <v>16</v>
      </c>
      <c r="G175" s="99" t="n">
        <v>20</v>
      </c>
      <c r="H175" s="99" t="n">
        <v>13</v>
      </c>
      <c r="I175" s="99" t="n">
        <v>25</v>
      </c>
      <c r="J175" s="99" t="n">
        <v>6</v>
      </c>
      <c r="K175" s="99" t="n">
        <v>53</v>
      </c>
      <c r="L175" s="99" t="n">
        <v>32</v>
      </c>
      <c r="M175" s="99" t="n">
        <v>22</v>
      </c>
      <c r="N175" s="99" t="n">
        <v>19</v>
      </c>
      <c r="O175" s="99" t="n">
        <v>7</v>
      </c>
      <c r="P175" s="99" t="n">
        <v>34</v>
      </c>
    </row>
    <row r="176" ht="16.15" customHeight="1" s="45">
      <c r="A176" s="96" t="n">
        <v>46309</v>
      </c>
      <c r="B176" s="97" t="inlineStr">
        <is>
          <t>Pós-Projeto</t>
        </is>
      </c>
      <c r="C176" s="100" t="inlineStr">
        <is>
          <t>Atend. Médico em UPA</t>
        </is>
      </c>
      <c r="D176" s="101" t="n">
        <v>190</v>
      </c>
      <c r="E176" s="101" t="n">
        <v>138</v>
      </c>
      <c r="F176" s="101" t="n">
        <v>129</v>
      </c>
      <c r="G176" s="101" t="n">
        <v>108</v>
      </c>
      <c r="H176" s="101" t="n">
        <v>94</v>
      </c>
      <c r="I176" s="101" t="n">
        <v>212</v>
      </c>
      <c r="J176" s="101" t="n">
        <v>119</v>
      </c>
      <c r="K176" s="101" t="n">
        <v>223</v>
      </c>
      <c r="L176" s="101" t="n">
        <v>100</v>
      </c>
      <c r="M176" s="101" t="n">
        <v>197</v>
      </c>
      <c r="N176" s="101" t="n">
        <v>185</v>
      </c>
      <c r="O176" s="101" t="n">
        <v>258</v>
      </c>
      <c r="P176" s="101" t="n">
        <v>174</v>
      </c>
    </row>
    <row r="177" ht="16.15" customHeight="1" s="45">
      <c r="A177" s="96" t="n">
        <v>46309</v>
      </c>
      <c r="B177" s="97" t="inlineStr">
        <is>
          <t>Pós-Projeto</t>
        </is>
      </c>
      <c r="C177" s="98" t="inlineStr">
        <is>
          <t>Exames Laboratoriais</t>
        </is>
      </c>
      <c r="D177" s="99" t="n">
        <v>485</v>
      </c>
      <c r="E177" s="99" t="n">
        <v>608</v>
      </c>
      <c r="F177" s="99" t="n">
        <v>415</v>
      </c>
      <c r="G177" s="99" t="n">
        <v>334</v>
      </c>
      <c r="H177" s="99" t="n">
        <v>402</v>
      </c>
      <c r="I177" s="99" t="n">
        <v>942</v>
      </c>
      <c r="J177" s="99" t="n">
        <v>460</v>
      </c>
      <c r="K177" s="99" t="n">
        <v>599</v>
      </c>
      <c r="L177" s="99" t="n">
        <v>642</v>
      </c>
      <c r="M177" s="99" t="n">
        <v>757</v>
      </c>
      <c r="N177" s="99" t="n">
        <v>734</v>
      </c>
      <c r="O177" s="99" t="n">
        <v>529</v>
      </c>
      <c r="P177" s="99" t="n">
        <v>600</v>
      </c>
    </row>
    <row r="178" ht="16.15" customHeight="1" s="45">
      <c r="A178" s="96" t="n">
        <v>46309</v>
      </c>
      <c r="B178" s="97" t="inlineStr">
        <is>
          <t>Pós-Projeto</t>
        </is>
      </c>
      <c r="C178" s="100" t="inlineStr">
        <is>
          <t>Radiografias</t>
        </is>
      </c>
      <c r="D178" s="101" t="n">
        <v>21</v>
      </c>
      <c r="E178" s="101" t="n">
        <v>25</v>
      </c>
      <c r="F178" s="101" t="n">
        <v>14</v>
      </c>
      <c r="G178" s="102" t="n">
        <v>0</v>
      </c>
      <c r="H178" s="101" t="n">
        <v>14</v>
      </c>
      <c r="I178" s="101" t="n">
        <v>44</v>
      </c>
      <c r="J178" s="101" t="n">
        <v>13</v>
      </c>
      <c r="K178" s="101" t="n">
        <v>44</v>
      </c>
      <c r="L178" s="101" t="n">
        <v>20</v>
      </c>
      <c r="M178" s="101" t="n">
        <v>39</v>
      </c>
      <c r="N178" s="101" t="n">
        <v>26</v>
      </c>
      <c r="O178" s="101" t="n">
        <v>59</v>
      </c>
      <c r="P178" s="101" t="n">
        <v>26</v>
      </c>
    </row>
    <row r="179" ht="16.15" customHeight="1" s="45">
      <c r="A179" s="96" t="n">
        <v>46309</v>
      </c>
      <c r="B179" s="97" t="inlineStr">
        <is>
          <t>Pós-Projeto</t>
        </is>
      </c>
      <c r="C179" s="98" t="inlineStr">
        <is>
          <t>Eletrocardiogramas</t>
        </is>
      </c>
      <c r="D179" s="99" t="n">
        <v>24</v>
      </c>
      <c r="E179" s="99" t="n">
        <v>10</v>
      </c>
      <c r="F179" s="99" t="n">
        <v>18</v>
      </c>
      <c r="G179" s="99" t="n">
        <v>1</v>
      </c>
      <c r="H179" s="99" t="n">
        <v>7</v>
      </c>
      <c r="I179" s="99" t="n">
        <v>1</v>
      </c>
      <c r="J179" s="102" t="n">
        <v>0</v>
      </c>
      <c r="K179" s="102" t="n">
        <v>0</v>
      </c>
      <c r="L179" s="102" t="n">
        <v>0</v>
      </c>
      <c r="M179" s="102" t="n">
        <v>0</v>
      </c>
      <c r="N179" s="99" t="n">
        <v>6</v>
      </c>
      <c r="O179" s="102" t="n">
        <v>0</v>
      </c>
      <c r="P179" s="99" t="n">
        <v>8</v>
      </c>
    </row>
    <row r="180" ht="16.15" customHeight="1" s="45">
      <c r="A180" s="96" t="n">
        <v>46309</v>
      </c>
      <c r="B180" s="97" t="inlineStr">
        <is>
          <t>Pós-Projeto</t>
        </is>
      </c>
      <c r="C180" s="103" t="inlineStr">
        <is>
          <t>GAEs Abertas</t>
        </is>
      </c>
      <c r="D180" s="104" t="n">
        <v>237</v>
      </c>
      <c r="E180" s="104" t="n">
        <v>213</v>
      </c>
      <c r="F180" s="104" t="n">
        <v>177</v>
      </c>
      <c r="G180" s="104" t="n">
        <v>178</v>
      </c>
      <c r="H180" s="104" t="n">
        <v>191</v>
      </c>
      <c r="I180" s="104" t="n">
        <v>234</v>
      </c>
      <c r="J180" s="104" t="n">
        <v>153</v>
      </c>
      <c r="K180" s="104" t="n">
        <v>350</v>
      </c>
      <c r="L180" s="104" t="n">
        <v>139</v>
      </c>
      <c r="M180" s="104" t="n">
        <v>285</v>
      </c>
      <c r="N180" s="104" t="n">
        <v>259</v>
      </c>
      <c r="O180" s="104" t="n">
        <v>312</v>
      </c>
      <c r="P180" s="104" t="n">
        <v>268</v>
      </c>
    </row>
    <row r="181" ht="16.15" customHeight="1" s="45">
      <c r="A181" s="96" t="n">
        <v>46309</v>
      </c>
      <c r="B181" s="97" t="inlineStr">
        <is>
          <t>Pós-Projeto</t>
        </is>
      </c>
      <c r="C181" s="103" t="inlineStr">
        <is>
          <t>GAEs Classificadas</t>
        </is>
      </c>
      <c r="D181" s="104" t="n">
        <v>222</v>
      </c>
      <c r="E181" s="104" t="n">
        <v>199</v>
      </c>
      <c r="F181" s="104" t="n">
        <v>176</v>
      </c>
      <c r="G181" s="104" t="n">
        <v>174</v>
      </c>
      <c r="H181" s="104" t="n">
        <v>178</v>
      </c>
      <c r="I181" s="104" t="n">
        <v>213</v>
      </c>
      <c r="J181" s="104" t="n">
        <v>143</v>
      </c>
      <c r="K181" s="104" t="n">
        <v>298</v>
      </c>
      <c r="L181" s="104" t="n">
        <v>136</v>
      </c>
      <c r="M181" s="104" t="n">
        <v>270</v>
      </c>
      <c r="N181" s="104" t="n">
        <v>252</v>
      </c>
      <c r="O181" s="104" t="n">
        <v>294</v>
      </c>
      <c r="P181" s="104" t="n">
        <v>264</v>
      </c>
    </row>
    <row r="182" ht="16.15" customHeight="1" s="45">
      <c r="A182" s="96" t="n">
        <v>46309</v>
      </c>
      <c r="B182" s="97" t="inlineStr">
        <is>
          <t>Pós-Projeto</t>
        </is>
      </c>
      <c r="C182" s="105" t="inlineStr">
        <is>
          <t>Percentual de GAEs abertas classificadas</t>
        </is>
      </c>
      <c r="D182" s="106">
        <f>IFERROR(D181/D180,"-")</f>
        <v/>
      </c>
      <c r="E182" s="106">
        <f>IFERROR(E181/E180,"-")</f>
        <v/>
      </c>
      <c r="F182" s="106">
        <f>IFERROR(F181/F180,"-")</f>
        <v/>
      </c>
      <c r="G182" s="106">
        <f>IFERROR(G181/G180,"-")</f>
        <v/>
      </c>
      <c r="H182" s="106">
        <f>IFERROR(H181/H180,"-")</f>
        <v/>
      </c>
      <c r="I182" s="106">
        <f>IFERROR(I181/I180,"-")</f>
        <v/>
      </c>
      <c r="J182" s="106">
        <f>IFERROR(J181/J180,"-")</f>
        <v/>
      </c>
      <c r="K182" s="106">
        <f>IFERROR(K181/K180,"-")</f>
        <v/>
      </c>
      <c r="L182" s="106">
        <f>IFERROR(L181/L180,"-")</f>
        <v/>
      </c>
      <c r="M182" s="106">
        <f>IFERROR(M181/M180,"-")</f>
        <v/>
      </c>
      <c r="N182" s="106">
        <f>IFERROR(N181/N180,"-")</f>
        <v/>
      </c>
      <c r="O182" s="106">
        <f>IFERROR(O181/O180,"-")</f>
        <v/>
      </c>
      <c r="P182" s="106">
        <f>IFERROR(P181/P180,"-")</f>
        <v/>
      </c>
    </row>
    <row r="183" ht="16.15" customHeight="1" s="45">
      <c r="A183" s="96" t="n">
        <v>46309</v>
      </c>
      <c r="B183" s="97" t="inlineStr">
        <is>
          <t>Pós-Projeto</t>
        </is>
      </c>
      <c r="C183" s="107" t="inlineStr">
        <is>
          <t>Tempo Médio — 🟡 Amarelo (hh:mm)</t>
        </is>
      </c>
      <c r="D183" s="121" t="n">
        <v>0.06472222222222222</v>
      </c>
      <c r="E183" s="121" t="n">
        <v>0.08225694444444444</v>
      </c>
      <c r="F183" s="121" t="n">
        <v>0.03037037037037037</v>
      </c>
      <c r="G183" s="121" t="n">
        <v>0.05131944444444445</v>
      </c>
      <c r="H183" s="121" t="n">
        <v>0.05790509259259259</v>
      </c>
      <c r="I183" s="121" t="n">
        <v>0.05695601851851852</v>
      </c>
      <c r="J183" s="121" t="n">
        <v>0.06060185185185185</v>
      </c>
      <c r="K183" s="121" t="n">
        <v>0.156712962962963</v>
      </c>
      <c r="L183" s="121" t="n">
        <v>0.05304398148148148</v>
      </c>
      <c r="M183" s="121" t="n">
        <v>0.05094907407407408</v>
      </c>
      <c r="N183" s="121" t="n">
        <v>0.1015740740740741</v>
      </c>
      <c r="O183" s="121" t="n">
        <v>0.04090277777777778</v>
      </c>
      <c r="P183" s="121" t="n">
        <v>0.04809027777777778</v>
      </c>
    </row>
    <row r="184" ht="16.15" customHeight="1" s="45">
      <c r="A184" s="96" t="n">
        <v>46309</v>
      </c>
      <c r="B184" s="97" t="inlineStr">
        <is>
          <t>Pós-Projeto</t>
        </is>
      </c>
      <c r="C184" s="109" t="inlineStr">
        <is>
          <t>Tempo Médio — 🟠 Laranja (hh:mm)</t>
        </is>
      </c>
      <c r="D184" s="122" t="n">
        <v>0.008159722222222223</v>
      </c>
      <c r="E184" s="122" t="n">
        <v>0.009849537037037037</v>
      </c>
      <c r="F184" s="122" t="n">
        <v>0.005671296296296297</v>
      </c>
      <c r="G184" s="122" t="n">
        <v>0.009432870370370371</v>
      </c>
      <c r="H184" s="122" t="n">
        <v>0.0053125</v>
      </c>
      <c r="I184" s="122" t="n">
        <v>0.004791666666666666</v>
      </c>
      <c r="J184" s="122" t="n">
        <v>0.01650462962962963</v>
      </c>
      <c r="K184" s="122" t="n">
        <v>0.02046296296296296</v>
      </c>
      <c r="L184" s="122" t="n">
        <v>0.01299768518518519</v>
      </c>
      <c r="M184" s="122" t="n">
        <v>0.009421296296296296</v>
      </c>
      <c r="N184" s="122" t="n">
        <v>0.01144675925925926</v>
      </c>
      <c r="O184" s="122" t="n">
        <v>0.008159722222222223</v>
      </c>
      <c r="P184" s="122" t="n">
        <v>0.006863425925925926</v>
      </c>
    </row>
    <row r="185" ht="16.15" customHeight="1" s="45">
      <c r="A185" s="111" t="n">
        <v>46309</v>
      </c>
      <c r="B185" s="112" t="inlineStr">
        <is>
          <t>Pós-Projeto</t>
        </is>
      </c>
      <c r="C185" s="113" t="inlineStr">
        <is>
          <t>Tempo Médio — 🟢 Verde   (hh:mm)</t>
        </is>
      </c>
      <c r="D185" s="123" t="n">
        <v>0.1144560185185185</v>
      </c>
      <c r="E185" s="123" t="n">
        <v>0.07199074074074074</v>
      </c>
      <c r="F185" s="123" t="n">
        <v>0.07664351851851851</v>
      </c>
      <c r="G185" s="123" t="n">
        <v>0.1351736111111111</v>
      </c>
      <c r="H185" s="123" t="n">
        <v>0.07576388888888889</v>
      </c>
      <c r="I185" s="123" t="n">
        <v>0.1191319444444444</v>
      </c>
      <c r="J185" s="123" t="n">
        <v>0.1430902777777778</v>
      </c>
      <c r="K185" s="123" t="n">
        <v>0.1385416666666667</v>
      </c>
      <c r="L185" s="123" t="n">
        <v>0.06193287037037037</v>
      </c>
      <c r="M185" s="123" t="n">
        <v>0.09502314814814815</v>
      </c>
      <c r="N185" s="123" t="n">
        <v>0.09900462962962962</v>
      </c>
      <c r="O185" s="123" t="n">
        <v>0.05002314814814815</v>
      </c>
      <c r="P185" s="123" t="n">
        <v>0.08950231481481481</v>
      </c>
    </row>
    <row r="186" ht="16.15" customHeight="1" s="45">
      <c r="A186" s="92" t="n">
        <v>46310</v>
      </c>
      <c r="B186" s="93" t="inlineStr">
        <is>
          <t>Pós-Projeto</t>
        </is>
      </c>
      <c r="C186" s="94" t="inlineStr">
        <is>
          <t>Acolhim. + Atend. Urgência + Atend. UPA</t>
        </is>
      </c>
      <c r="D186" s="95">
        <f>SUM(D187:D189)</f>
        <v/>
      </c>
      <c r="E186" s="95">
        <f>SUM(E187:E189)</f>
        <v/>
      </c>
      <c r="F186" s="95">
        <f>SUM(F187:F189)</f>
        <v/>
      </c>
      <c r="G186" s="95">
        <f>SUM(G187:G189)</f>
        <v/>
      </c>
      <c r="H186" s="95">
        <f>SUM(H187:H189)</f>
        <v/>
      </c>
      <c r="I186" s="95">
        <f>SUM(I187:I189)</f>
        <v/>
      </c>
      <c r="J186" s="95">
        <f>SUM(J187:J189)</f>
        <v/>
      </c>
      <c r="K186" s="95">
        <f>SUM(K187:K189)</f>
        <v/>
      </c>
      <c r="L186" s="95">
        <f>SUM(L187:L189)</f>
        <v/>
      </c>
      <c r="M186" s="95">
        <f>SUM(M187:M189)</f>
        <v/>
      </c>
      <c r="N186" s="95">
        <f>SUM(N187:N189)</f>
        <v/>
      </c>
      <c r="O186" s="95">
        <f>SUM(O187:O189)</f>
        <v/>
      </c>
      <c r="P186" s="95">
        <f>SUM(P187:P189)</f>
        <v/>
      </c>
    </row>
    <row r="187" ht="16.15" customHeight="1" s="45">
      <c r="A187" s="96" t="n">
        <v>46310</v>
      </c>
      <c r="B187" s="97" t="inlineStr">
        <is>
          <t>Pós-Projeto</t>
        </is>
      </c>
      <c r="C187" s="98" t="inlineStr">
        <is>
          <t>Acolhimento c/ Classif. de Risco</t>
        </is>
      </c>
      <c r="D187" s="99" t="n">
        <v>223</v>
      </c>
      <c r="E187" s="99" t="n">
        <v>166</v>
      </c>
      <c r="F187" s="99" t="n">
        <v>172</v>
      </c>
      <c r="G187" s="99" t="n">
        <v>146</v>
      </c>
      <c r="H187" s="99" t="n">
        <v>153</v>
      </c>
      <c r="I187" s="99" t="n">
        <v>204</v>
      </c>
      <c r="J187" s="99" t="n">
        <v>125</v>
      </c>
      <c r="K187" s="99" t="n">
        <v>285</v>
      </c>
      <c r="L187" s="99" t="n">
        <v>121</v>
      </c>
      <c r="M187" s="99" t="n">
        <v>204</v>
      </c>
      <c r="N187" s="99" t="n">
        <v>216</v>
      </c>
      <c r="O187" s="99" t="n">
        <v>274</v>
      </c>
      <c r="P187" s="99" t="n">
        <v>226</v>
      </c>
    </row>
    <row r="188" ht="16.15" customHeight="1" s="45">
      <c r="A188" s="96" t="n">
        <v>46310</v>
      </c>
      <c r="B188" s="97" t="inlineStr">
        <is>
          <t>Pós-Projeto</t>
        </is>
      </c>
      <c r="C188" s="100" t="inlineStr">
        <is>
          <t>Atend. Urgência Obs. ≤ 24h</t>
        </is>
      </c>
      <c r="D188" s="101" t="n">
        <v>17</v>
      </c>
      <c r="E188" s="101" t="n">
        <v>12</v>
      </c>
      <c r="F188" s="101" t="n">
        <v>19</v>
      </c>
      <c r="G188" s="101" t="n">
        <v>17</v>
      </c>
      <c r="H188" s="101" t="n">
        <v>17</v>
      </c>
      <c r="I188" s="101" t="n">
        <v>21</v>
      </c>
      <c r="J188" s="101" t="n">
        <v>9</v>
      </c>
      <c r="K188" s="101" t="n">
        <v>50</v>
      </c>
      <c r="L188" s="101" t="n">
        <v>31</v>
      </c>
      <c r="M188" s="101" t="n">
        <v>30</v>
      </c>
      <c r="N188" s="101" t="n">
        <v>29</v>
      </c>
      <c r="O188" s="101" t="n">
        <v>6</v>
      </c>
      <c r="P188" s="101" t="n">
        <v>11</v>
      </c>
    </row>
    <row r="189" ht="16.15" customHeight="1" s="45">
      <c r="A189" s="96" t="n">
        <v>46310</v>
      </c>
      <c r="B189" s="97" t="inlineStr">
        <is>
          <t>Pós-Projeto</t>
        </is>
      </c>
      <c r="C189" s="98" t="inlineStr">
        <is>
          <t>Atend. Médico em UPA</t>
        </is>
      </c>
      <c r="D189" s="99" t="n">
        <v>216</v>
      </c>
      <c r="E189" s="99" t="n">
        <v>93</v>
      </c>
      <c r="F189" s="99" t="n">
        <v>141</v>
      </c>
      <c r="G189" s="99" t="n">
        <v>98</v>
      </c>
      <c r="H189" s="99" t="n">
        <v>98</v>
      </c>
      <c r="I189" s="99" t="n">
        <v>163</v>
      </c>
      <c r="J189" s="99" t="n">
        <v>116</v>
      </c>
      <c r="K189" s="99" t="n">
        <v>238</v>
      </c>
      <c r="L189" s="99" t="n">
        <v>90</v>
      </c>
      <c r="M189" s="99" t="n">
        <v>133</v>
      </c>
      <c r="N189" s="99" t="n">
        <v>194</v>
      </c>
      <c r="O189" s="99" t="n">
        <v>222</v>
      </c>
      <c r="P189" s="99" t="n">
        <v>167</v>
      </c>
    </row>
    <row r="190" ht="16.15" customHeight="1" s="45">
      <c r="A190" s="96" t="n">
        <v>46310</v>
      </c>
      <c r="B190" s="97" t="inlineStr">
        <is>
          <t>Pós-Projeto</t>
        </is>
      </c>
      <c r="C190" s="100" t="inlineStr">
        <is>
          <t>Exames Laboratoriais</t>
        </is>
      </c>
      <c r="D190" s="101" t="n">
        <v>631</v>
      </c>
      <c r="E190" s="101" t="n">
        <v>428</v>
      </c>
      <c r="F190" s="101" t="n">
        <v>723</v>
      </c>
      <c r="G190" s="101" t="n">
        <v>187</v>
      </c>
      <c r="H190" s="101" t="n">
        <v>472</v>
      </c>
      <c r="I190" s="101" t="n">
        <v>749</v>
      </c>
      <c r="J190" s="101" t="n">
        <v>446</v>
      </c>
      <c r="K190" s="101" t="n">
        <v>905</v>
      </c>
      <c r="L190" s="101" t="n">
        <v>621</v>
      </c>
      <c r="M190" s="101" t="n">
        <v>715</v>
      </c>
      <c r="N190" s="101" t="n">
        <v>706</v>
      </c>
      <c r="O190" s="101" t="n">
        <v>320</v>
      </c>
      <c r="P190" s="101" t="n">
        <v>218</v>
      </c>
    </row>
    <row r="191" ht="16.15" customHeight="1" s="45">
      <c r="A191" s="96" t="n">
        <v>46310</v>
      </c>
      <c r="B191" s="97" t="inlineStr">
        <is>
          <t>Pós-Projeto</t>
        </is>
      </c>
      <c r="C191" s="98" t="inlineStr">
        <is>
          <t>Radiografias</t>
        </is>
      </c>
      <c r="D191" s="99" t="n">
        <v>32</v>
      </c>
      <c r="E191" s="99" t="n">
        <v>24</v>
      </c>
      <c r="F191" s="99" t="n">
        <v>29</v>
      </c>
      <c r="G191" s="102" t="n">
        <v>0</v>
      </c>
      <c r="H191" s="99" t="n">
        <v>13</v>
      </c>
      <c r="I191" s="99" t="n">
        <v>21</v>
      </c>
      <c r="J191" s="99" t="n">
        <v>21</v>
      </c>
      <c r="K191" s="99" t="n">
        <v>32</v>
      </c>
      <c r="L191" s="99" t="n">
        <v>8</v>
      </c>
      <c r="M191" s="99" t="n">
        <v>33</v>
      </c>
      <c r="N191" s="99" t="n">
        <v>26</v>
      </c>
      <c r="O191" s="99" t="n">
        <v>37</v>
      </c>
      <c r="P191" s="99" t="n">
        <v>28</v>
      </c>
    </row>
    <row r="192" ht="16.15" customHeight="1" s="45">
      <c r="A192" s="96" t="n">
        <v>46310</v>
      </c>
      <c r="B192" s="97" t="inlineStr">
        <is>
          <t>Pós-Projeto</t>
        </is>
      </c>
      <c r="C192" s="100" t="inlineStr">
        <is>
          <t>Eletrocardiogramas</t>
        </is>
      </c>
      <c r="D192" s="101" t="n">
        <v>1</v>
      </c>
      <c r="E192" s="101" t="n">
        <v>5</v>
      </c>
      <c r="F192" s="101" t="n">
        <v>26</v>
      </c>
      <c r="G192" s="102" t="n">
        <v>0</v>
      </c>
      <c r="H192" s="101" t="n">
        <v>1</v>
      </c>
      <c r="I192" s="102" t="n">
        <v>0</v>
      </c>
      <c r="J192" s="102" t="n">
        <v>0</v>
      </c>
      <c r="K192" s="102" t="n">
        <v>0</v>
      </c>
      <c r="L192" s="102" t="n">
        <v>0</v>
      </c>
      <c r="M192" s="102" t="n">
        <v>0</v>
      </c>
      <c r="N192" s="101" t="n">
        <v>13</v>
      </c>
      <c r="O192" s="102" t="n">
        <v>0</v>
      </c>
      <c r="P192" s="101" t="n">
        <v>3</v>
      </c>
    </row>
    <row r="193" ht="16.15" customHeight="1" s="45">
      <c r="A193" s="96" t="n">
        <v>46310</v>
      </c>
      <c r="B193" s="97" t="inlineStr">
        <is>
          <t>Pós-Projeto</t>
        </is>
      </c>
      <c r="C193" s="103" t="inlineStr">
        <is>
          <t>GAEs Abertas</t>
        </is>
      </c>
      <c r="D193" s="104" t="n">
        <v>225</v>
      </c>
      <c r="E193" s="104" t="n">
        <v>172</v>
      </c>
      <c r="F193" s="104" t="n">
        <v>174</v>
      </c>
      <c r="G193" s="104" t="n">
        <v>152</v>
      </c>
      <c r="H193" s="104" t="n">
        <v>159</v>
      </c>
      <c r="I193" s="104" t="n">
        <v>215</v>
      </c>
      <c r="J193" s="104" t="n">
        <v>129</v>
      </c>
      <c r="K193" s="104" t="n">
        <v>303</v>
      </c>
      <c r="L193" s="104" t="n">
        <v>128</v>
      </c>
      <c r="M193" s="104" t="n">
        <v>211</v>
      </c>
      <c r="N193" s="104" t="n">
        <v>226</v>
      </c>
      <c r="O193" s="104" t="n">
        <v>283</v>
      </c>
      <c r="P193" s="104" t="n">
        <v>232</v>
      </c>
    </row>
    <row r="194" ht="16.15" customHeight="1" s="45">
      <c r="A194" s="96" t="n">
        <v>46310</v>
      </c>
      <c r="B194" s="97" t="inlineStr">
        <is>
          <t>Pós-Projeto</t>
        </is>
      </c>
      <c r="C194" s="103" t="inlineStr">
        <is>
          <t>GAEs Classificadas</t>
        </is>
      </c>
      <c r="D194" s="104" t="n">
        <v>221</v>
      </c>
      <c r="E194" s="104" t="n">
        <v>165</v>
      </c>
      <c r="F194" s="104" t="n">
        <v>171</v>
      </c>
      <c r="G194" s="104" t="n">
        <v>145</v>
      </c>
      <c r="H194" s="104" t="n">
        <v>155</v>
      </c>
      <c r="I194" s="104" t="n">
        <v>204</v>
      </c>
      <c r="J194" s="104" t="n">
        <v>124</v>
      </c>
      <c r="K194" s="104" t="n">
        <v>283</v>
      </c>
      <c r="L194" s="104" t="n">
        <v>121</v>
      </c>
      <c r="M194" s="104" t="n">
        <v>197</v>
      </c>
      <c r="N194" s="104" t="n">
        <v>212</v>
      </c>
      <c r="O194" s="104" t="n">
        <v>275</v>
      </c>
      <c r="P194" s="104" t="n">
        <v>224</v>
      </c>
    </row>
    <row r="195" ht="16.15" customHeight="1" s="45">
      <c r="A195" s="96" t="n">
        <v>46310</v>
      </c>
      <c r="B195" s="97" t="inlineStr">
        <is>
          <t>Pós-Projeto</t>
        </is>
      </c>
      <c r="C195" s="105" t="inlineStr">
        <is>
          <t>Percentual de GAEs abertas classificadas</t>
        </is>
      </c>
      <c r="D195" s="106">
        <f>IFERROR(D194/D193,"-")</f>
        <v/>
      </c>
      <c r="E195" s="106">
        <f>IFERROR(E194/E193,"-")</f>
        <v/>
      </c>
      <c r="F195" s="106">
        <f>IFERROR(F194/F193,"-")</f>
        <v/>
      </c>
      <c r="G195" s="106">
        <f>IFERROR(G194/G193,"-")</f>
        <v/>
      </c>
      <c r="H195" s="106">
        <f>IFERROR(H194/H193,"-")</f>
        <v/>
      </c>
      <c r="I195" s="106">
        <f>IFERROR(I194/I193,"-")</f>
        <v/>
      </c>
      <c r="J195" s="106">
        <f>IFERROR(J194/J193,"-")</f>
        <v/>
      </c>
      <c r="K195" s="106">
        <f>IFERROR(K194/K193,"-")</f>
        <v/>
      </c>
      <c r="L195" s="106">
        <f>IFERROR(L194/L193,"-")</f>
        <v/>
      </c>
      <c r="M195" s="106">
        <f>IFERROR(M194/M193,"-")</f>
        <v/>
      </c>
      <c r="N195" s="106">
        <f>IFERROR(N194/N193,"-")</f>
        <v/>
      </c>
      <c r="O195" s="106">
        <f>IFERROR(O194/O193,"-")</f>
        <v/>
      </c>
      <c r="P195" s="106">
        <f>IFERROR(P194/P193,"-")</f>
        <v/>
      </c>
    </row>
    <row r="196" ht="16.15" customHeight="1" s="45">
      <c r="A196" s="96" t="n">
        <v>46310</v>
      </c>
      <c r="B196" s="97" t="inlineStr">
        <is>
          <t>Pós-Projeto</t>
        </is>
      </c>
      <c r="C196" s="107" t="inlineStr">
        <is>
          <t>Tempo Médio — 🟡 Amarelo (hh:mm)</t>
        </is>
      </c>
      <c r="D196" s="121" t="n">
        <v>0.07150462962962963</v>
      </c>
      <c r="E196" s="121" t="n">
        <v>0.0627199074074074</v>
      </c>
      <c r="F196" s="121" t="n">
        <v>0.03515046296296296</v>
      </c>
      <c r="G196" s="121" t="n">
        <v>0.05608796296296296</v>
      </c>
      <c r="H196" s="121" t="n">
        <v>0.04884259259259259</v>
      </c>
      <c r="I196" s="121" t="n">
        <v>0.01850694444444444</v>
      </c>
      <c r="J196" s="121" t="n">
        <v>0.0449537037037037</v>
      </c>
      <c r="K196" s="121" t="n">
        <v>0.09547453703703704</v>
      </c>
      <c r="L196" s="121" t="n">
        <v>0.08497685185185185</v>
      </c>
      <c r="M196" s="121" t="n">
        <v>0.03209490740740741</v>
      </c>
      <c r="N196" s="121" t="n">
        <v>0.07509259259259259</v>
      </c>
      <c r="O196" s="121" t="n">
        <v>0.03024305555555555</v>
      </c>
      <c r="P196" s="121" t="n">
        <v>0.05547453703703704</v>
      </c>
    </row>
    <row r="197" ht="16.15" customHeight="1" s="45">
      <c r="A197" s="96" t="n">
        <v>46310</v>
      </c>
      <c r="B197" s="97" t="inlineStr">
        <is>
          <t>Pós-Projeto</t>
        </is>
      </c>
      <c r="C197" s="109" t="inlineStr">
        <is>
          <t>Tempo Médio — 🟠 Laranja (hh:mm)</t>
        </is>
      </c>
      <c r="D197" s="122" t="n">
        <v>0.008645833333333333</v>
      </c>
      <c r="E197" s="122" t="n">
        <v>0.01413194444444445</v>
      </c>
      <c r="F197" s="122" t="n">
        <v>0.005601851851851852</v>
      </c>
      <c r="G197" s="122" t="n">
        <v>0.01019675925925926</v>
      </c>
      <c r="H197" s="122" t="n">
        <v>0.006041666666666667</v>
      </c>
      <c r="I197" s="122" t="n">
        <v>0.004907407407407407</v>
      </c>
      <c r="J197" s="122" t="n">
        <v>0.007592592592592593</v>
      </c>
      <c r="K197" s="122" t="n">
        <v>0.01211805555555556</v>
      </c>
      <c r="L197" s="122" t="n">
        <v>0.01155092592592593</v>
      </c>
      <c r="M197" s="122" t="n">
        <v>0.01076388888888889</v>
      </c>
      <c r="N197" s="122" t="n">
        <v>0.01006944444444445</v>
      </c>
      <c r="O197" s="122" t="n">
        <v>0.007615740740740741</v>
      </c>
      <c r="P197" s="122" t="n">
        <v>0.01950231481481482</v>
      </c>
    </row>
    <row r="198" ht="16.15" customHeight="1" s="45">
      <c r="A198" s="111" t="n">
        <v>46310</v>
      </c>
      <c r="B198" s="112" t="inlineStr">
        <is>
          <t>Pós-Projeto</t>
        </is>
      </c>
      <c r="C198" s="113" t="inlineStr">
        <is>
          <t>Tempo Médio — 🟢 Verde   (hh:mm)</t>
        </is>
      </c>
      <c r="D198" s="123" t="n">
        <v>0.08098379629629629</v>
      </c>
      <c r="E198" s="123" t="n">
        <v>0.09658564814814814</v>
      </c>
      <c r="F198" s="123" t="n">
        <v>0.07032407407407408</v>
      </c>
      <c r="G198" s="123" t="n">
        <v>0.1221643518518519</v>
      </c>
      <c r="H198" s="123" t="n">
        <v>0.09153935185185186</v>
      </c>
      <c r="I198" s="123" t="n">
        <v>0.09699074074074074</v>
      </c>
      <c r="J198" s="123" t="n">
        <v>0.06707175925925926</v>
      </c>
      <c r="K198" s="123" t="n">
        <v>0.1235532407407407</v>
      </c>
      <c r="L198" s="123" t="n">
        <v>0.09196759259259259</v>
      </c>
      <c r="M198" s="123" t="n">
        <v>0.0421412037037037</v>
      </c>
      <c r="N198" s="123" t="n">
        <v>0.04871527777777778</v>
      </c>
      <c r="O198" s="123" t="n">
        <v>0.08814814814814814</v>
      </c>
      <c r="P198" s="123" t="n">
        <v>0.06497685185185186</v>
      </c>
    </row>
    <row r="199" ht="16.15" customHeight="1" s="45">
      <c r="A199" s="92" t="n">
        <v>46311</v>
      </c>
      <c r="B199" s="93" t="inlineStr">
        <is>
          <t>Pós-Projeto</t>
        </is>
      </c>
      <c r="C199" s="94" t="inlineStr">
        <is>
          <t>Acolhim. + Atend. Urgência + Atend. UPA</t>
        </is>
      </c>
      <c r="D199" s="95">
        <f>SUM(D200:D202)</f>
        <v/>
      </c>
      <c r="E199" s="95">
        <f>SUM(E200:E202)</f>
        <v/>
      </c>
      <c r="F199" s="95">
        <f>SUM(F200:F202)</f>
        <v/>
      </c>
      <c r="G199" s="95">
        <f>SUM(G200:G202)</f>
        <v/>
      </c>
      <c r="H199" s="95">
        <f>SUM(H200:H202)</f>
        <v/>
      </c>
      <c r="I199" s="95">
        <f>SUM(I200:I202)</f>
        <v/>
      </c>
      <c r="J199" s="95">
        <f>SUM(J200:J202)</f>
        <v/>
      </c>
      <c r="K199" s="95">
        <f>SUM(K200:K202)</f>
        <v/>
      </c>
      <c r="L199" s="95">
        <f>SUM(L200:L202)</f>
        <v/>
      </c>
      <c r="M199" s="95">
        <f>SUM(M200:M202)</f>
        <v/>
      </c>
      <c r="N199" s="95">
        <f>SUM(N200:N202)</f>
        <v/>
      </c>
      <c r="O199" s="95">
        <f>SUM(O200:O202)</f>
        <v/>
      </c>
      <c r="P199" s="95">
        <f>SUM(P200:P202)</f>
        <v/>
      </c>
    </row>
    <row r="200" ht="16.15" customHeight="1" s="45">
      <c r="A200" s="96" t="n">
        <v>46311</v>
      </c>
      <c r="B200" s="97" t="inlineStr">
        <is>
          <t>Pós-Projeto</t>
        </is>
      </c>
      <c r="C200" s="100" t="inlineStr">
        <is>
          <t>Acolhimento c/ Classif. de Risco</t>
        </is>
      </c>
      <c r="D200" s="101" t="n">
        <v>201</v>
      </c>
      <c r="E200" s="101" t="n">
        <v>167</v>
      </c>
      <c r="F200" s="101" t="n">
        <v>194</v>
      </c>
      <c r="G200" s="101" t="n">
        <v>132</v>
      </c>
      <c r="H200" s="101" t="n">
        <v>154</v>
      </c>
      <c r="I200" s="101" t="n">
        <v>225</v>
      </c>
      <c r="J200" s="101" t="n">
        <v>113</v>
      </c>
      <c r="K200" s="101" t="n">
        <v>277</v>
      </c>
      <c r="L200" s="101" t="n">
        <v>141</v>
      </c>
      <c r="M200" s="101" t="n">
        <v>215</v>
      </c>
      <c r="N200" s="101" t="n">
        <v>183</v>
      </c>
      <c r="O200" s="101" t="n">
        <v>270</v>
      </c>
      <c r="P200" s="101" t="n">
        <v>228</v>
      </c>
    </row>
    <row r="201" ht="16.15" customHeight="1" s="45">
      <c r="A201" s="96" t="n">
        <v>46311</v>
      </c>
      <c r="B201" s="97" t="inlineStr">
        <is>
          <t>Pós-Projeto</t>
        </is>
      </c>
      <c r="C201" s="98" t="inlineStr">
        <is>
          <t>Atend. Urgência Obs. ≤ 24h</t>
        </is>
      </c>
      <c r="D201" s="99" t="n">
        <v>31</v>
      </c>
      <c r="E201" s="99" t="n">
        <v>12</v>
      </c>
      <c r="F201" s="99" t="n">
        <v>31</v>
      </c>
      <c r="G201" s="99" t="n">
        <v>13</v>
      </c>
      <c r="H201" s="99" t="n">
        <v>16</v>
      </c>
      <c r="I201" s="99" t="n">
        <v>30</v>
      </c>
      <c r="J201" s="99" t="n">
        <v>16</v>
      </c>
      <c r="K201" s="99" t="n">
        <v>57</v>
      </c>
      <c r="L201" s="99" t="n">
        <v>26</v>
      </c>
      <c r="M201" s="99" t="n">
        <v>20</v>
      </c>
      <c r="N201" s="99" t="n">
        <v>44</v>
      </c>
      <c r="O201" s="99" t="n">
        <v>15</v>
      </c>
      <c r="P201" s="99" t="n">
        <v>13</v>
      </c>
    </row>
    <row r="202" ht="16.15" customHeight="1" s="45">
      <c r="A202" s="96" t="n">
        <v>46311</v>
      </c>
      <c r="B202" s="97" t="inlineStr">
        <is>
          <t>Pós-Projeto</t>
        </is>
      </c>
      <c r="C202" s="100" t="inlineStr">
        <is>
          <t>Atend. Médico em UPA</t>
        </is>
      </c>
      <c r="D202" s="101" t="n">
        <v>140</v>
      </c>
      <c r="E202" s="101" t="n">
        <v>116</v>
      </c>
      <c r="F202" s="101" t="n">
        <v>160</v>
      </c>
      <c r="G202" s="101" t="n">
        <v>100</v>
      </c>
      <c r="H202" s="101" t="n">
        <v>120</v>
      </c>
      <c r="I202" s="101" t="n">
        <v>207</v>
      </c>
      <c r="J202" s="101" t="n">
        <v>98</v>
      </c>
      <c r="K202" s="101" t="n">
        <v>239</v>
      </c>
      <c r="L202" s="101" t="n">
        <v>99</v>
      </c>
      <c r="M202" s="101" t="n">
        <v>170</v>
      </c>
      <c r="N202" s="101" t="n">
        <v>155</v>
      </c>
      <c r="O202" s="101" t="n">
        <v>232</v>
      </c>
      <c r="P202" s="101" t="n">
        <v>144</v>
      </c>
    </row>
    <row r="203" ht="16.15" customHeight="1" s="45">
      <c r="A203" s="96" t="n">
        <v>46311</v>
      </c>
      <c r="B203" s="97" t="inlineStr">
        <is>
          <t>Pós-Projeto</t>
        </is>
      </c>
      <c r="C203" s="98" t="inlineStr">
        <is>
          <t>Exames Laboratoriais</t>
        </is>
      </c>
      <c r="D203" s="99" t="n">
        <v>505</v>
      </c>
      <c r="E203" s="99" t="n">
        <v>389</v>
      </c>
      <c r="F203" s="99" t="n">
        <v>636</v>
      </c>
      <c r="G203" s="99" t="n">
        <v>281</v>
      </c>
      <c r="H203" s="99" t="n">
        <v>528</v>
      </c>
      <c r="I203" s="99" t="n">
        <v>639</v>
      </c>
      <c r="J203" s="99" t="n">
        <v>436</v>
      </c>
      <c r="K203" s="99" t="n">
        <v>868</v>
      </c>
      <c r="L203" s="99" t="n">
        <v>547</v>
      </c>
      <c r="M203" s="99" t="n">
        <v>423</v>
      </c>
      <c r="N203" s="99" t="n">
        <v>415</v>
      </c>
      <c r="O203" s="99" t="n">
        <v>395</v>
      </c>
      <c r="P203" s="99" t="n">
        <v>537</v>
      </c>
    </row>
    <row r="204" ht="16.15" customHeight="1" s="45">
      <c r="A204" s="96" t="n">
        <v>46311</v>
      </c>
      <c r="B204" s="97" t="inlineStr">
        <is>
          <t>Pós-Projeto</t>
        </is>
      </c>
      <c r="C204" s="100" t="inlineStr">
        <is>
          <t>Radiografias</t>
        </is>
      </c>
      <c r="D204" s="101" t="n">
        <v>24</v>
      </c>
      <c r="E204" s="101" t="n">
        <v>19</v>
      </c>
      <c r="F204" s="101" t="n">
        <v>26</v>
      </c>
      <c r="G204" s="102" t="n">
        <v>0</v>
      </c>
      <c r="H204" s="101" t="n">
        <v>24</v>
      </c>
      <c r="I204" s="101" t="n">
        <v>38</v>
      </c>
      <c r="J204" s="101" t="n">
        <v>28</v>
      </c>
      <c r="K204" s="101" t="n">
        <v>44</v>
      </c>
      <c r="L204" s="101" t="n">
        <v>20</v>
      </c>
      <c r="M204" s="101" t="n">
        <v>19</v>
      </c>
      <c r="N204" s="101" t="n">
        <v>17</v>
      </c>
      <c r="O204" s="101" t="n">
        <v>44</v>
      </c>
      <c r="P204" s="101" t="n">
        <v>26</v>
      </c>
    </row>
    <row r="205" ht="16.15" customHeight="1" s="45">
      <c r="A205" s="96" t="n">
        <v>46311</v>
      </c>
      <c r="B205" s="97" t="inlineStr">
        <is>
          <t>Pós-Projeto</t>
        </is>
      </c>
      <c r="C205" s="98" t="inlineStr">
        <is>
          <t>Eletrocardiogramas</t>
        </is>
      </c>
      <c r="D205" s="102" t="n">
        <v>0</v>
      </c>
      <c r="E205" s="99" t="n">
        <v>1</v>
      </c>
      <c r="F205" s="99" t="n">
        <v>2</v>
      </c>
      <c r="G205" s="102" t="n">
        <v>0</v>
      </c>
      <c r="H205" s="102" t="n">
        <v>0</v>
      </c>
      <c r="I205" s="102" t="n">
        <v>0</v>
      </c>
      <c r="J205" s="102" t="n">
        <v>0</v>
      </c>
      <c r="K205" s="102" t="n">
        <v>0</v>
      </c>
      <c r="L205" s="102" t="n">
        <v>0</v>
      </c>
      <c r="M205" s="102" t="n">
        <v>0</v>
      </c>
      <c r="N205" s="99" t="n">
        <v>1</v>
      </c>
      <c r="O205" s="102" t="n">
        <v>0</v>
      </c>
      <c r="P205" s="99" t="n">
        <v>3</v>
      </c>
    </row>
    <row r="206" ht="16.15" customHeight="1" s="45">
      <c r="A206" s="96" t="n">
        <v>46311</v>
      </c>
      <c r="B206" s="97" t="inlineStr">
        <is>
          <t>Pós-Projeto</t>
        </is>
      </c>
      <c r="C206" s="103" t="inlineStr">
        <is>
          <t>GAEs Abertas</t>
        </is>
      </c>
      <c r="D206" s="104" t="n">
        <v>232</v>
      </c>
      <c r="E206" s="104" t="n">
        <v>173</v>
      </c>
      <c r="F206" s="104" t="n">
        <v>195</v>
      </c>
      <c r="G206" s="104" t="n">
        <v>136</v>
      </c>
      <c r="H206" s="104" t="n">
        <v>155</v>
      </c>
      <c r="I206" s="104" t="n">
        <v>247</v>
      </c>
      <c r="J206" s="104" t="n">
        <v>117</v>
      </c>
      <c r="K206" s="104" t="n">
        <v>296</v>
      </c>
      <c r="L206" s="104" t="n">
        <v>145</v>
      </c>
      <c r="M206" s="104" t="n">
        <v>228</v>
      </c>
      <c r="N206" s="104" t="n">
        <v>196</v>
      </c>
      <c r="O206" s="104" t="n">
        <v>278</v>
      </c>
      <c r="P206" s="104" t="n">
        <v>239</v>
      </c>
    </row>
    <row r="207" ht="16.15" customHeight="1" s="45">
      <c r="A207" s="96" t="n">
        <v>46311</v>
      </c>
      <c r="B207" s="97" t="inlineStr">
        <is>
          <t>Pós-Projeto</t>
        </is>
      </c>
      <c r="C207" s="103" t="inlineStr">
        <is>
          <t>GAEs Classificadas</t>
        </is>
      </c>
      <c r="D207" s="104" t="n">
        <v>204</v>
      </c>
      <c r="E207" s="104" t="n">
        <v>167</v>
      </c>
      <c r="F207" s="104" t="n">
        <v>193</v>
      </c>
      <c r="G207" s="104" t="n">
        <v>134</v>
      </c>
      <c r="H207" s="104" t="n">
        <v>151</v>
      </c>
      <c r="I207" s="104" t="n">
        <v>226</v>
      </c>
      <c r="J207" s="104" t="n">
        <v>114</v>
      </c>
      <c r="K207" s="104" t="n">
        <v>277</v>
      </c>
      <c r="L207" s="104" t="n">
        <v>142</v>
      </c>
      <c r="M207" s="104" t="n">
        <v>219</v>
      </c>
      <c r="N207" s="104" t="n">
        <v>183</v>
      </c>
      <c r="O207" s="104" t="n">
        <v>267</v>
      </c>
      <c r="P207" s="104" t="n">
        <v>228</v>
      </c>
    </row>
    <row r="208" ht="16.15" customHeight="1" s="45">
      <c r="A208" s="96" t="n">
        <v>46311</v>
      </c>
      <c r="B208" s="97" t="inlineStr">
        <is>
          <t>Pós-Projeto</t>
        </is>
      </c>
      <c r="C208" s="105" t="inlineStr">
        <is>
          <t>Percentual de GAEs abertas classificadas</t>
        </is>
      </c>
      <c r="D208" s="106">
        <f>IFERROR(D207/D206,"-")</f>
        <v/>
      </c>
      <c r="E208" s="106">
        <f>IFERROR(E207/E206,"-")</f>
        <v/>
      </c>
      <c r="F208" s="106">
        <f>IFERROR(F207/F206,"-")</f>
        <v/>
      </c>
      <c r="G208" s="106">
        <f>IFERROR(G207/G206,"-")</f>
        <v/>
      </c>
      <c r="H208" s="106">
        <f>IFERROR(H207/H206,"-")</f>
        <v/>
      </c>
      <c r="I208" s="106">
        <f>IFERROR(I207/I206,"-")</f>
        <v/>
      </c>
      <c r="J208" s="106">
        <f>IFERROR(J207/J206,"-")</f>
        <v/>
      </c>
      <c r="K208" s="106">
        <f>IFERROR(K207/K206,"-")</f>
        <v/>
      </c>
      <c r="L208" s="106">
        <f>IFERROR(L207/L206,"-")</f>
        <v/>
      </c>
      <c r="M208" s="106">
        <f>IFERROR(M207/M206,"-")</f>
        <v/>
      </c>
      <c r="N208" s="106">
        <f>IFERROR(N207/N206,"-")</f>
        <v/>
      </c>
      <c r="O208" s="106">
        <f>IFERROR(O207/O206,"-")</f>
        <v/>
      </c>
      <c r="P208" s="106">
        <f>IFERROR(P207/P206,"-")</f>
        <v/>
      </c>
    </row>
    <row r="209" ht="16.15" customHeight="1" s="45">
      <c r="A209" s="96" t="n">
        <v>46311</v>
      </c>
      <c r="B209" s="97" t="inlineStr">
        <is>
          <t>Pós-Projeto</t>
        </is>
      </c>
      <c r="C209" s="107" t="inlineStr">
        <is>
          <t>Tempo Médio — 🟡 Amarelo (hh:mm)</t>
        </is>
      </c>
      <c r="D209" s="121" t="n">
        <v>0.09736111111111111</v>
      </c>
      <c r="E209" s="121" t="n">
        <v>0.1022685185185185</v>
      </c>
      <c r="F209" s="121" t="n">
        <v>0.04371527777777778</v>
      </c>
      <c r="G209" s="121" t="n">
        <v>0.03005787037037037</v>
      </c>
      <c r="H209" s="121" t="n">
        <v>0.02300925925925926</v>
      </c>
      <c r="I209" s="121" t="n">
        <v>0.02502314814814815</v>
      </c>
      <c r="J209" s="121" t="n">
        <v>0.04717592592592593</v>
      </c>
      <c r="K209" s="121" t="n">
        <v>0.05657407407407408</v>
      </c>
      <c r="L209" s="121" t="n">
        <v>0.02678240740740741</v>
      </c>
      <c r="M209" s="121" t="n">
        <v>0.02004629629629629</v>
      </c>
      <c r="N209" s="121" t="n">
        <v>0.06641203703703703</v>
      </c>
      <c r="O209" s="121" t="n">
        <v>0.05546296296296296</v>
      </c>
      <c r="P209" s="121" t="n">
        <v>0.07883101851851852</v>
      </c>
    </row>
    <row r="210" ht="16.15" customHeight="1" s="45">
      <c r="A210" s="96" t="n">
        <v>46311</v>
      </c>
      <c r="B210" s="97" t="inlineStr">
        <is>
          <t>Pós-Projeto</t>
        </is>
      </c>
      <c r="C210" s="109" t="inlineStr">
        <is>
          <t>Tempo Médio — 🟠 Laranja (hh:mm)</t>
        </is>
      </c>
      <c r="D210" s="122" t="n">
        <v>0.01006944444444445</v>
      </c>
      <c r="E210" s="122" t="n">
        <v>0.006319444444444444</v>
      </c>
      <c r="F210" s="122" t="n">
        <v>0.005150462962962963</v>
      </c>
      <c r="G210" s="122" t="n">
        <v>0.002951388888888889</v>
      </c>
      <c r="H210" s="122" t="n">
        <v>0.0065625</v>
      </c>
      <c r="I210" s="122" t="n">
        <v>0.003969907407407407</v>
      </c>
      <c r="J210" s="122" t="n">
        <v>0.01236111111111111</v>
      </c>
      <c r="K210" s="122" t="n">
        <v>0.01530092592592593</v>
      </c>
      <c r="L210" s="122" t="n">
        <v>0.005555555555555556</v>
      </c>
      <c r="M210" s="122" t="n">
        <v>0.005729166666666666</v>
      </c>
      <c r="N210" s="122" t="n">
        <v>0.009155092592592593</v>
      </c>
      <c r="O210" s="122" t="n">
        <v>0.01284722222222222</v>
      </c>
      <c r="P210" s="122" t="n">
        <v>0.01965277777777778</v>
      </c>
    </row>
    <row r="211" ht="16.15" customHeight="1" s="45">
      <c r="A211" s="111" t="n">
        <v>46311</v>
      </c>
      <c r="B211" s="112" t="inlineStr">
        <is>
          <t>Pós-Projeto</t>
        </is>
      </c>
      <c r="C211" s="113" t="inlineStr">
        <is>
          <t>Tempo Médio — 🟢 Verde   (hh:mm)</t>
        </is>
      </c>
      <c r="D211" s="123" t="n">
        <v>0.09354166666666666</v>
      </c>
      <c r="E211" s="123" t="n">
        <v>0.1075115740740741</v>
      </c>
      <c r="F211" s="123" t="n">
        <v>0.05247685185185185</v>
      </c>
      <c r="G211" s="123" t="n">
        <v>0.08822916666666666</v>
      </c>
      <c r="H211" s="123" t="n">
        <v>0.04608796296296296</v>
      </c>
      <c r="I211" s="123" t="n">
        <v>0.07766203703703704</v>
      </c>
      <c r="J211" s="123" t="n">
        <v>0.07530092592592592</v>
      </c>
      <c r="K211" s="123" t="n">
        <v>0.06695601851851851</v>
      </c>
      <c r="L211" s="123" t="n">
        <v>0.06412037037037037</v>
      </c>
      <c r="M211" s="123" t="n">
        <v>0.04528935185185185</v>
      </c>
      <c r="N211" s="123" t="n">
        <v>0.1299074074074074</v>
      </c>
      <c r="O211" s="123" t="n">
        <v>0.08974537037037036</v>
      </c>
      <c r="P211" s="123" t="n">
        <v>0.07516203703703704</v>
      </c>
    </row>
    <row r="212" ht="16.15" customHeight="1" s="45">
      <c r="A212" s="92" t="n">
        <v>46312</v>
      </c>
      <c r="B212" s="93" t="inlineStr">
        <is>
          <t>Pós-Projeto</t>
        </is>
      </c>
      <c r="C212" s="94" t="inlineStr">
        <is>
          <t>Acolhim. + Atend. Urgência + Atend. UPA</t>
        </is>
      </c>
      <c r="D212" s="95">
        <f>SUM(D213:D215)</f>
        <v/>
      </c>
      <c r="E212" s="95">
        <f>SUM(E213:E215)</f>
        <v/>
      </c>
      <c r="F212" s="95">
        <f>SUM(F213:F215)</f>
        <v/>
      </c>
      <c r="G212" s="95">
        <f>SUM(G213:G215)</f>
        <v/>
      </c>
      <c r="H212" s="95">
        <f>SUM(H213:H215)</f>
        <v/>
      </c>
      <c r="I212" s="95">
        <f>SUM(I213:I215)</f>
        <v/>
      </c>
      <c r="J212" s="95">
        <f>SUM(J213:J215)</f>
        <v/>
      </c>
      <c r="K212" s="95">
        <f>SUM(K213:K215)</f>
        <v/>
      </c>
      <c r="L212" s="95">
        <f>SUM(L213:L215)</f>
        <v/>
      </c>
      <c r="M212" s="95">
        <f>SUM(M213:M215)</f>
        <v/>
      </c>
      <c r="N212" s="95">
        <f>SUM(N213:N215)</f>
        <v/>
      </c>
      <c r="O212" s="95">
        <f>SUM(O213:O215)</f>
        <v/>
      </c>
      <c r="P212" s="95">
        <f>SUM(P213:P215)</f>
        <v/>
      </c>
    </row>
    <row r="213" ht="16.15" customHeight="1" s="45">
      <c r="A213" s="96" t="n">
        <v>46312</v>
      </c>
      <c r="B213" s="97" t="inlineStr">
        <is>
          <t>Pós-Projeto</t>
        </is>
      </c>
      <c r="C213" s="98" t="inlineStr">
        <is>
          <t>Acolhimento c/ Classif. de Risco</t>
        </is>
      </c>
      <c r="D213" s="99" t="n">
        <v>177</v>
      </c>
      <c r="E213" s="99" t="n">
        <v>172</v>
      </c>
      <c r="F213" s="99" t="n">
        <v>156</v>
      </c>
      <c r="G213" s="99" t="n">
        <v>126</v>
      </c>
      <c r="H213" s="99" t="n">
        <v>121</v>
      </c>
      <c r="I213" s="99" t="n">
        <v>189</v>
      </c>
      <c r="J213" s="99" t="n">
        <v>101</v>
      </c>
      <c r="K213" s="99" t="n">
        <v>253</v>
      </c>
      <c r="L213" s="99" t="n">
        <v>148</v>
      </c>
      <c r="M213" s="99" t="n">
        <v>208</v>
      </c>
      <c r="N213" s="99" t="n">
        <v>197</v>
      </c>
      <c r="O213" s="99" t="n">
        <v>243</v>
      </c>
      <c r="P213" s="99" t="n">
        <v>224</v>
      </c>
    </row>
    <row r="214" ht="16.15" customHeight="1" s="45">
      <c r="A214" s="96" t="n">
        <v>46312</v>
      </c>
      <c r="B214" s="97" t="inlineStr">
        <is>
          <t>Pós-Projeto</t>
        </is>
      </c>
      <c r="C214" s="100" t="inlineStr">
        <is>
          <t>Atend. Urgência Obs. ≤ 24h</t>
        </is>
      </c>
      <c r="D214" s="101" t="n">
        <v>63</v>
      </c>
      <c r="E214" s="101" t="n">
        <v>32</v>
      </c>
      <c r="F214" s="101" t="n">
        <v>24</v>
      </c>
      <c r="G214" s="101" t="n">
        <v>18</v>
      </c>
      <c r="H214" s="101" t="n">
        <v>25</v>
      </c>
      <c r="I214" s="101" t="n">
        <v>25</v>
      </c>
      <c r="J214" s="101" t="n">
        <v>129</v>
      </c>
      <c r="K214" s="101" t="n">
        <v>54</v>
      </c>
      <c r="L214" s="101" t="n">
        <v>32</v>
      </c>
      <c r="M214" s="101" t="n">
        <v>64</v>
      </c>
      <c r="N214" s="101" t="n">
        <v>12</v>
      </c>
      <c r="O214" s="101" t="n">
        <v>11</v>
      </c>
      <c r="P214" s="101" t="n">
        <v>17</v>
      </c>
    </row>
    <row r="215" ht="16.15" customHeight="1" s="45">
      <c r="A215" s="96" t="n">
        <v>46312</v>
      </c>
      <c r="B215" s="97" t="inlineStr">
        <is>
          <t>Pós-Projeto</t>
        </is>
      </c>
      <c r="C215" s="98" t="inlineStr">
        <is>
          <t>Atend. Médico em UPA</t>
        </is>
      </c>
      <c r="D215" s="99" t="n">
        <v>192</v>
      </c>
      <c r="E215" s="99" t="n">
        <v>93</v>
      </c>
      <c r="F215" s="99" t="n">
        <v>102</v>
      </c>
      <c r="G215" s="99" t="n">
        <v>98</v>
      </c>
      <c r="H215" s="99" t="n">
        <v>102</v>
      </c>
      <c r="I215" s="99" t="n">
        <v>145</v>
      </c>
      <c r="J215" s="99" t="n">
        <v>75</v>
      </c>
      <c r="K215" s="99" t="n">
        <v>224</v>
      </c>
      <c r="L215" s="99" t="n">
        <v>110</v>
      </c>
      <c r="M215" s="99" t="n">
        <v>145</v>
      </c>
      <c r="N215" s="99" t="n">
        <v>169</v>
      </c>
      <c r="O215" s="99" t="n">
        <v>120</v>
      </c>
      <c r="P215" s="99" t="n">
        <v>181</v>
      </c>
    </row>
    <row r="216" ht="16.15" customHeight="1" s="45">
      <c r="A216" s="96" t="n">
        <v>46312</v>
      </c>
      <c r="B216" s="97" t="inlineStr">
        <is>
          <t>Pós-Projeto</t>
        </is>
      </c>
      <c r="C216" s="100" t="inlineStr">
        <is>
          <t>Exames Laboratoriais</t>
        </is>
      </c>
      <c r="D216" s="101" t="n">
        <v>643</v>
      </c>
      <c r="E216" s="101" t="n">
        <v>370</v>
      </c>
      <c r="F216" s="101" t="n">
        <v>344</v>
      </c>
      <c r="G216" s="101" t="n">
        <v>361</v>
      </c>
      <c r="H216" s="101" t="n">
        <v>358</v>
      </c>
      <c r="I216" s="101" t="n">
        <v>555</v>
      </c>
      <c r="J216" s="101" t="n">
        <v>356</v>
      </c>
      <c r="K216" s="101" t="n">
        <v>874</v>
      </c>
      <c r="L216" s="101" t="n">
        <v>603</v>
      </c>
      <c r="M216" s="101" t="n">
        <v>506</v>
      </c>
      <c r="N216" s="101" t="n">
        <v>593</v>
      </c>
      <c r="O216" s="101" t="n">
        <v>342</v>
      </c>
      <c r="P216" s="101" t="n">
        <v>806</v>
      </c>
    </row>
    <row r="217" ht="16.15" customHeight="1" s="45">
      <c r="A217" s="96" t="n">
        <v>46312</v>
      </c>
      <c r="B217" s="97" t="inlineStr">
        <is>
          <t>Pós-Projeto</t>
        </is>
      </c>
      <c r="C217" s="98" t="inlineStr">
        <is>
          <t>Radiografias</t>
        </is>
      </c>
      <c r="D217" s="99" t="n">
        <v>14</v>
      </c>
      <c r="E217" s="99" t="n">
        <v>15</v>
      </c>
      <c r="F217" s="99" t="n">
        <v>15</v>
      </c>
      <c r="G217" s="102" t="n">
        <v>0</v>
      </c>
      <c r="H217" s="99" t="n">
        <v>25</v>
      </c>
      <c r="I217" s="99" t="n">
        <v>22</v>
      </c>
      <c r="J217" s="99" t="n">
        <v>17</v>
      </c>
      <c r="K217" s="99" t="n">
        <v>42</v>
      </c>
      <c r="L217" s="99" t="n">
        <v>16</v>
      </c>
      <c r="M217" s="99" t="n">
        <v>35</v>
      </c>
      <c r="N217" s="99" t="n">
        <v>26</v>
      </c>
      <c r="O217" s="99" t="n">
        <v>35</v>
      </c>
      <c r="P217" s="99" t="n">
        <v>33</v>
      </c>
    </row>
    <row r="218" ht="16.15" customHeight="1" s="45">
      <c r="A218" s="96" t="n">
        <v>46312</v>
      </c>
      <c r="B218" s="97" t="inlineStr">
        <is>
          <t>Pós-Projeto</t>
        </is>
      </c>
      <c r="C218" s="100" t="inlineStr">
        <is>
          <t>Eletrocardiogramas</t>
        </is>
      </c>
      <c r="D218" s="102" t="n">
        <v>0</v>
      </c>
      <c r="E218" s="102" t="n">
        <v>0</v>
      </c>
      <c r="F218" s="102" t="n">
        <v>0</v>
      </c>
      <c r="G218" s="101" t="n">
        <v>2</v>
      </c>
      <c r="H218" s="102" t="n">
        <v>0</v>
      </c>
      <c r="I218" s="101" t="n">
        <v>1</v>
      </c>
      <c r="J218" s="102" t="n">
        <v>0</v>
      </c>
      <c r="K218" s="102" t="n">
        <v>0</v>
      </c>
      <c r="L218" s="102" t="n">
        <v>0</v>
      </c>
      <c r="M218" s="102" t="n">
        <v>0</v>
      </c>
      <c r="N218" s="101" t="n">
        <v>3</v>
      </c>
      <c r="O218" s="102" t="n">
        <v>0</v>
      </c>
      <c r="P218" s="102" t="n">
        <v>0</v>
      </c>
    </row>
    <row r="219" ht="16.15" customHeight="1" s="45">
      <c r="A219" s="96" t="n">
        <v>46312</v>
      </c>
      <c r="B219" s="97" t="inlineStr">
        <is>
          <t>Pós-Projeto</t>
        </is>
      </c>
      <c r="C219" s="103" t="inlineStr">
        <is>
          <t>GAEs Abertas</t>
        </is>
      </c>
      <c r="D219" s="104" t="n">
        <v>189</v>
      </c>
      <c r="E219" s="104" t="n">
        <v>178</v>
      </c>
      <c r="F219" s="104" t="n">
        <v>166</v>
      </c>
      <c r="G219" s="104" t="n">
        <v>131</v>
      </c>
      <c r="H219" s="104" t="n">
        <v>124</v>
      </c>
      <c r="I219" s="104" t="n">
        <v>207</v>
      </c>
      <c r="J219" s="104" t="n">
        <v>101</v>
      </c>
      <c r="K219" s="104" t="n">
        <v>271</v>
      </c>
      <c r="L219" s="104" t="n">
        <v>149</v>
      </c>
      <c r="M219" s="104" t="n">
        <v>214</v>
      </c>
      <c r="N219" s="104" t="n">
        <v>215</v>
      </c>
      <c r="O219" s="104" t="n">
        <v>254</v>
      </c>
      <c r="P219" s="104" t="n">
        <v>226</v>
      </c>
    </row>
    <row r="220" ht="16.15" customHeight="1" s="45">
      <c r="A220" s="96" t="n">
        <v>46312</v>
      </c>
      <c r="B220" s="97" t="inlineStr">
        <is>
          <t>Pós-Projeto</t>
        </is>
      </c>
      <c r="C220" s="103" t="inlineStr">
        <is>
          <t>GAEs Classificadas</t>
        </is>
      </c>
      <c r="D220" s="104" t="n">
        <v>177</v>
      </c>
      <c r="E220" s="104" t="n">
        <v>174</v>
      </c>
      <c r="F220" s="104" t="n">
        <v>157</v>
      </c>
      <c r="G220" s="104" t="n">
        <v>124</v>
      </c>
      <c r="H220" s="104" t="n">
        <v>121</v>
      </c>
      <c r="I220" s="104" t="n">
        <v>187</v>
      </c>
      <c r="J220" s="104" t="n">
        <v>100</v>
      </c>
      <c r="K220" s="104" t="n">
        <v>255</v>
      </c>
      <c r="L220" s="104" t="n">
        <v>147</v>
      </c>
      <c r="M220" s="104" t="n">
        <v>205</v>
      </c>
      <c r="N220" s="104" t="n">
        <v>198</v>
      </c>
      <c r="O220" s="104" t="n">
        <v>243</v>
      </c>
      <c r="P220" s="104" t="n">
        <v>222</v>
      </c>
    </row>
    <row r="221" ht="16.15" customHeight="1" s="45">
      <c r="A221" s="96" t="n">
        <v>46312</v>
      </c>
      <c r="B221" s="97" t="inlineStr">
        <is>
          <t>Pós-Projeto</t>
        </is>
      </c>
      <c r="C221" s="105" t="inlineStr">
        <is>
          <t>Percentual de GAEs abertas classificadas</t>
        </is>
      </c>
      <c r="D221" s="106">
        <f>IFERROR(D220/D219,"-")</f>
        <v/>
      </c>
      <c r="E221" s="106">
        <f>IFERROR(E220/E219,"-")</f>
        <v/>
      </c>
      <c r="F221" s="106">
        <f>IFERROR(F220/F219,"-")</f>
        <v/>
      </c>
      <c r="G221" s="106">
        <f>IFERROR(G220/G219,"-")</f>
        <v/>
      </c>
      <c r="H221" s="106">
        <f>IFERROR(H220/H219,"-")</f>
        <v/>
      </c>
      <c r="I221" s="106">
        <f>IFERROR(I220/I219,"-")</f>
        <v/>
      </c>
      <c r="J221" s="106">
        <f>IFERROR(J220/J219,"-")</f>
        <v/>
      </c>
      <c r="K221" s="106">
        <f>IFERROR(K220/K219,"-")</f>
        <v/>
      </c>
      <c r="L221" s="106">
        <f>IFERROR(L220/L219,"-")</f>
        <v/>
      </c>
      <c r="M221" s="106">
        <f>IFERROR(M220/M219,"-")</f>
        <v/>
      </c>
      <c r="N221" s="106">
        <f>IFERROR(N220/N219,"-")</f>
        <v/>
      </c>
      <c r="O221" s="106">
        <f>IFERROR(O220/O219,"-")</f>
        <v/>
      </c>
      <c r="P221" s="106">
        <f>IFERROR(P220/P219,"-")</f>
        <v/>
      </c>
    </row>
    <row r="222" ht="16.15" customHeight="1" s="45">
      <c r="A222" s="96" t="n">
        <v>46312</v>
      </c>
      <c r="B222" s="97" t="inlineStr">
        <is>
          <t>Pós-Projeto</t>
        </is>
      </c>
      <c r="C222" s="107" t="inlineStr">
        <is>
          <t>Tempo Médio — 🟡 Amarelo (hh:mm)</t>
        </is>
      </c>
      <c r="D222" s="121" t="n">
        <v>0.1231597222222222</v>
      </c>
      <c r="E222" s="121" t="n">
        <v>0.07979166666666666</v>
      </c>
      <c r="F222" s="121" t="n">
        <v>0.03065972222222222</v>
      </c>
      <c r="G222" s="121" t="n">
        <v>0.06826388888888889</v>
      </c>
      <c r="H222" s="121" t="n">
        <v>0.03247685185185185</v>
      </c>
      <c r="I222" s="121" t="n">
        <v>0.04243055555555555</v>
      </c>
      <c r="J222" s="121" t="n">
        <v>0.0902199074074074</v>
      </c>
      <c r="K222" s="121" t="n">
        <v>0.04729166666666667</v>
      </c>
      <c r="L222" s="121" t="n">
        <v>0.08140046296296297</v>
      </c>
      <c r="M222" s="121" t="n">
        <v>0.04506944444444445</v>
      </c>
      <c r="N222" s="121" t="n">
        <v>0.07568287037037037</v>
      </c>
      <c r="O222" s="121" t="n">
        <v>0.03630787037037037</v>
      </c>
      <c r="P222" s="121" t="n">
        <v>0.05322916666666667</v>
      </c>
    </row>
    <row r="223" ht="16.15" customHeight="1" s="45">
      <c r="A223" s="96" t="n">
        <v>46312</v>
      </c>
      <c r="B223" s="97" t="inlineStr">
        <is>
          <t>Pós-Projeto</t>
        </is>
      </c>
      <c r="C223" s="109" t="inlineStr">
        <is>
          <t>Tempo Médio — 🟠 Laranja (hh:mm)</t>
        </is>
      </c>
      <c r="D223" s="122" t="n">
        <v>0.01219907407407407</v>
      </c>
      <c r="E223" s="122" t="n">
        <v>0.01168981481481481</v>
      </c>
      <c r="F223" s="122" t="n">
        <v>0.005405092592592592</v>
      </c>
      <c r="G223" s="122" t="n">
        <v>0.01462962962962963</v>
      </c>
      <c r="H223" s="122" t="n">
        <v>0.006342592592592592</v>
      </c>
      <c r="I223" s="122" t="n">
        <v>0.006238425925925926</v>
      </c>
      <c r="J223" s="122" t="n">
        <v>0.01608796296296296</v>
      </c>
      <c r="K223" s="122" t="n">
        <v>0.01</v>
      </c>
      <c r="L223" s="122" t="n">
        <v>0.01046296296296296</v>
      </c>
      <c r="M223" s="122" t="n">
        <v>0.009722222222222222</v>
      </c>
      <c r="N223" s="122" t="n">
        <v>0.007280092592592592</v>
      </c>
      <c r="O223" s="122" t="n">
        <v>0.01071759259259259</v>
      </c>
      <c r="P223" s="122" t="n">
        <v>0.01293981481481482</v>
      </c>
    </row>
    <row r="224" ht="16.15" customHeight="1" s="45">
      <c r="A224" s="111" t="n">
        <v>46312</v>
      </c>
      <c r="B224" s="112" t="inlineStr">
        <is>
          <t>Pós-Projeto</t>
        </is>
      </c>
      <c r="C224" s="113" t="inlineStr">
        <is>
          <t>Tempo Médio — 🟢 Verde   (hh:mm)</t>
        </is>
      </c>
      <c r="D224" s="123" t="n">
        <v>0.1090509259259259</v>
      </c>
      <c r="E224" s="123" t="n">
        <v>0.1030324074074074</v>
      </c>
      <c r="F224" s="123" t="n">
        <v>0.1014467592592593</v>
      </c>
      <c r="G224" s="123" t="n">
        <v>0.1070601851851852</v>
      </c>
      <c r="H224" s="123" t="n">
        <v>0.06892361111111112</v>
      </c>
      <c r="I224" s="123" t="n">
        <v>0.1144444444444444</v>
      </c>
      <c r="J224" s="123" t="n">
        <v>0.09402777777777778</v>
      </c>
      <c r="K224" s="123" t="n">
        <v>0.1015856481481481</v>
      </c>
      <c r="L224" s="123" t="n">
        <v>0.1609259259259259</v>
      </c>
      <c r="M224" s="123" t="n">
        <v>0.05653935185185185</v>
      </c>
      <c r="N224" s="123" t="n">
        <v>0.05789351851851852</v>
      </c>
      <c r="O224" s="123" t="n">
        <v>0.03549768518518519</v>
      </c>
      <c r="P224" s="123" t="n">
        <v>0.07146990740740741</v>
      </c>
    </row>
    <row r="225" ht="16.15" customHeight="1" s="45">
      <c r="A225" s="92" t="n">
        <v>46313</v>
      </c>
      <c r="B225" s="93" t="inlineStr">
        <is>
          <t>Pós-Projeto</t>
        </is>
      </c>
      <c r="C225" s="94" t="inlineStr">
        <is>
          <t>Acolhim. + Atend. Urgência + Atend. UPA</t>
        </is>
      </c>
      <c r="D225" s="95">
        <f>SUM(D226:D228)</f>
        <v/>
      </c>
      <c r="E225" s="95">
        <f>SUM(E226:E228)</f>
        <v/>
      </c>
      <c r="F225" s="95">
        <f>SUM(F226:F228)</f>
        <v/>
      </c>
      <c r="G225" s="95">
        <f>SUM(G226:G228)</f>
        <v/>
      </c>
      <c r="H225" s="95">
        <f>SUM(H226:H228)</f>
        <v/>
      </c>
      <c r="I225" s="95">
        <f>SUM(I226:I228)</f>
        <v/>
      </c>
      <c r="J225" s="95">
        <f>SUM(J226:J228)</f>
        <v/>
      </c>
      <c r="K225" s="95">
        <f>SUM(K226:K228)</f>
        <v/>
      </c>
      <c r="L225" s="95">
        <f>SUM(L226:L228)</f>
        <v/>
      </c>
      <c r="M225" s="95">
        <f>SUM(M226:M228)</f>
        <v/>
      </c>
      <c r="N225" s="95">
        <f>SUM(N226:N228)</f>
        <v/>
      </c>
      <c r="O225" s="95">
        <f>SUM(O226:O228)</f>
        <v/>
      </c>
      <c r="P225" s="95">
        <f>SUM(P226:P228)</f>
        <v/>
      </c>
    </row>
    <row r="226" ht="16.15" customHeight="1" s="45">
      <c r="A226" s="96" t="n">
        <v>46313</v>
      </c>
      <c r="B226" s="97" t="inlineStr">
        <is>
          <t>Pós-Projeto</t>
        </is>
      </c>
      <c r="C226" s="100" t="inlineStr">
        <is>
          <t>Acolhimento c/ Classif. de Risco</t>
        </is>
      </c>
      <c r="D226" s="101" t="n">
        <v>170</v>
      </c>
      <c r="E226" s="101" t="n">
        <v>162</v>
      </c>
      <c r="F226" s="101" t="n">
        <v>136</v>
      </c>
      <c r="G226" s="101" t="n">
        <v>120</v>
      </c>
      <c r="H226" s="101" t="n">
        <v>101</v>
      </c>
      <c r="I226" s="101" t="n">
        <v>194</v>
      </c>
      <c r="J226" s="101" t="n">
        <v>99</v>
      </c>
      <c r="K226" s="101" t="n">
        <v>252</v>
      </c>
      <c r="L226" s="101" t="n">
        <v>117</v>
      </c>
      <c r="M226" s="101" t="n">
        <v>197</v>
      </c>
      <c r="N226" s="101" t="n">
        <v>176</v>
      </c>
      <c r="O226" s="101" t="n">
        <v>216</v>
      </c>
      <c r="P226" s="101" t="n">
        <v>211</v>
      </c>
    </row>
    <row r="227" ht="16.15" customHeight="1" s="45">
      <c r="A227" s="96" t="n">
        <v>46313</v>
      </c>
      <c r="B227" s="97" t="inlineStr">
        <is>
          <t>Pós-Projeto</t>
        </is>
      </c>
      <c r="C227" s="98" t="inlineStr">
        <is>
          <t>Atend. Urgência Obs. ≤ 24h</t>
        </is>
      </c>
      <c r="D227" s="99" t="n">
        <v>43</v>
      </c>
      <c r="E227" s="99" t="n">
        <v>34</v>
      </c>
      <c r="F227" s="99" t="n">
        <v>21</v>
      </c>
      <c r="G227" s="99" t="n">
        <v>21</v>
      </c>
      <c r="H227" s="99" t="n">
        <v>12</v>
      </c>
      <c r="I227" s="99" t="n">
        <v>33</v>
      </c>
      <c r="J227" s="99" t="n">
        <v>130</v>
      </c>
      <c r="K227" s="99" t="n">
        <v>31</v>
      </c>
      <c r="L227" s="99" t="n">
        <v>42</v>
      </c>
      <c r="M227" s="99" t="n">
        <v>54</v>
      </c>
      <c r="N227" s="99" t="n">
        <v>32</v>
      </c>
      <c r="O227" s="99" t="n">
        <v>11</v>
      </c>
      <c r="P227" s="99" t="n">
        <v>12</v>
      </c>
    </row>
    <row r="228" ht="16.15" customHeight="1" s="45">
      <c r="A228" s="96" t="n">
        <v>46313</v>
      </c>
      <c r="B228" s="97" t="inlineStr">
        <is>
          <t>Pós-Projeto</t>
        </is>
      </c>
      <c r="C228" s="100" t="inlineStr">
        <is>
          <t>Atend. Médico em UPA</t>
        </is>
      </c>
      <c r="D228" s="101" t="n">
        <v>125</v>
      </c>
      <c r="E228" s="101" t="n">
        <v>78</v>
      </c>
      <c r="F228" s="101" t="n">
        <v>88</v>
      </c>
      <c r="G228" s="101" t="n">
        <v>103</v>
      </c>
      <c r="H228" s="101" t="n">
        <v>77</v>
      </c>
      <c r="I228" s="101" t="n">
        <v>143</v>
      </c>
      <c r="J228" s="101" t="n">
        <v>80</v>
      </c>
      <c r="K228" s="101" t="n">
        <v>171</v>
      </c>
      <c r="L228" s="101" t="n">
        <v>86</v>
      </c>
      <c r="M228" s="101" t="n">
        <v>136</v>
      </c>
      <c r="N228" s="101" t="n">
        <v>126</v>
      </c>
      <c r="O228" s="101" t="n">
        <v>170</v>
      </c>
      <c r="P228" s="101" t="n">
        <v>141</v>
      </c>
    </row>
    <row r="229" ht="16.15" customHeight="1" s="45">
      <c r="A229" s="96" t="n">
        <v>46313</v>
      </c>
      <c r="B229" s="97" t="inlineStr">
        <is>
          <t>Pós-Projeto</t>
        </is>
      </c>
      <c r="C229" s="98" t="inlineStr">
        <is>
          <t>Exames Laboratoriais</t>
        </is>
      </c>
      <c r="D229" s="99" t="n">
        <v>603</v>
      </c>
      <c r="E229" s="99" t="n">
        <v>450</v>
      </c>
      <c r="F229" s="99" t="n">
        <v>333</v>
      </c>
      <c r="G229" s="99" t="n">
        <v>312</v>
      </c>
      <c r="H229" s="99" t="n">
        <v>349</v>
      </c>
      <c r="I229" s="99" t="n">
        <v>537</v>
      </c>
      <c r="J229" s="99" t="n">
        <v>338</v>
      </c>
      <c r="K229" s="99" t="n">
        <v>754</v>
      </c>
      <c r="L229" s="99" t="n">
        <v>565</v>
      </c>
      <c r="M229" s="99" t="n">
        <v>648</v>
      </c>
      <c r="N229" s="99" t="n">
        <v>591</v>
      </c>
      <c r="O229" s="99" t="n">
        <v>387</v>
      </c>
      <c r="P229" s="99" t="n">
        <v>548</v>
      </c>
    </row>
    <row r="230" ht="16.15" customHeight="1" s="45">
      <c r="A230" s="96" t="n">
        <v>46313</v>
      </c>
      <c r="B230" s="97" t="inlineStr">
        <is>
          <t>Pós-Projeto</t>
        </is>
      </c>
      <c r="C230" s="100" t="inlineStr">
        <is>
          <t>Radiografias</t>
        </is>
      </c>
      <c r="D230" s="101" t="n">
        <v>16</v>
      </c>
      <c r="E230" s="101" t="n">
        <v>11</v>
      </c>
      <c r="F230" s="101" t="n">
        <v>14</v>
      </c>
      <c r="G230" s="102" t="n">
        <v>0</v>
      </c>
      <c r="H230" s="101" t="n">
        <v>5</v>
      </c>
      <c r="I230" s="101" t="n">
        <v>14</v>
      </c>
      <c r="J230" s="101" t="n">
        <v>15</v>
      </c>
      <c r="K230" s="101" t="n">
        <v>10</v>
      </c>
      <c r="L230" s="101" t="n">
        <v>8</v>
      </c>
      <c r="M230" s="101" t="n">
        <v>36</v>
      </c>
      <c r="N230" s="101" t="n">
        <v>26</v>
      </c>
      <c r="O230" s="101" t="n">
        <v>36</v>
      </c>
      <c r="P230" s="101" t="n">
        <v>50</v>
      </c>
    </row>
    <row r="231" ht="16.15" customHeight="1" s="45">
      <c r="A231" s="96" t="n">
        <v>46313</v>
      </c>
      <c r="B231" s="97" t="inlineStr">
        <is>
          <t>Pós-Projeto</t>
        </is>
      </c>
      <c r="C231" s="98" t="inlineStr">
        <is>
          <t>Eletrocardiogramas</t>
        </is>
      </c>
      <c r="D231" s="102" t="n">
        <v>0</v>
      </c>
      <c r="E231" s="102" t="n">
        <v>0</v>
      </c>
      <c r="F231" s="102" t="n">
        <v>0</v>
      </c>
      <c r="G231" s="102" t="n">
        <v>0</v>
      </c>
      <c r="H231" s="102" t="n">
        <v>0</v>
      </c>
      <c r="I231" s="102" t="n">
        <v>0</v>
      </c>
      <c r="J231" s="102" t="n">
        <v>0</v>
      </c>
      <c r="K231" s="102" t="n">
        <v>0</v>
      </c>
      <c r="L231" s="102" t="n">
        <v>0</v>
      </c>
      <c r="M231" s="102" t="n">
        <v>0</v>
      </c>
      <c r="N231" s="99" t="n">
        <v>12</v>
      </c>
      <c r="O231" s="102" t="n">
        <v>0</v>
      </c>
      <c r="P231" s="99" t="n">
        <v>1</v>
      </c>
    </row>
    <row r="232" ht="16.15" customHeight="1" s="45">
      <c r="A232" s="96" t="n">
        <v>46313</v>
      </c>
      <c r="B232" s="97" t="inlineStr">
        <is>
          <t>Pós-Projeto</t>
        </is>
      </c>
      <c r="C232" s="103" t="inlineStr">
        <is>
          <t>GAEs Abertas</t>
        </is>
      </c>
      <c r="D232" s="104" t="n">
        <v>177</v>
      </c>
      <c r="E232" s="104" t="n">
        <v>179</v>
      </c>
      <c r="F232" s="104" t="n">
        <v>138</v>
      </c>
      <c r="G232" s="104" t="n">
        <v>124</v>
      </c>
      <c r="H232" s="104" t="n">
        <v>110</v>
      </c>
      <c r="I232" s="104" t="n">
        <v>208</v>
      </c>
      <c r="J232" s="104" t="n">
        <v>102</v>
      </c>
      <c r="K232" s="104" t="n">
        <v>257</v>
      </c>
      <c r="L232" s="104" t="n">
        <v>126</v>
      </c>
      <c r="M232" s="104" t="n">
        <v>218</v>
      </c>
      <c r="N232" s="104" t="n">
        <v>183</v>
      </c>
      <c r="O232" s="104" t="n">
        <v>230</v>
      </c>
      <c r="P232" s="104" t="n">
        <v>219</v>
      </c>
    </row>
    <row r="233" ht="16.15" customHeight="1" s="45">
      <c r="A233" s="96" t="n">
        <v>46313</v>
      </c>
      <c r="B233" s="97" t="inlineStr">
        <is>
          <t>Pós-Projeto</t>
        </is>
      </c>
      <c r="C233" s="103" t="inlineStr">
        <is>
          <t>GAEs Classificadas</t>
        </is>
      </c>
      <c r="D233" s="104" t="n">
        <v>170</v>
      </c>
      <c r="E233" s="104" t="n">
        <v>161</v>
      </c>
      <c r="F233" s="104" t="n">
        <v>135</v>
      </c>
      <c r="G233" s="104" t="n">
        <v>120</v>
      </c>
      <c r="H233" s="104" t="n">
        <v>101</v>
      </c>
      <c r="I233" s="104" t="n">
        <v>194</v>
      </c>
      <c r="J233" s="104" t="n">
        <v>100</v>
      </c>
      <c r="K233" s="104" t="n">
        <v>252</v>
      </c>
      <c r="L233" s="104" t="n">
        <v>117</v>
      </c>
      <c r="M233" s="104" t="n">
        <v>198</v>
      </c>
      <c r="N233" s="104" t="n">
        <v>176</v>
      </c>
      <c r="O233" s="104" t="n">
        <v>217</v>
      </c>
      <c r="P233" s="104" t="n">
        <v>211</v>
      </c>
    </row>
    <row r="234" ht="16.15" customHeight="1" s="45">
      <c r="A234" s="96" t="n">
        <v>46313</v>
      </c>
      <c r="B234" s="97" t="inlineStr">
        <is>
          <t>Pós-Projeto</t>
        </is>
      </c>
      <c r="C234" s="105" t="inlineStr">
        <is>
          <t>Percentual de GAEs abertas classificadas</t>
        </is>
      </c>
      <c r="D234" s="106">
        <f>IFERROR(D233/D232,"-")</f>
        <v/>
      </c>
      <c r="E234" s="106">
        <f>IFERROR(E233/E232,"-")</f>
        <v/>
      </c>
      <c r="F234" s="106">
        <f>IFERROR(F233/F232,"-")</f>
        <v/>
      </c>
      <c r="G234" s="106">
        <f>IFERROR(G233/G232,"-")</f>
        <v/>
      </c>
      <c r="H234" s="106">
        <f>IFERROR(H233/H232,"-")</f>
        <v/>
      </c>
      <c r="I234" s="106">
        <f>IFERROR(I233/I232,"-")</f>
        <v/>
      </c>
      <c r="J234" s="106">
        <f>IFERROR(J233/J232,"-")</f>
        <v/>
      </c>
      <c r="K234" s="106">
        <f>IFERROR(K233/K232,"-")</f>
        <v/>
      </c>
      <c r="L234" s="106">
        <f>IFERROR(L233/L232,"-")</f>
        <v/>
      </c>
      <c r="M234" s="106">
        <f>IFERROR(M233/M232,"-")</f>
        <v/>
      </c>
      <c r="N234" s="106">
        <f>IFERROR(N233/N232,"-")</f>
        <v/>
      </c>
      <c r="O234" s="106">
        <f>IFERROR(O233/O232,"-")</f>
        <v/>
      </c>
      <c r="P234" s="106">
        <f>IFERROR(P233/P232,"-")</f>
        <v/>
      </c>
    </row>
    <row r="235" ht="16.15" customHeight="1" s="45">
      <c r="A235" s="96" t="n">
        <v>46313</v>
      </c>
      <c r="B235" s="97" t="inlineStr">
        <is>
          <t>Pós-Projeto</t>
        </is>
      </c>
      <c r="C235" s="107" t="inlineStr">
        <is>
          <t>Tempo Médio — 🟡 Amarelo (hh:mm)</t>
        </is>
      </c>
      <c r="D235" s="121" t="n">
        <v>0.1061458333333333</v>
      </c>
      <c r="E235" s="121" t="n">
        <v>0.08776620370370371</v>
      </c>
      <c r="F235" s="121" t="n">
        <v>0.07537037037037037</v>
      </c>
      <c r="G235" s="121" t="n">
        <v>0.03335648148148148</v>
      </c>
      <c r="H235" s="121" t="n">
        <v>0.04555555555555556</v>
      </c>
      <c r="I235" s="121" t="n">
        <v>0.05587962962962963</v>
      </c>
      <c r="J235" s="121" t="n">
        <v>0.04887731481481482</v>
      </c>
      <c r="K235" s="121" t="n">
        <v>0.06037037037037037</v>
      </c>
      <c r="L235" s="121" t="n">
        <v>0.04354166666666667</v>
      </c>
      <c r="M235" s="121" t="n">
        <v>0.0252662037037037</v>
      </c>
      <c r="N235" s="121" t="n">
        <v>0.08334490740740741</v>
      </c>
      <c r="O235" s="121" t="n">
        <v>0.05648148148148148</v>
      </c>
      <c r="P235" s="121" t="n">
        <v>0.068125</v>
      </c>
    </row>
    <row r="236" ht="16.15" customHeight="1" s="45">
      <c r="A236" s="96" t="n">
        <v>46313</v>
      </c>
      <c r="B236" s="97" t="inlineStr">
        <is>
          <t>Pós-Projeto</t>
        </is>
      </c>
      <c r="C236" s="109" t="inlineStr">
        <is>
          <t>Tempo Médio — 🟠 Laranja (hh:mm)</t>
        </is>
      </c>
      <c r="D236" s="122" t="n">
        <v>0.009895833333333333</v>
      </c>
      <c r="E236" s="122" t="n">
        <v>0.01506944444444444</v>
      </c>
      <c r="F236" s="122" t="n">
        <v>0.00619212962962963</v>
      </c>
      <c r="G236" s="122" t="n">
        <v>0.005104166666666667</v>
      </c>
      <c r="H236" s="122" t="n">
        <v>0.003171296296296296</v>
      </c>
      <c r="I236" s="122" t="n">
        <v>0.004375</v>
      </c>
      <c r="J236" s="122" t="n">
        <v>0.009375</v>
      </c>
      <c r="K236" s="122" t="n">
        <v>0.00849537037037037</v>
      </c>
      <c r="L236" s="122" t="n">
        <v>0.008726851851851852</v>
      </c>
      <c r="M236" s="122" t="n">
        <v>0.01185185185185185</v>
      </c>
      <c r="N236" s="122" t="n">
        <v>0.01414351851851852</v>
      </c>
      <c r="O236" s="122" t="n">
        <v>0.01243055555555556</v>
      </c>
      <c r="P236" s="122" t="n">
        <v>0.007615740740740741</v>
      </c>
    </row>
    <row r="237" ht="16.15" customHeight="1" s="45">
      <c r="A237" s="111" t="n">
        <v>46313</v>
      </c>
      <c r="B237" s="112" t="inlineStr">
        <is>
          <t>Pós-Projeto</t>
        </is>
      </c>
      <c r="C237" s="113" t="inlineStr">
        <is>
          <t>Tempo Médio — 🟢 Verde   (hh:mm)</t>
        </is>
      </c>
      <c r="D237" s="123" t="n">
        <v>0.1289930555555556</v>
      </c>
      <c r="E237" s="123" t="n">
        <v>0.1034606481481481</v>
      </c>
      <c r="F237" s="123" t="n">
        <v>0.1495023148148148</v>
      </c>
      <c r="G237" s="123" t="n">
        <v>0.1144560185185185</v>
      </c>
      <c r="H237" s="123" t="n">
        <v>0.08903935185185186</v>
      </c>
      <c r="I237" s="123" t="n">
        <v>0.07865740740740741</v>
      </c>
      <c r="J237" s="123" t="n">
        <v>0.06856481481481481</v>
      </c>
      <c r="K237" s="123" t="n">
        <v>0.08141203703703703</v>
      </c>
      <c r="L237" s="123" t="n">
        <v>0.06185185185185185</v>
      </c>
      <c r="M237" s="123" t="n">
        <v>0.06049768518518518</v>
      </c>
      <c r="N237" s="123" t="n">
        <v>0.06899305555555556</v>
      </c>
      <c r="O237" s="123" t="n">
        <v>0.121099537037037</v>
      </c>
      <c r="P237" s="123" t="n">
        <v>0.08592592592592592</v>
      </c>
    </row>
    <row r="238" ht="16.15" customHeight="1" s="45">
      <c r="A238" s="92" t="n">
        <v>46314</v>
      </c>
      <c r="B238" s="93" t="inlineStr">
        <is>
          <t>Pós-Projeto</t>
        </is>
      </c>
      <c r="C238" s="94" t="inlineStr">
        <is>
          <t>Acolhim. + Atend. Urgência + Atend. UPA</t>
        </is>
      </c>
      <c r="D238" s="95">
        <f>SUM(D239:D241)</f>
        <v/>
      </c>
      <c r="E238" s="95">
        <f>SUM(E239:E241)</f>
        <v/>
      </c>
      <c r="F238" s="95">
        <f>SUM(F239:F241)</f>
        <v/>
      </c>
      <c r="G238" s="95">
        <f>SUM(G239:G241)</f>
        <v/>
      </c>
      <c r="H238" s="95">
        <f>SUM(H239:H241)</f>
        <v/>
      </c>
      <c r="I238" s="95">
        <f>SUM(I239:I241)</f>
        <v/>
      </c>
      <c r="J238" s="95">
        <f>SUM(J239:J241)</f>
        <v/>
      </c>
      <c r="K238" s="95">
        <f>SUM(K239:K241)</f>
        <v/>
      </c>
      <c r="L238" s="95">
        <f>SUM(L239:L241)</f>
        <v/>
      </c>
      <c r="M238" s="95">
        <f>SUM(M239:M241)</f>
        <v/>
      </c>
      <c r="N238" s="95">
        <f>SUM(N239:N241)</f>
        <v/>
      </c>
      <c r="O238" s="95">
        <f>SUM(O239:O241)</f>
        <v/>
      </c>
      <c r="P238" s="95">
        <f>SUM(P239:P241)</f>
        <v/>
      </c>
    </row>
    <row r="239" ht="16.15" customHeight="1" s="45">
      <c r="A239" s="96" t="n">
        <v>46314</v>
      </c>
      <c r="B239" s="97" t="inlineStr">
        <is>
          <t>Pós-Projeto</t>
        </is>
      </c>
      <c r="C239" s="98" t="inlineStr">
        <is>
          <t>Acolhimento c/ Classif. de Risco</t>
        </is>
      </c>
      <c r="D239" s="99" t="n">
        <v>273</v>
      </c>
      <c r="E239" s="99" t="n">
        <v>188</v>
      </c>
      <c r="F239" s="99" t="n">
        <v>208</v>
      </c>
      <c r="G239" s="99" t="n">
        <v>174</v>
      </c>
      <c r="H239" s="99" t="n">
        <v>170</v>
      </c>
      <c r="I239" s="99" t="n">
        <v>252</v>
      </c>
      <c r="J239" s="99" t="n">
        <v>159</v>
      </c>
      <c r="K239" s="99" t="n">
        <v>347</v>
      </c>
      <c r="L239" s="99" t="n">
        <v>162</v>
      </c>
      <c r="M239" s="99" t="n">
        <v>265</v>
      </c>
      <c r="N239" s="99" t="n">
        <v>247</v>
      </c>
      <c r="O239" s="99" t="n">
        <v>325</v>
      </c>
      <c r="P239" s="99" t="n">
        <v>267</v>
      </c>
    </row>
    <row r="240" ht="16.15" customHeight="1" s="45">
      <c r="A240" s="96" t="n">
        <v>46314</v>
      </c>
      <c r="B240" s="97" t="inlineStr">
        <is>
          <t>Pós-Projeto</t>
        </is>
      </c>
      <c r="C240" s="100" t="inlineStr">
        <is>
          <t>Atend. Urgência Obs. ≤ 24h</t>
        </is>
      </c>
      <c r="D240" s="101" t="n">
        <v>28</v>
      </c>
      <c r="E240" s="101" t="n">
        <v>12</v>
      </c>
      <c r="F240" s="101" t="n">
        <v>23</v>
      </c>
      <c r="G240" s="101" t="n">
        <v>14</v>
      </c>
      <c r="H240" s="101" t="n">
        <v>12</v>
      </c>
      <c r="I240" s="101" t="n">
        <v>43</v>
      </c>
      <c r="J240" s="101" t="n">
        <v>4</v>
      </c>
      <c r="K240" s="101" t="n">
        <v>55</v>
      </c>
      <c r="L240" s="101" t="n">
        <v>27</v>
      </c>
      <c r="M240" s="101" t="n">
        <v>25</v>
      </c>
      <c r="N240" s="101" t="n">
        <v>40</v>
      </c>
      <c r="O240" s="101" t="n">
        <v>27</v>
      </c>
      <c r="P240" s="101" t="n">
        <v>14</v>
      </c>
    </row>
    <row r="241" ht="16.15" customHeight="1" s="45">
      <c r="A241" s="96" t="n">
        <v>46314</v>
      </c>
      <c r="B241" s="97" t="inlineStr">
        <is>
          <t>Pós-Projeto</t>
        </is>
      </c>
      <c r="C241" s="98" t="inlineStr">
        <is>
          <t>Atend. Médico em UPA</t>
        </is>
      </c>
      <c r="D241" s="99" t="n">
        <v>175</v>
      </c>
      <c r="E241" s="99" t="n">
        <v>134</v>
      </c>
      <c r="F241" s="99" t="n">
        <v>182</v>
      </c>
      <c r="G241" s="99" t="n">
        <v>98</v>
      </c>
      <c r="H241" s="99" t="n">
        <v>117</v>
      </c>
      <c r="I241" s="99" t="n">
        <v>242</v>
      </c>
      <c r="J241" s="99" t="n">
        <v>129</v>
      </c>
      <c r="K241" s="99" t="n">
        <v>280</v>
      </c>
      <c r="L241" s="99" t="n">
        <v>135</v>
      </c>
      <c r="M241" s="99" t="n">
        <v>158</v>
      </c>
      <c r="N241" s="99" t="n">
        <v>178</v>
      </c>
      <c r="O241" s="99" t="n">
        <v>253</v>
      </c>
      <c r="P241" s="99" t="n">
        <v>193</v>
      </c>
    </row>
    <row r="242" ht="16.15" customHeight="1" s="45">
      <c r="A242" s="96" t="n">
        <v>46314</v>
      </c>
      <c r="B242" s="97" t="inlineStr">
        <is>
          <t>Pós-Projeto</t>
        </is>
      </c>
      <c r="C242" s="100" t="inlineStr">
        <is>
          <t>Exames Laboratoriais</t>
        </is>
      </c>
      <c r="D242" s="101" t="n">
        <v>534</v>
      </c>
      <c r="E242" s="101" t="n">
        <v>419</v>
      </c>
      <c r="F242" s="101" t="n">
        <v>582</v>
      </c>
      <c r="G242" s="101" t="n">
        <v>401</v>
      </c>
      <c r="H242" s="101" t="n">
        <v>488</v>
      </c>
      <c r="I242" s="101" t="n">
        <v>870</v>
      </c>
      <c r="J242" s="101" t="n">
        <v>430</v>
      </c>
      <c r="K242" s="101" t="n">
        <v>965</v>
      </c>
      <c r="L242" s="101" t="n">
        <v>683</v>
      </c>
      <c r="M242" s="101" t="n">
        <v>542</v>
      </c>
      <c r="N242" s="101" t="n">
        <v>699</v>
      </c>
      <c r="O242" s="101" t="n">
        <v>365</v>
      </c>
      <c r="P242" s="101" t="n">
        <v>564</v>
      </c>
    </row>
    <row r="243" ht="16.15" customHeight="1" s="45">
      <c r="A243" s="96" t="n">
        <v>46314</v>
      </c>
      <c r="B243" s="97" t="inlineStr">
        <is>
          <t>Pós-Projeto</t>
        </is>
      </c>
      <c r="C243" s="98" t="inlineStr">
        <is>
          <t>Radiografias</t>
        </is>
      </c>
      <c r="D243" s="99" t="n">
        <v>19</v>
      </c>
      <c r="E243" s="99" t="n">
        <v>31</v>
      </c>
      <c r="F243" s="99" t="n">
        <v>17</v>
      </c>
      <c r="G243" s="102" t="n">
        <v>0</v>
      </c>
      <c r="H243" s="99" t="n">
        <v>17</v>
      </c>
      <c r="I243" s="99" t="n">
        <v>25</v>
      </c>
      <c r="J243" s="99" t="n">
        <v>28</v>
      </c>
      <c r="K243" s="99" t="n">
        <v>43</v>
      </c>
      <c r="L243" s="99" t="n">
        <v>17</v>
      </c>
      <c r="M243" s="99" t="n">
        <v>36</v>
      </c>
      <c r="N243" s="99" t="n">
        <v>29</v>
      </c>
      <c r="O243" s="99" t="n">
        <v>37</v>
      </c>
      <c r="P243" s="99" t="n">
        <v>47</v>
      </c>
    </row>
    <row r="244" ht="16.15" customHeight="1" s="45">
      <c r="A244" s="96" t="n">
        <v>46314</v>
      </c>
      <c r="B244" s="97" t="inlineStr">
        <is>
          <t>Pós-Projeto</t>
        </is>
      </c>
      <c r="C244" s="100" t="inlineStr">
        <is>
          <t>Eletrocardiogramas</t>
        </is>
      </c>
      <c r="D244" s="101" t="n">
        <v>5</v>
      </c>
      <c r="E244" s="102" t="n">
        <v>0</v>
      </c>
      <c r="F244" s="101" t="n">
        <v>1</v>
      </c>
      <c r="G244" s="101" t="n">
        <v>7</v>
      </c>
      <c r="H244" s="102" t="n">
        <v>0</v>
      </c>
      <c r="I244" s="102" t="n">
        <v>0</v>
      </c>
      <c r="J244" s="102" t="n">
        <v>0</v>
      </c>
      <c r="K244" s="102" t="n">
        <v>0</v>
      </c>
      <c r="L244" s="102" t="n">
        <v>0</v>
      </c>
      <c r="M244" s="101" t="n">
        <v>9</v>
      </c>
      <c r="N244" s="102" t="n">
        <v>0</v>
      </c>
      <c r="O244" s="102" t="n">
        <v>0</v>
      </c>
      <c r="P244" s="101" t="n">
        <v>1</v>
      </c>
    </row>
    <row r="245" ht="16.15" customHeight="1" s="45">
      <c r="A245" s="96" t="n">
        <v>46314</v>
      </c>
      <c r="B245" s="97" t="inlineStr">
        <is>
          <t>Pós-Projeto</t>
        </is>
      </c>
      <c r="C245" s="103" t="inlineStr">
        <is>
          <t>GAEs Abertas</t>
        </is>
      </c>
      <c r="D245" s="104" t="n">
        <v>287</v>
      </c>
      <c r="E245" s="104" t="n">
        <v>199</v>
      </c>
      <c r="F245" s="104" t="n">
        <v>222</v>
      </c>
      <c r="G245" s="104" t="n">
        <v>180</v>
      </c>
      <c r="H245" s="104" t="n">
        <v>170</v>
      </c>
      <c r="I245" s="104" t="n">
        <v>290</v>
      </c>
      <c r="J245" s="104" t="n">
        <v>161</v>
      </c>
      <c r="K245" s="104" t="n">
        <v>371</v>
      </c>
      <c r="L245" s="104" t="n">
        <v>173</v>
      </c>
      <c r="M245" s="104" t="n">
        <v>274</v>
      </c>
      <c r="N245" s="104" t="n">
        <v>253</v>
      </c>
      <c r="O245" s="104" t="n">
        <v>346</v>
      </c>
      <c r="P245" s="104" t="n">
        <v>281</v>
      </c>
    </row>
    <row r="246" ht="16.15" customHeight="1" s="45">
      <c r="A246" s="96" t="n">
        <v>46314</v>
      </c>
      <c r="B246" s="97" t="inlineStr">
        <is>
          <t>Pós-Projeto</t>
        </is>
      </c>
      <c r="C246" s="103" t="inlineStr">
        <is>
          <t>GAEs Classificadas</t>
        </is>
      </c>
      <c r="D246" s="104" t="n">
        <v>276</v>
      </c>
      <c r="E246" s="104" t="n">
        <v>189</v>
      </c>
      <c r="F246" s="104" t="n">
        <v>208</v>
      </c>
      <c r="G246" s="104" t="n">
        <v>174</v>
      </c>
      <c r="H246" s="104" t="n">
        <v>170</v>
      </c>
      <c r="I246" s="104" t="n">
        <v>255</v>
      </c>
      <c r="J246" s="104" t="n">
        <v>161</v>
      </c>
      <c r="K246" s="104" t="n">
        <v>349</v>
      </c>
      <c r="L246" s="104" t="n">
        <v>162</v>
      </c>
      <c r="M246" s="104" t="n">
        <v>263</v>
      </c>
      <c r="N246" s="104" t="n">
        <v>246</v>
      </c>
      <c r="O246" s="104" t="n">
        <v>331</v>
      </c>
      <c r="P246" s="104" t="n">
        <v>267</v>
      </c>
    </row>
    <row r="247" ht="16.15" customHeight="1" s="45">
      <c r="A247" s="96" t="n">
        <v>46314</v>
      </c>
      <c r="B247" s="97" t="inlineStr">
        <is>
          <t>Pós-Projeto</t>
        </is>
      </c>
      <c r="C247" s="105" t="inlineStr">
        <is>
          <t>Percentual de GAEs abertas classificadas</t>
        </is>
      </c>
      <c r="D247" s="106">
        <f>IFERROR(D246/D245,"-")</f>
        <v/>
      </c>
      <c r="E247" s="106">
        <f>IFERROR(E246/E245,"-")</f>
        <v/>
      </c>
      <c r="F247" s="106">
        <f>IFERROR(F246/F245,"-")</f>
        <v/>
      </c>
      <c r="G247" s="106">
        <f>IFERROR(G246/G245,"-")</f>
        <v/>
      </c>
      <c r="H247" s="106">
        <f>IFERROR(H246/H245,"-")</f>
        <v/>
      </c>
      <c r="I247" s="106">
        <f>IFERROR(I246/I245,"-")</f>
        <v/>
      </c>
      <c r="J247" s="106">
        <f>IFERROR(J246/J245,"-")</f>
        <v/>
      </c>
      <c r="K247" s="106">
        <f>IFERROR(K246/K245,"-")</f>
        <v/>
      </c>
      <c r="L247" s="106">
        <f>IFERROR(L246/L245,"-")</f>
        <v/>
      </c>
      <c r="M247" s="106">
        <f>IFERROR(M246/M245,"-")</f>
        <v/>
      </c>
      <c r="N247" s="106">
        <f>IFERROR(N246/N245,"-")</f>
        <v/>
      </c>
      <c r="O247" s="106">
        <f>IFERROR(O246/O245,"-")</f>
        <v/>
      </c>
      <c r="P247" s="106">
        <f>IFERROR(P246/P245,"-")</f>
        <v/>
      </c>
    </row>
    <row r="248" ht="16.15" customHeight="1" s="45">
      <c r="A248" s="96" t="n">
        <v>46314</v>
      </c>
      <c r="B248" s="97" t="inlineStr">
        <is>
          <t>Pós-Projeto</t>
        </is>
      </c>
      <c r="C248" s="107" t="inlineStr">
        <is>
          <t>Tempo Médio — 🟡 Amarelo (hh:mm)</t>
        </is>
      </c>
      <c r="D248" s="121" t="n">
        <v>0.09631944444444444</v>
      </c>
      <c r="E248" s="121" t="n">
        <v>0.02806712962962963</v>
      </c>
      <c r="F248" s="121" t="n">
        <v>0.02368055555555556</v>
      </c>
      <c r="G248" s="121" t="n">
        <v>0.04053240740740741</v>
      </c>
      <c r="H248" s="121" t="n">
        <v>0.04327546296296296</v>
      </c>
      <c r="I248" s="121" t="n">
        <v>0.05348379629629629</v>
      </c>
      <c r="J248" s="121" t="n">
        <v>0.04865740740740741</v>
      </c>
      <c r="K248" s="121" t="n">
        <v>0.06480324074074074</v>
      </c>
      <c r="L248" s="121" t="n">
        <v>0.03237268518518518</v>
      </c>
      <c r="M248" s="121" t="n">
        <v>0.02243055555555555</v>
      </c>
      <c r="N248" s="121" t="n">
        <v>0.04724537037037037</v>
      </c>
      <c r="O248" s="121" t="n">
        <v>0.07309027777777778</v>
      </c>
      <c r="P248" s="121" t="n">
        <v>0.0837962962962963</v>
      </c>
    </row>
    <row r="249" ht="16.15" customHeight="1" s="45">
      <c r="A249" s="96" t="n">
        <v>46314</v>
      </c>
      <c r="B249" s="97" t="inlineStr">
        <is>
          <t>Pós-Projeto</t>
        </is>
      </c>
      <c r="C249" s="109" t="inlineStr">
        <is>
          <t>Tempo Médio — 🟠 Laranja (hh:mm)</t>
        </is>
      </c>
      <c r="D249" s="122" t="n">
        <v>0.007430555555555556</v>
      </c>
      <c r="E249" s="122" t="n">
        <v>0.003530092592592592</v>
      </c>
      <c r="F249" s="122" t="n">
        <v>0.006516203703703704</v>
      </c>
      <c r="G249" s="122" t="n">
        <v>0.004918981481481482</v>
      </c>
      <c r="H249" s="122" t="n">
        <v>0.009710648148148149</v>
      </c>
      <c r="I249" s="122" t="n">
        <v>0.002824074074074074</v>
      </c>
      <c r="J249" s="122" t="n">
        <v>0.01063657407407407</v>
      </c>
      <c r="K249" s="122" t="n">
        <v>0.0103587962962963</v>
      </c>
      <c r="L249" s="122" t="n">
        <v>0.007800925925925926</v>
      </c>
      <c r="M249" s="122" t="n">
        <v>0.005127314814814815</v>
      </c>
      <c r="N249" s="122" t="n">
        <v>0.01400462962962963</v>
      </c>
      <c r="O249" s="122" t="n">
        <v>0.01060185185185185</v>
      </c>
      <c r="P249" s="122" t="n">
        <v>0.01037037037037037</v>
      </c>
    </row>
    <row r="250" ht="16.15" customHeight="1" s="45">
      <c r="A250" s="111" t="n">
        <v>46314</v>
      </c>
      <c r="B250" s="112" t="inlineStr">
        <is>
          <t>Pós-Projeto</t>
        </is>
      </c>
      <c r="C250" s="113" t="inlineStr">
        <is>
          <t>Tempo Médio — 🟢 Verde   (hh:mm)</t>
        </is>
      </c>
      <c r="D250" s="123" t="n">
        <v>0.07524305555555555</v>
      </c>
      <c r="E250" s="123" t="n">
        <v>0.1195023148148148</v>
      </c>
      <c r="F250" s="123" t="n">
        <v>0.0671412037037037</v>
      </c>
      <c r="G250" s="123" t="n">
        <v>0.1401388888888889</v>
      </c>
      <c r="H250" s="123" t="n">
        <v>0.09547453703703704</v>
      </c>
      <c r="I250" s="123" t="n">
        <v>0.1179513888888889</v>
      </c>
      <c r="J250" s="123" t="n">
        <v>0.08803240740740741</v>
      </c>
      <c r="K250" s="123" t="n">
        <v>0.08758101851851852</v>
      </c>
      <c r="L250" s="123" t="n">
        <v>0.1016203703703704</v>
      </c>
      <c r="M250" s="123" t="n">
        <v>0.06998842592592593</v>
      </c>
      <c r="N250" s="123" t="n">
        <v>0.06232638888888889</v>
      </c>
      <c r="O250" s="123" t="n">
        <v>0.1182638888888889</v>
      </c>
      <c r="P250" s="123" t="n">
        <v>0.07238425925925926</v>
      </c>
    </row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</sheetData>
  <autoFilter ref="A3:P250"/>
  <mergeCells count="4">
    <mergeCell ref="K2:P2"/>
    <mergeCell ref="A1:P1"/>
    <mergeCell ref="A2:C2"/>
    <mergeCell ref="D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Fernanda Araújo</dc:creator>
  <dc:title xmlns:dc="http://purl.org/dc/elements/1.1/">Análise UPAS</dc:title>
  <dc:language xmlns:dc="http://purl.org/dc/elements/1.1/">en-US</dc:language>
  <dcterms:created xmlns:dcterms="http://purl.org/dc/terms/" xmlns:xsi="http://www.w3.org/2001/XMLSchema-instance" xsi:type="dcterms:W3CDTF">2026-06-10T11:54:17Z</dcterms:created>
  <dcterms:modified xmlns:dcterms="http://purl.org/dc/terms/" xmlns:xsi="http://www.w3.org/2001/XMLSchema-instance" xsi:type="dcterms:W3CDTF">2026-10-20T10:32:41Z</dcterms:modified>
  <cp:lastModifiedBy>FERNANDA SANTOS ARAUJO</cp:lastModifiedBy>
  <cp:revision>0</cp:revision>
</cp:coreProperties>
</file>